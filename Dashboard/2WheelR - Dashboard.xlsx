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Javed\2WheelR\"/>
    </mc:Choice>
  </mc:AlternateContent>
  <xr:revisionPtr revIDLastSave="0" documentId="13_ncr:1_{2AEDDB71-D06B-4A7F-8833-628F5822DBDE}" xr6:coauthVersionLast="47" xr6:coauthVersionMax="47" xr10:uidLastSave="{00000000-0000-0000-0000-000000000000}"/>
  <bookViews>
    <workbookView xWindow="-120" yWindow="-120" windowWidth="20730" windowHeight="11160" xr2:uid="{00000000-000D-0000-FFFF-FFFF00000000}"/>
  </bookViews>
  <sheets>
    <sheet name="INSTRUCTIONS" sheetId="1" r:id="rId1"/>
    <sheet name="Task1 Soln - Aug-Dec 2024" sheetId="14" r:id="rId2"/>
    <sheet name="Task 2 Soln - APR-24" sheetId="2" r:id="rId3"/>
    <sheet name="MoM-Purchase Count (All Stores)" sheetId="18" r:id="rId4"/>
    <sheet name="MoM-Purchase Count (Ind Stores)" sheetId="20" r:id="rId5"/>
    <sheet name="MoM-Total Purchase Price" sheetId="21" r:id="rId6"/>
    <sheet name="MoM-Average Purchase Price" sheetId="23" r:id="rId7"/>
    <sheet name="MoM-Top 5 Brands" sheetId="24" r:id="rId8"/>
    <sheet name="MoM-Top 5 Models" sheetId="25" r:id="rId9"/>
    <sheet name="QoQ-Purchase Count (All Store_" sheetId="26" r:id="rId10"/>
    <sheet name="QoQ-Purchase Count (Ind Store)" sheetId="28" r:id="rId11"/>
    <sheet name="QoQ-Total Purchase Price " sheetId="29" r:id="rId12"/>
    <sheet name="QoQ-Average Purchase Price" sheetId="30" r:id="rId13"/>
    <sheet name="QoQ-Top 5 Brands" sheetId="32" r:id="rId14"/>
    <sheet name="QoQ-Top 5 Models" sheetId="33" r:id="rId15"/>
    <sheet name="Apr-Dec Consolidated" sheetId="15" r:id="rId16"/>
    <sheet name="MAY-24" sheetId="3" r:id="rId17"/>
    <sheet name="JUN-24" sheetId="4" r:id="rId18"/>
    <sheet name="JUL-24" sheetId="5" r:id="rId19"/>
    <sheet name="AUG-24" sheetId="6" r:id="rId20"/>
    <sheet name="SEP-24" sheetId="7" r:id="rId21"/>
    <sheet name="OCT-24" sheetId="8" r:id="rId22"/>
    <sheet name="NOV-24" sheetId="9" r:id="rId23"/>
    <sheet name="DEC-24" sheetId="10" r:id="rId24"/>
    <sheet name="Store Code" sheetId="11" r:id="rId25"/>
  </sheets>
  <definedNames>
    <definedName name="_xlnm._FilterDatabase" localSheetId="15" hidden="1">'Apr-Dec Consolidated'!$A$1:$I$704</definedName>
    <definedName name="_xlnm._FilterDatabase" localSheetId="2" hidden="1">'Task 2 Soln - APR-24'!$A$1:$G$46</definedName>
    <definedName name="_xlnm._FilterDatabase" localSheetId="1" hidden="1">'Task1 Soln - Aug-Dec 2024'!$A$1:$L$422</definedName>
  </definedNames>
  <calcPr calcId="191029"/>
  <pivotCaches>
    <pivotCache cacheId="0" r:id="rId2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4" l="1"/>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2" i="14"/>
  <c r="I6" i="2"/>
</calcChain>
</file>

<file path=xl/sharedStrings.xml><?xml version="1.0" encoding="utf-8"?>
<sst xmlns="http://schemas.openxmlformats.org/spreadsheetml/2006/main" count="12069" uniqueCount="1754">
  <si>
    <t>Scenario:</t>
  </si>
  <si>
    <r>
      <rPr>
        <sz val="11"/>
        <color theme="1"/>
        <rFont val="Calibri"/>
      </rPr>
      <t xml:space="preserve">You’re working as a Business Analyst at 2WheelR and are in charge of maintaining the Purchase Data for used 2 wheelers; and earlier today the Founder (yes, the boss herself!) dropped you a quick message:
“Hey, I need your help to present the numbers for our fundraising pitch... can you help me get a clean MoM and QoQ view of our purchase data from April till December? 
</t>
    </r>
    <r>
      <rPr>
        <b/>
        <sz val="11"/>
        <color theme="1"/>
        <rFont val="Calibri"/>
      </rPr>
      <t xml:space="preserve">I am unable to see the store wise purchases from August onwards.
Also the count of purchases in April from your sheet doesn't match the accountant's data. The accountant insists that there are only 45 purchases made for the month of April.
</t>
    </r>
    <r>
      <rPr>
        <sz val="11"/>
        <color theme="1"/>
        <rFont val="Calibri"/>
      </rPr>
      <t>Can you take this up on priority!?”
Your mission? Dive into the purchase dataset, spot what’s wrong, clean it up, and get those insights ready for her upcoming fundraising pitch. 
The numbers need to be crisp, accurate, and presentation-ready — because she trusts you to make the data talk.</t>
    </r>
  </si>
  <si>
    <t>Sheets</t>
  </si>
  <si>
    <t>The sheets "APR-24" to "DEC-24" contain the Purchase Data for that particular month.</t>
  </si>
  <si>
    <r>
      <rPr>
        <b/>
        <sz val="11"/>
        <color theme="1"/>
        <rFont val="Calibri"/>
      </rPr>
      <t xml:space="preserve">The data schema is different for sheets </t>
    </r>
    <r>
      <rPr>
        <b/>
        <i/>
        <sz val="11"/>
        <color theme="1"/>
        <rFont val="Calibri"/>
      </rPr>
      <t>APR-24 to JUL-24</t>
    </r>
    <r>
      <rPr>
        <b/>
        <sz val="11"/>
        <color theme="1"/>
        <rFont val="Calibri"/>
      </rPr>
      <t xml:space="preserve"> and </t>
    </r>
    <r>
      <rPr>
        <b/>
        <i/>
        <sz val="11"/>
        <color theme="1"/>
        <rFont val="Calibri"/>
      </rPr>
      <t xml:space="preserve">AUG-24 - DEC-24 </t>
    </r>
    <r>
      <rPr>
        <b/>
        <sz val="11"/>
        <color theme="1"/>
        <rFont val="Calibri"/>
      </rPr>
      <t>due a change in SOP of collecting and recording data.</t>
    </r>
    <r>
      <rPr>
        <sz val="11"/>
        <color theme="1"/>
        <rFont val="Calibri"/>
      </rPr>
      <t xml:space="preserve"> Keep this in mind when conducting your analysis</t>
    </r>
  </si>
  <si>
    <t>The sheet “Store Code” contains a mapping between each Store Location and its corresponding Store Purchase ID. The Store Purchase ID serves as a prefix applied to the PDN No (Purchase Delivery Note Number) for every store.</t>
  </si>
  <si>
    <t>Data Schema</t>
  </si>
  <si>
    <t>The dataset tracks all purchases made by customers across 2WheelR’s various store locations. Below is a quick breakdown of the key columns you’ll find:</t>
  </si>
  <si>
    <t>Column</t>
  </si>
  <si>
    <t>Description</t>
  </si>
  <si>
    <t>Purchase Date</t>
  </si>
  <si>
    <t>Date when the vehicle was purchased</t>
  </si>
  <si>
    <t>VEHICLE NO / Reg No</t>
  </si>
  <si>
    <t>Registration number of the purchased vehicle</t>
  </si>
  <si>
    <t>MAKE</t>
  </si>
  <si>
    <t>Manufacturer or brand of the vehicle (e.g., Hero, Honda, Royal Enfield)</t>
  </si>
  <si>
    <t>Model</t>
  </si>
  <si>
    <t>The specific model of vehicle offered by the Brand (e.g., Splendor, Activa 5G, Interceptor)</t>
  </si>
  <si>
    <t>Purchase Location</t>
  </si>
  <si>
    <t>Store location where the purchase took place</t>
  </si>
  <si>
    <t>PURCHASED FROM</t>
  </si>
  <si>
    <t>Name or source from whom the vehicle was purchased</t>
  </si>
  <si>
    <t>PURCHASE AMOUNT / Purchase Price</t>
  </si>
  <si>
    <t>Total purchase amount paid for the vehicle</t>
  </si>
  <si>
    <t>SELLER NAME</t>
  </si>
  <si>
    <t>Name of the individual or organization that sold the vehicle</t>
  </si>
  <si>
    <t>Channel</t>
  </si>
  <si>
    <t>Procurement channel (Online / Walk-in / Partner / Referral etc.)</t>
  </si>
  <si>
    <t>Seller Type</t>
  </si>
  <si>
    <t>Category of seller (Individual / Dealer / Corporate etc.)</t>
  </si>
  <si>
    <t>Inspection (store/home)</t>
  </si>
  <si>
    <t>Where the inspection was done — at store or at seller’s home</t>
  </si>
  <si>
    <t>PDN No</t>
  </si>
  <si>
    <t>Purchase Delivery Note Number - the unique ID for every Purchase Bill generated at each store</t>
  </si>
  <si>
    <t>Known Issues</t>
  </si>
  <si>
    <t>Some cells might contain garbage, dummy, or inconsistent data — these are intentional tests of your attention to detail.</t>
  </si>
  <si>
    <t>A few entries may have formatting errors, typos, or mismatched data types — you might have to standardize them before analysis.</t>
  </si>
  <si>
    <t>A few entries have missing data points. This data could be recoverable using your ingenuity OR completely irrecoverable by design. Do your best.</t>
  </si>
  <si>
    <t>Due to the change in SOP of collecting data, Make and Model is merged or missing for a few months' records. Use online resources to recover and segregate the data</t>
  </si>
  <si>
    <t>Your Tasks</t>
  </si>
  <si>
    <t>Task 1</t>
  </si>
  <si>
    <t>Figure out why store-wise purchase information is missing from August onwards and fix it</t>
  </si>
  <si>
    <t>Task 2</t>
  </si>
  <si>
    <t>Figure out why your purchase count for April doesn't match the actual data from Accountant and fix it</t>
  </si>
  <si>
    <t>Task 3</t>
  </si>
  <si>
    <r>
      <rPr>
        <b/>
        <sz val="11"/>
        <color theme="1"/>
        <rFont val="Calibri"/>
      </rPr>
      <t xml:space="preserve">The below needs to be presented using charts. You are free to use any tool of your choice.
The quality of presentation for the below metrics is upto your discretion and will be judged seperately.
</t>
    </r>
    <r>
      <rPr>
        <sz val="11"/>
        <color theme="1"/>
        <rFont val="Calibri"/>
      </rPr>
      <t>Prepare a MoM and QoQ analysis of the following metrics:
- Purchase Count (all stores)
- Purchase Count (individual stores)
- Total Purchase Price (all stores only)
- Average Purchase Price (all stores only)
- Top-5 Purchased Makes (all stores only)
- Top-5 Purchased Models (all stores only)</t>
    </r>
  </si>
  <si>
    <t>Submission Guidelines</t>
  </si>
  <si>
    <t>After creating a copy of this Google Sheet, all workings need to be done on your copy.</t>
  </si>
  <si>
    <t>Upload your copy of this sheet and any other files you would like to submit in a Google Drive folder</t>
  </si>
  <si>
    <t>Label the folder {Your Name - Data Analytics Submission}</t>
  </si>
  <si>
    <r>
      <t>Make sure you have given the "Edit" permission to &lt;</t>
    </r>
    <r>
      <rPr>
        <u/>
        <sz val="11"/>
        <color rgb="FF1155CC"/>
        <rFont val="Arial,sans-serif"/>
      </rPr>
      <t>karan.varma@2wheelr.com</t>
    </r>
    <r>
      <rPr>
        <sz val="11"/>
        <color theme="1"/>
        <rFont val="Calibri"/>
        <scheme val="minor"/>
      </rPr>
      <t>&gt;.</t>
    </r>
  </si>
  <si>
    <t>Fill the Assignment Submission Form: https://forms.gle/7d7qLMNuvtf9h8Wm7
and paste your folder link there</t>
  </si>
  <si>
    <t>We acknowledge that some of you are working professionals or have other commitments and may not be able to complete 100% of the tasks. 
We want to test how you think, attempt the task and present a solution that is comprehensive and structured.
So please submit whatever you are able to complete before the deadline. Any blockers or incomplete tasks can be discussed during a follow-up interview if you are shortlisted.</t>
  </si>
  <si>
    <t>VEHICLE NO</t>
  </si>
  <si>
    <t>MAKE or MODEL</t>
  </si>
  <si>
    <t>PURCHASE AMOUNT</t>
  </si>
  <si>
    <t>MH14CZ8021</t>
  </si>
  <si>
    <t>PLEASURE</t>
  </si>
  <si>
    <t>WAKAD</t>
  </si>
  <si>
    <t>SACHIN</t>
  </si>
  <si>
    <t>SURESH MANIKRAO MUNDE</t>
  </si>
  <si>
    <t>MH14JK4374</t>
  </si>
  <si>
    <t>SHINE</t>
  </si>
  <si>
    <t>RASTA PETH</t>
  </si>
  <si>
    <t>AMIT TUKARAM PADWAL</t>
  </si>
  <si>
    <t>MH14JK4346</t>
  </si>
  <si>
    <t>KHARADI</t>
  </si>
  <si>
    <t>RAJKUMAR KUSULAL JAIN</t>
  </si>
  <si>
    <t>MH14HH2582</t>
  </si>
  <si>
    <t>APACHE</t>
  </si>
  <si>
    <t>MANOJ DEVRAM ZANJARE</t>
  </si>
  <si>
    <t>MH14GQ2577</t>
  </si>
  <si>
    <t>ACCESS 125</t>
  </si>
  <si>
    <t>KALURAM DAMODAR BALGHARE</t>
  </si>
  <si>
    <t>MH14DL9446</t>
  </si>
  <si>
    <t>ACTIVA</t>
  </si>
  <si>
    <t>HERAMB THERMOPLASTICS PVT LTD</t>
  </si>
  <si>
    <t>MH14CR0797</t>
  </si>
  <si>
    <t>PASSION PRO</t>
  </si>
  <si>
    <t>RAMRAO DINKARRAO SHINDE</t>
  </si>
  <si>
    <t>MH12HM292</t>
  </si>
  <si>
    <t>SZR</t>
  </si>
  <si>
    <t>UMESH BALASAHEB PATIL</t>
  </si>
  <si>
    <t>MH14FZ6221</t>
  </si>
  <si>
    <t>UNICORN</t>
  </si>
  <si>
    <t>SANTOSH DATTATRAY BRAHMANKAR</t>
  </si>
  <si>
    <t>MH04HW7586</t>
  </si>
  <si>
    <t>MAESTRO</t>
  </si>
  <si>
    <t>KRANTI SONU LAMBOLE</t>
  </si>
  <si>
    <t>MH12LR0449</t>
  </si>
  <si>
    <t>PULSAR 220</t>
  </si>
  <si>
    <t>NAVNATH KERU APHALE</t>
  </si>
  <si>
    <t>MH12FM7433</t>
  </si>
  <si>
    <t>PULSAR 180</t>
  </si>
  <si>
    <t>NISHANT SINGH</t>
  </si>
  <si>
    <t>MH14CQ1330</t>
  </si>
  <si>
    <t>DIO</t>
  </si>
  <si>
    <t>HARISH VISHWANATH CHOUDHARY</t>
  </si>
  <si>
    <t>MH14EN8627</t>
  </si>
  <si>
    <t>RADEO</t>
  </si>
  <si>
    <t>DATTATRAY VIDHOBA SHINDE</t>
  </si>
  <si>
    <t>MH14ET2734</t>
  </si>
  <si>
    <t>SAINATH GABAJI BANKAR</t>
  </si>
  <si>
    <t>MH12KM1169</t>
  </si>
  <si>
    <t>RAY</t>
  </si>
  <si>
    <t>NISAR AHMAD ABBAS SHAIKH</t>
  </si>
  <si>
    <t>MH14DV3427</t>
  </si>
  <si>
    <t>SUNIL DOULATRAO KAKADE</t>
  </si>
  <si>
    <t>MH14JK9132</t>
  </si>
  <si>
    <t>FZS</t>
  </si>
  <si>
    <t>JAHANGIR NIJAM SHIKALGAR</t>
  </si>
  <si>
    <t>MH14EV9763</t>
  </si>
  <si>
    <t>NANASAHEB LAXMAN PATIL</t>
  </si>
  <si>
    <t>MH14GF9705</t>
  </si>
  <si>
    <t>DUET</t>
  </si>
  <si>
    <t>ASHABAI BHAGWAN KALUNKE</t>
  </si>
  <si>
    <t>MH14BY5972</t>
  </si>
  <si>
    <t>ANILKUMAR PADMANABHAN ACHARI</t>
  </si>
  <si>
    <t>MH14JC8605</t>
  </si>
  <si>
    <t>SHYAM MALLIKARJUN NEWALE</t>
  </si>
  <si>
    <t>MH12TF9335</t>
  </si>
  <si>
    <t xml:space="preserve">AVENGER 220 CRUISE </t>
  </si>
  <si>
    <t xml:space="preserve">RAVI NANGARE </t>
  </si>
  <si>
    <t xml:space="preserve">AMMIT BORKAR </t>
  </si>
  <si>
    <t>MH12BY5878</t>
  </si>
  <si>
    <t>DP</t>
  </si>
  <si>
    <t xml:space="preserve">SOHANA ROBIN ANDREWS </t>
  </si>
  <si>
    <t>MH26AN 4028</t>
  </si>
  <si>
    <t xml:space="preserve">DREAM YUGA </t>
  </si>
  <si>
    <t>RAMEEZ</t>
  </si>
  <si>
    <t>RAGHUNATH GAJJEWAR</t>
  </si>
  <si>
    <t>MH14KC6782</t>
  </si>
  <si>
    <t>SCOOTY PEP+</t>
  </si>
  <si>
    <t>CHETAN</t>
  </si>
  <si>
    <t>NAMDEV JADHAV</t>
  </si>
  <si>
    <t>MH12JH4363</t>
  </si>
  <si>
    <t>ACCESS</t>
  </si>
  <si>
    <t>KASHMIRA UTKARSH GANDHI</t>
  </si>
  <si>
    <t>MH12QB1317</t>
  </si>
  <si>
    <t xml:space="preserve">CHETAN </t>
  </si>
  <si>
    <t xml:space="preserve">SWAPNIL CHOUGULE </t>
  </si>
  <si>
    <t>MH12TB5565</t>
  </si>
  <si>
    <t>JAWA PERAK</t>
  </si>
  <si>
    <t>SALIM</t>
  </si>
  <si>
    <t>TUSHAR DEEPAK BODKE</t>
  </si>
  <si>
    <t>MH12MD0026</t>
  </si>
  <si>
    <t>ACTIVA 3G</t>
  </si>
  <si>
    <t>MAYUR SUNIL GHOLAP</t>
  </si>
  <si>
    <t>MH12QH8027</t>
  </si>
  <si>
    <t>ACTIVA 5G</t>
  </si>
  <si>
    <t>VIJAY ANNASAHEB NALWADE</t>
  </si>
  <si>
    <t>MH12PF0426</t>
  </si>
  <si>
    <t>JUPITER</t>
  </si>
  <si>
    <t>SUPRIYA GHULE</t>
  </si>
  <si>
    <t>MH12LS4754</t>
  </si>
  <si>
    <t>R15</t>
  </si>
  <si>
    <t>MH12JW1304</t>
  </si>
  <si>
    <t>DEEPALI KURKUTE</t>
  </si>
  <si>
    <t>MH12HH0889</t>
  </si>
  <si>
    <t xml:space="preserve">ACTIVA </t>
  </si>
  <si>
    <t xml:space="preserve">ANUSAYA MAYAPPA DEVMANE </t>
  </si>
  <si>
    <t>MH12QL3092</t>
  </si>
  <si>
    <t>SANJAY ROHIDAS GAIKWAD</t>
  </si>
  <si>
    <t>MH12RU6362</t>
  </si>
  <si>
    <t>APACHE RTR 160</t>
  </si>
  <si>
    <t xml:space="preserve">KALYAN ADSULE </t>
  </si>
  <si>
    <t>MH14HJ9267</t>
  </si>
  <si>
    <t>WEGO</t>
  </si>
  <si>
    <t>CHETANKUMAR BAMBORI</t>
  </si>
  <si>
    <t>MH12SS6102</t>
  </si>
  <si>
    <t>ACTIVA 6G</t>
  </si>
  <si>
    <t xml:space="preserve">ARCHANA ASHOK GAIKWAD </t>
  </si>
  <si>
    <t>MH12GX0069</t>
  </si>
  <si>
    <t>CBZ XTREME</t>
  </si>
  <si>
    <t>RAHUL SURYAKANT WAGHMODE</t>
  </si>
  <si>
    <t>MH13ED7995</t>
  </si>
  <si>
    <t>MT15</t>
  </si>
  <si>
    <t xml:space="preserve">TUSHAR DATTATRAY CHAVAN </t>
  </si>
  <si>
    <t>MH12PG1332</t>
  </si>
  <si>
    <t>CB SHINE SP</t>
  </si>
  <si>
    <t xml:space="preserve">PANDURANG PUNAJI </t>
  </si>
  <si>
    <t>MH12LH4938</t>
  </si>
  <si>
    <t>ACTIVA 110</t>
  </si>
  <si>
    <t>SWANANDI JOSHI</t>
  </si>
  <si>
    <t>MH12VP2031</t>
  </si>
  <si>
    <t>VESPA</t>
  </si>
  <si>
    <t xml:space="preserve">MEENAL DEVRAJ SAPKALE </t>
  </si>
  <si>
    <t>MH12RU1885</t>
  </si>
  <si>
    <t>ACTIVA 125</t>
  </si>
  <si>
    <t xml:space="preserve">BALASAHEB NAMDEV SHENDGE </t>
  </si>
  <si>
    <t>MH12UD2292</t>
  </si>
  <si>
    <t>CLASSIC 350</t>
  </si>
  <si>
    <t>HARSHAL</t>
  </si>
  <si>
    <t>Ankush Prabhakarrao Shivankar</t>
  </si>
  <si>
    <t>MH31DH6745</t>
  </si>
  <si>
    <t>PULSAR</t>
  </si>
  <si>
    <t xml:space="preserve">TUSHAR NIMJE </t>
  </si>
  <si>
    <t>MH12KK6144</t>
  </si>
  <si>
    <t>MAYA MAHADEV KANADE</t>
  </si>
  <si>
    <t>MH12SM4401</t>
  </si>
  <si>
    <t>Pulsar 150cc ABS FI BS6</t>
  </si>
  <si>
    <t>MH14KE1650</t>
  </si>
  <si>
    <t>SPLENDOR</t>
  </si>
  <si>
    <t>SANDEEP NARAYAN KAMBLE</t>
  </si>
  <si>
    <t>MH12RQ6261</t>
  </si>
  <si>
    <t>Jupiter 110CC BS6</t>
  </si>
  <si>
    <t>MH12TJ4040</t>
  </si>
  <si>
    <t>BMW</t>
  </si>
  <si>
    <t xml:space="preserve">VIJAY DINESH JOSHI </t>
  </si>
  <si>
    <t>MH17AQ0855</t>
  </si>
  <si>
    <t xml:space="preserve">POOJA SUDESH KULKARNI </t>
  </si>
  <si>
    <t>MH14GK5212</t>
  </si>
  <si>
    <t>LETS</t>
  </si>
  <si>
    <t>GANESH SOMAJI BHUTE</t>
  </si>
  <si>
    <t>MH12JW4469</t>
  </si>
  <si>
    <t>MUSSART MOHAMED HUSSAIN BAIG</t>
  </si>
  <si>
    <t>MH12RW5015</t>
  </si>
  <si>
    <t>BMW G310 GS</t>
  </si>
  <si>
    <t xml:space="preserve">MR- KEDAR PATURKAR </t>
  </si>
  <si>
    <t>MH14HT0571</t>
  </si>
  <si>
    <t>RC 200CC ABS</t>
  </si>
  <si>
    <t>MH12JH9402</t>
  </si>
  <si>
    <t xml:space="preserve">PAWAR ROHIT DANIEL </t>
  </si>
  <si>
    <t>MH12SP9842</t>
  </si>
  <si>
    <t>Jupiter 110cc</t>
  </si>
  <si>
    <t>MH31DX0423</t>
  </si>
  <si>
    <t>MAYURI PRADIP CHARADE</t>
  </si>
  <si>
    <t>MH14EB8337</t>
  </si>
  <si>
    <t>AVIATOR</t>
  </si>
  <si>
    <t>KANTABAI VILAS GAJARE</t>
  </si>
  <si>
    <t>MH12PF9604</t>
  </si>
  <si>
    <t>PULSAR RS</t>
  </si>
  <si>
    <t xml:space="preserve">MR. SANMAY PV </t>
  </si>
  <si>
    <t>MH14GJ8265</t>
  </si>
  <si>
    <t>ASLAM FIDAMOHAMMAD KHAN</t>
  </si>
  <si>
    <t>MH14EB6936</t>
  </si>
  <si>
    <t>PRADEEP RAVINDRA ASADKAR</t>
  </si>
  <si>
    <t>MH12SS6438</t>
  </si>
  <si>
    <t>SHINE-125</t>
  </si>
  <si>
    <t>RAMDAS POPAT PAWAR</t>
  </si>
  <si>
    <t>MH14CY6284</t>
  </si>
  <si>
    <t>RAJASHRI SATYAWAN DHURI</t>
  </si>
  <si>
    <t>MH12UL1178</t>
  </si>
  <si>
    <t xml:space="preserve">DESTINI </t>
  </si>
  <si>
    <t>VAISHALI ARUN PAWAR</t>
  </si>
  <si>
    <t>MH12LN0139</t>
  </si>
  <si>
    <t>DREAMYUGA</t>
  </si>
  <si>
    <t>DHUMAL SINDHU SANJOG</t>
  </si>
  <si>
    <t>MH14FH9942</t>
  </si>
  <si>
    <t>PLATINA</t>
  </si>
  <si>
    <t xml:space="preserve">SATISH NAGANATHAN IYER </t>
  </si>
  <si>
    <t>MH12MN7610</t>
  </si>
  <si>
    <t>AISHWARYA ANANT JOSHI</t>
  </si>
  <si>
    <t>MH12NY9233</t>
  </si>
  <si>
    <t>DIO SELF</t>
  </si>
  <si>
    <t>SALMA BILAL SAUDAGAR</t>
  </si>
  <si>
    <t>MH12TQ6271</t>
  </si>
  <si>
    <t>YZF R15 V3</t>
  </si>
  <si>
    <t xml:space="preserve">ROHAN SHILRATN MANE </t>
  </si>
  <si>
    <t>MH12GE2647</t>
  </si>
  <si>
    <t>Pleasure</t>
  </si>
  <si>
    <t xml:space="preserve">NARAYAN NAGAPPA RANE </t>
  </si>
  <si>
    <t>MH14FW5202</t>
  </si>
  <si>
    <t>PRATIBHA SRIRANG LAMA</t>
  </si>
  <si>
    <t>MH14CF4619</t>
  </si>
  <si>
    <t>SAVITA KISHOR NALEGAVE</t>
  </si>
  <si>
    <t>MH14AR8020</t>
  </si>
  <si>
    <t>NIRANJAN DEEPAK RANADE</t>
  </si>
  <si>
    <t>MH12RR5841</t>
  </si>
  <si>
    <t xml:space="preserve">FZS </t>
  </si>
  <si>
    <t xml:space="preserve">SWAPNILNEMA </t>
  </si>
  <si>
    <t>MH12PR1537</t>
  </si>
  <si>
    <t>FASCINO</t>
  </si>
  <si>
    <t xml:space="preserve">NAZIYA JAMEER SHAIKH </t>
  </si>
  <si>
    <t>MH01BL0880</t>
  </si>
  <si>
    <t>Pulsar NS 200cc</t>
  </si>
  <si>
    <t>UNDRI</t>
  </si>
  <si>
    <t>MH12SW9899</t>
  </si>
  <si>
    <t>KTM</t>
  </si>
  <si>
    <t xml:space="preserve">SUKRITI KUMAR </t>
  </si>
  <si>
    <t>MH12SP7786</t>
  </si>
  <si>
    <t>Forty Two</t>
  </si>
  <si>
    <t xml:space="preserve">SUFIYAN ANSARI </t>
  </si>
  <si>
    <t>MH14KX3078</t>
  </si>
  <si>
    <t>HERO XOOM</t>
  </si>
  <si>
    <t>CHANDRAKANT JADHAV</t>
  </si>
  <si>
    <t>MH47BC3782</t>
  </si>
  <si>
    <t>YAMAHA R15 M</t>
  </si>
  <si>
    <t>RAHUL KANOJIA</t>
  </si>
  <si>
    <t>MH12SR2011</t>
  </si>
  <si>
    <t xml:space="preserve">MR ANIKET DONGARE </t>
  </si>
  <si>
    <t>MH14LH0428</t>
  </si>
  <si>
    <t>Activa 110cc</t>
  </si>
  <si>
    <t>MH12UD5841</t>
  </si>
  <si>
    <t>Meteor 350cc</t>
  </si>
  <si>
    <t>MH12SH8097</t>
  </si>
  <si>
    <t>YAMAHA FZ</t>
  </si>
  <si>
    <t>OMKAR HAVALDAR</t>
  </si>
  <si>
    <t>MH14DD6502</t>
  </si>
  <si>
    <t>SCOOTY PEP PLUS</t>
  </si>
  <si>
    <t xml:space="preserve">PANDHURANG RAMSHINGE </t>
  </si>
  <si>
    <t>MH12QZ6843</t>
  </si>
  <si>
    <t xml:space="preserve">SOHAIL ABDUL RAZZAQUR SHAIKH </t>
  </si>
  <si>
    <t>MH12ND6857</t>
  </si>
  <si>
    <t>AVENGER 220 STREET</t>
  </si>
  <si>
    <t>YAKUN IRANI</t>
  </si>
  <si>
    <t>MH12LG3782</t>
  </si>
  <si>
    <t>MH14ET0697</t>
  </si>
  <si>
    <t>NEO</t>
  </si>
  <si>
    <t>ASHISH UPADHYAY</t>
  </si>
  <si>
    <t>MH07AE2522</t>
  </si>
  <si>
    <t>ANURADHA BALKRUSHNA GAWADE</t>
  </si>
  <si>
    <t>MH12NZ6603</t>
  </si>
  <si>
    <t>CB Shine 125cc</t>
  </si>
  <si>
    <t>MH14JV0571</t>
  </si>
  <si>
    <t>ANURATH LALGE</t>
  </si>
  <si>
    <t>MH14ES6568</t>
  </si>
  <si>
    <t>ATUL MALVIYA</t>
  </si>
  <si>
    <t>MH12NV2174</t>
  </si>
  <si>
    <t xml:space="preserve">DOMINAR </t>
  </si>
  <si>
    <t xml:space="preserve">MR GAURAV </t>
  </si>
  <si>
    <t>MH14JQ6656</t>
  </si>
  <si>
    <t xml:space="preserve">DINKAR DEVACHAND SURWADE </t>
  </si>
  <si>
    <t>MH12TL5421</t>
  </si>
  <si>
    <t>CB Shine 125cc Drum BS6</t>
  </si>
  <si>
    <t>MH14DY6308</t>
  </si>
  <si>
    <t>Pulsar 220 DTS-I</t>
  </si>
  <si>
    <t>SURESH BABAN SWAMI</t>
  </si>
  <si>
    <t>MH14JJ9213</t>
  </si>
  <si>
    <t xml:space="preserve">VAISHNVI KSHATRIYA </t>
  </si>
  <si>
    <t>MH12UT9889</t>
  </si>
  <si>
    <t>METEOR</t>
  </si>
  <si>
    <t>RAMISH LALJI KESHARWANY</t>
  </si>
  <si>
    <t>MH31DQ4787</t>
  </si>
  <si>
    <t xml:space="preserve">KARTIK KHEDULKAR </t>
  </si>
  <si>
    <t>MH14KV7736</t>
  </si>
  <si>
    <t>AVENGER 220 CRUISE</t>
  </si>
  <si>
    <t xml:space="preserve">RAVIKUMAR RAMESHRAO WAGH  </t>
  </si>
  <si>
    <t>MH12TB7312</t>
  </si>
  <si>
    <t xml:space="preserve">ATHARVA AJIT DALVI </t>
  </si>
  <si>
    <t>MH12UY0910</t>
  </si>
  <si>
    <t>YEZDI ROADSTER</t>
  </si>
  <si>
    <t>SINHAGAD ROAD</t>
  </si>
  <si>
    <t>Tushar Gorakshanath Satpute</t>
  </si>
  <si>
    <t>MH12UK5648</t>
  </si>
  <si>
    <t>SP125 Drum</t>
  </si>
  <si>
    <t>MH12TX5747</t>
  </si>
  <si>
    <t>Adventure 390CC BS6</t>
  </si>
  <si>
    <t>MH14ES6327</t>
  </si>
  <si>
    <t>KARIZMA</t>
  </si>
  <si>
    <t>AMAR ANKUSH MANE</t>
  </si>
  <si>
    <t>MH14DG7616</t>
  </si>
  <si>
    <t>PRATAP RANGLAL MOTIRAYE</t>
  </si>
  <si>
    <t>MH12PB1833</t>
  </si>
  <si>
    <t>KRISHNA MALPOTE</t>
  </si>
  <si>
    <t>MH12MC5238</t>
  </si>
  <si>
    <t>Shine 125cc</t>
  </si>
  <si>
    <t>MH12PG1638</t>
  </si>
  <si>
    <t>ACTIVA 4G</t>
  </si>
  <si>
    <t>MAHESH GANPAT JADHAV</t>
  </si>
  <si>
    <t>MH12VE0785</t>
  </si>
  <si>
    <t>VIPUL VIJAY BAGDE</t>
  </si>
  <si>
    <t>MH12MZ2846</t>
  </si>
  <si>
    <t>LANKA DATTATRAY DAREKAR</t>
  </si>
  <si>
    <t>MH12RL6254</t>
  </si>
  <si>
    <t>NEHA GANESH DIWANE</t>
  </si>
  <si>
    <t>MH12NQ6984</t>
  </si>
  <si>
    <t>HERSHINI HEMANTKUMAR GADARIA</t>
  </si>
  <si>
    <t>MH14CT3642</t>
  </si>
  <si>
    <t xml:space="preserve">AKASH VIKAS KIRTANE </t>
  </si>
  <si>
    <t>MH12JG9475</t>
  </si>
  <si>
    <t>VISHAL TEJRAO SAPKAL</t>
  </si>
  <si>
    <t>MH13CF5733</t>
  </si>
  <si>
    <t>RC 200CC</t>
  </si>
  <si>
    <t>MH14JK3681</t>
  </si>
  <si>
    <t>AKHTARALI RUBABALI SAYYAD</t>
  </si>
  <si>
    <t>MH14FF1195</t>
  </si>
  <si>
    <t>BHUSHAN HARISHCHANRA HINGMIRE</t>
  </si>
  <si>
    <t>MH14DD3607</t>
  </si>
  <si>
    <t>SADANAND ANGARA PUJARI</t>
  </si>
  <si>
    <t>MH49Z8839</t>
  </si>
  <si>
    <t>HARSHAL VIJAY UMALE</t>
  </si>
  <si>
    <t>MH14JD1926</t>
  </si>
  <si>
    <t>NS 200</t>
  </si>
  <si>
    <t>ISWARCHANDRA YADAV</t>
  </si>
  <si>
    <t>MH12QZ2731</t>
  </si>
  <si>
    <t>Classic 350CC ABS Signals Dual Channel</t>
  </si>
  <si>
    <t>MH14JS6743</t>
  </si>
  <si>
    <t>SABER SHEIKH</t>
  </si>
  <si>
    <t>MH12LM6537</t>
  </si>
  <si>
    <t>SUNITA GUPTA</t>
  </si>
  <si>
    <t>MH12KV0651</t>
  </si>
  <si>
    <t xml:space="preserve">ACTIVA  </t>
  </si>
  <si>
    <t>CHHAYA ASHOK SHINDE</t>
  </si>
  <si>
    <t>MH12UB6179</t>
  </si>
  <si>
    <t>Pulsar 150cc ABS</t>
  </si>
  <si>
    <t>MH14GG0755</t>
  </si>
  <si>
    <t>hornet</t>
  </si>
  <si>
    <t>MAYURESH GADGIL</t>
  </si>
  <si>
    <t>MH12RZ5264</t>
  </si>
  <si>
    <t xml:space="preserve">JALANILA RAMU </t>
  </si>
  <si>
    <t>MH12TL2164</t>
  </si>
  <si>
    <t>DHANASHREE DEVIDAS SONAWANE</t>
  </si>
  <si>
    <t>MH12PR3560</t>
  </si>
  <si>
    <t>ns160</t>
  </si>
  <si>
    <t>DESHRAJ SINGH</t>
  </si>
  <si>
    <t>MH37P3882</t>
  </si>
  <si>
    <t>MH14ES0399</t>
  </si>
  <si>
    <t>SATISHLAL POPATLAL KATARIYA</t>
  </si>
  <si>
    <t>MH14FL5823</t>
  </si>
  <si>
    <t>VAISHALI SHRAVAN SONAWANE</t>
  </si>
  <si>
    <t>MH14FJ2561</t>
  </si>
  <si>
    <t>ROHAN SHAFI SHAIK</t>
  </si>
  <si>
    <t>MH12NG3874</t>
  </si>
  <si>
    <t>ABHISHEK JAIN</t>
  </si>
  <si>
    <t>mh46m2976</t>
  </si>
  <si>
    <t>access</t>
  </si>
  <si>
    <t>mukesh gupta</t>
  </si>
  <si>
    <t>MH12VX8797</t>
  </si>
  <si>
    <t>Splendor</t>
  </si>
  <si>
    <t>JANHAVI KISHOR KSHIRSAGAR</t>
  </si>
  <si>
    <t>MH12NT4011</t>
  </si>
  <si>
    <t>TANSOOR AALAM ANSARI</t>
  </si>
  <si>
    <t>MH12NG0699</t>
  </si>
  <si>
    <t>RAKESH BHAUSHAEB KUNJII</t>
  </si>
  <si>
    <t>MH12UX9826</t>
  </si>
  <si>
    <t>HUNTER 350</t>
  </si>
  <si>
    <t>KUNDAN KANHU WAGHCHAURE</t>
  </si>
  <si>
    <t>MH12PM3180</t>
  </si>
  <si>
    <t>ANSH GUPTA</t>
  </si>
  <si>
    <t>MH12WG1413</t>
  </si>
  <si>
    <t xml:space="preserve">AKSHAY MANE </t>
  </si>
  <si>
    <t>MH12GE2692</t>
  </si>
  <si>
    <t>Passion Pro 100cc</t>
  </si>
  <si>
    <t>MH13BC6086</t>
  </si>
  <si>
    <t xml:space="preserve">KALE SAURABH GAJANAN </t>
  </si>
  <si>
    <t>MH14LN0259</t>
  </si>
  <si>
    <t>ABHISHEK RAMDAS AMBEKAR</t>
  </si>
  <si>
    <t>MH12QC7829</t>
  </si>
  <si>
    <t>FZ25 250cc</t>
  </si>
  <si>
    <t>MH12SC2816</t>
  </si>
  <si>
    <t>Activa 5G 110cc Standard</t>
  </si>
  <si>
    <t>MH14JS8656</t>
  </si>
  <si>
    <t>PANKAJKUMAR YADAV</t>
  </si>
  <si>
    <t>MH14HB5055</t>
  </si>
  <si>
    <t>TANAJI LALASAHEB BHAGAT</t>
  </si>
  <si>
    <t>MH14JG0776</t>
  </si>
  <si>
    <t>DUKE 125</t>
  </si>
  <si>
    <t>AMOL ASHOK DESHMUKH</t>
  </si>
  <si>
    <t>MH14KG3797</t>
  </si>
  <si>
    <t>YOGESH BALJITSINGH YADAV</t>
  </si>
  <si>
    <t>MH12NM2162</t>
  </si>
  <si>
    <t>CB Twister 110cc</t>
  </si>
  <si>
    <t>MH14JZ5038</t>
  </si>
  <si>
    <t>RC 200</t>
  </si>
  <si>
    <t>RAJENDRA PAKNIKAR</t>
  </si>
  <si>
    <t>MH12PV3516</t>
  </si>
  <si>
    <t>HARSH KAUSHIK</t>
  </si>
  <si>
    <t>MH12VR7141</t>
  </si>
  <si>
    <t>meteor</t>
  </si>
  <si>
    <t>NAITHOK JAMATIA</t>
  </si>
  <si>
    <t>MH14BQ6008</t>
  </si>
  <si>
    <t>SONUNE BHIKA</t>
  </si>
  <si>
    <t>MH11DF4448</t>
  </si>
  <si>
    <t>HARSHAL KHAMKAR</t>
  </si>
  <si>
    <t>MH14HA5687</t>
  </si>
  <si>
    <t>ACTIVA I</t>
  </si>
  <si>
    <t>NILESH BHARGAV SHEMBEKAR</t>
  </si>
  <si>
    <t>MH14JV0322</t>
  </si>
  <si>
    <t>Shine</t>
  </si>
  <si>
    <t>JIVAJI SHIVRAM SALUNKHE</t>
  </si>
  <si>
    <t>MH15HV0843</t>
  </si>
  <si>
    <t>SUNANDA PARDESHI</t>
  </si>
  <si>
    <t>MH26BZ1248</t>
  </si>
  <si>
    <t>SANTOSH DESHPANDE</t>
  </si>
  <si>
    <t>MH14KL6089</t>
  </si>
  <si>
    <t>CT110</t>
  </si>
  <si>
    <t>ABHISHEK NAIR</t>
  </si>
  <si>
    <t>MH12VP3616</t>
  </si>
  <si>
    <t>Himalayan 410cc FI ABS BS VI</t>
  </si>
  <si>
    <t>MH14JS2918</t>
  </si>
  <si>
    <t xml:space="preserve">SHINE </t>
  </si>
  <si>
    <t xml:space="preserve">TIRUPATHIREDDY MUKKAMALLA </t>
  </si>
  <si>
    <t>MH12SN7686</t>
  </si>
  <si>
    <t>Classic 350 EFI</t>
  </si>
  <si>
    <t>SOMWAR PETH</t>
  </si>
  <si>
    <t>MH14KY2801</t>
  </si>
  <si>
    <t>MH12ES6304</t>
  </si>
  <si>
    <t>CD Delux 100cc</t>
  </si>
  <si>
    <t>MH12KV6958</t>
  </si>
  <si>
    <t>Pulsar 220cc</t>
  </si>
  <si>
    <t>MH14CQ4712</t>
  </si>
  <si>
    <t>ANIL RAMDAS SALUNKHE</t>
  </si>
  <si>
    <t>MH14GM8061</t>
  </si>
  <si>
    <t>SANDEEP KISAN TAMBE</t>
  </si>
  <si>
    <t>MH12TZ4889</t>
  </si>
  <si>
    <t>YAMAHA R15</t>
  </si>
  <si>
    <t>SAGAR ANANDA MARATHE</t>
  </si>
  <si>
    <t>MH12QK1160</t>
  </si>
  <si>
    <t>YZF R15 V3 150cc</t>
  </si>
  <si>
    <t>MH12QB6884</t>
  </si>
  <si>
    <t>Activa 4G 110cc</t>
  </si>
  <si>
    <t>MH14JD9284</t>
  </si>
  <si>
    <t>LAXMAN MANOHAR GARUD</t>
  </si>
  <si>
    <t>MH12RD7700</t>
  </si>
  <si>
    <t xml:space="preserve">VESPA VXL </t>
  </si>
  <si>
    <t>ANISA SHAKIL BIJAPURE</t>
  </si>
  <si>
    <t>MH12RB7700</t>
  </si>
  <si>
    <t>MOHAMAD YUSUF SHAKIL BIJAPURE</t>
  </si>
  <si>
    <t>MH31EV4665</t>
  </si>
  <si>
    <t xml:space="preserve">ANUSHREE V KHARE </t>
  </si>
  <si>
    <t>MH12JV1636</t>
  </si>
  <si>
    <t>MH14GG2416</t>
  </si>
  <si>
    <t>SRISHTI KHATRI</t>
  </si>
  <si>
    <t>MH12LU5349</t>
  </si>
  <si>
    <t>Activa 3G 110cc</t>
  </si>
  <si>
    <t>MH12TB4845</t>
  </si>
  <si>
    <t xml:space="preserve">CLASSIC </t>
  </si>
  <si>
    <t xml:space="preserve">SAHIL KADAM </t>
  </si>
  <si>
    <t>MH14DS8638</t>
  </si>
  <si>
    <t>ARCHANA MALAVADE</t>
  </si>
  <si>
    <t>MH12NG3425</t>
  </si>
  <si>
    <t xml:space="preserve">EDWIN ANDREW BHOSALE </t>
  </si>
  <si>
    <t>MH14JD7411</t>
  </si>
  <si>
    <t>Activa 6G STD</t>
  </si>
  <si>
    <t>MH12UP3668</t>
  </si>
  <si>
    <t>Hunter 350 METRO REBEL</t>
  </si>
  <si>
    <t>MH14GT7104</t>
  </si>
  <si>
    <t>GRAZIA</t>
  </si>
  <si>
    <t>SHIVRAJ CHANGUDE</t>
  </si>
  <si>
    <t>MH14CR5560</t>
  </si>
  <si>
    <t>ANUP ROKI</t>
  </si>
  <si>
    <t>MH14ET2485</t>
  </si>
  <si>
    <t>GARVIT AGARWAL</t>
  </si>
  <si>
    <t>MH14GJ9535</t>
  </si>
  <si>
    <t xml:space="preserve">AVIATOR </t>
  </si>
  <si>
    <t>BIMAL MOHAPATRA</t>
  </si>
  <si>
    <t>MH12NF1990</t>
  </si>
  <si>
    <t xml:space="preserve">JOHN NAIK </t>
  </si>
  <si>
    <t>MH12RS9621</t>
  </si>
  <si>
    <t>CB Hornet 160R</t>
  </si>
  <si>
    <t xml:space="preserve">XAVIER JOHN NAIK </t>
  </si>
  <si>
    <t>MH30BT6610</t>
  </si>
  <si>
    <t>CB Unicorn160 160cc</t>
  </si>
  <si>
    <t>MH12ME1602</t>
  </si>
  <si>
    <t>Activa 125 Alloy</t>
  </si>
  <si>
    <t>MH12SP4046</t>
  </si>
  <si>
    <t>MH14FH0328</t>
  </si>
  <si>
    <t>GIXXER</t>
  </si>
  <si>
    <t>AKASH MANDAGE</t>
  </si>
  <si>
    <t>MH12WC5324</t>
  </si>
  <si>
    <t>VIJAY BABAN WANJALE</t>
  </si>
  <si>
    <t>MH12TB6650</t>
  </si>
  <si>
    <t xml:space="preserve">MR MOHAMMAD HANZALA SHAIKH </t>
  </si>
  <si>
    <t>MH12FR1627</t>
  </si>
  <si>
    <t xml:space="preserve">JOSHI ARVIND </t>
  </si>
  <si>
    <t>MH12WG0952</t>
  </si>
  <si>
    <t>SIDDHESH MUKUND CHAVHAN</t>
  </si>
  <si>
    <t>MH12RX5750</t>
  </si>
  <si>
    <t>MH14JK1638</t>
  </si>
  <si>
    <t>PRAVIN GOSAVI</t>
  </si>
  <si>
    <t>MH14HH8171</t>
  </si>
  <si>
    <t>VIPAL DILIP SWAMI</t>
  </si>
  <si>
    <t>MH41AK0099</t>
  </si>
  <si>
    <t>KTM DUKE</t>
  </si>
  <si>
    <t>ASHOK PAWAR</t>
  </si>
  <si>
    <t>MH12QK0118</t>
  </si>
  <si>
    <t>MH37Y2105</t>
  </si>
  <si>
    <t>KUNAL LAL</t>
  </si>
  <si>
    <t>MH12LN1736</t>
  </si>
  <si>
    <t xml:space="preserve">JOSHI ASHUTOSH </t>
  </si>
  <si>
    <t>MH14FJ7804</t>
  </si>
  <si>
    <t>MH12TW6532</t>
  </si>
  <si>
    <t>SPLENDOR PLUS</t>
  </si>
  <si>
    <t>SUNIL BHAGWAN KONALE</t>
  </si>
  <si>
    <t>MH12UD9863</t>
  </si>
  <si>
    <t xml:space="preserve">SAMEER LAHU NIKAM </t>
  </si>
  <si>
    <t>SAMEER NIMKAR</t>
  </si>
  <si>
    <t>MH14JF7514</t>
  </si>
  <si>
    <t>PARVEEN SHAIKH</t>
  </si>
  <si>
    <t>MH15GW5597</t>
  </si>
  <si>
    <t>RC 125CC</t>
  </si>
  <si>
    <t>MH12UT5610</t>
  </si>
  <si>
    <t>MH14JS3658</t>
  </si>
  <si>
    <t>FZX</t>
  </si>
  <si>
    <t>PRABHU SAI KRISHNA B</t>
  </si>
  <si>
    <t>MH14KT7109</t>
  </si>
  <si>
    <t>BURGMAN</t>
  </si>
  <si>
    <t>MH12NM1312</t>
  </si>
  <si>
    <t>SHUBHAM VINAYAK KELKAR</t>
  </si>
  <si>
    <t>MH12PY9808</t>
  </si>
  <si>
    <t>ACCES</t>
  </si>
  <si>
    <t>SADHANA CHAUHAN</t>
  </si>
  <si>
    <t>MH12KH0602</t>
  </si>
  <si>
    <t>RODRICKS AROCKYASWAMY</t>
  </si>
  <si>
    <t>MH14GK5166</t>
  </si>
  <si>
    <t>DUKE 250</t>
  </si>
  <si>
    <t>SHUBHAM BANSAL</t>
  </si>
  <si>
    <t>MH42AU4969</t>
  </si>
  <si>
    <t>VIKRANT</t>
  </si>
  <si>
    <t>UDAY JADHAV</t>
  </si>
  <si>
    <t>MH14EN9575</t>
  </si>
  <si>
    <t>DISCOVER</t>
  </si>
  <si>
    <t>SHIVAJI SAMBHAJI TIKALE</t>
  </si>
  <si>
    <t>MH14BZ9443</t>
  </si>
  <si>
    <t>ROSHNI MIRAJKAR</t>
  </si>
  <si>
    <t>MH12LU7337</t>
  </si>
  <si>
    <t>CBR 150R 150CC</t>
  </si>
  <si>
    <t>MH12MJ8311</t>
  </si>
  <si>
    <t>Activa I 110cc</t>
  </si>
  <si>
    <t>MH12NT7784</t>
  </si>
  <si>
    <t xml:space="preserve">AJINKYA PURANDARE </t>
  </si>
  <si>
    <t>MH12SR9007</t>
  </si>
  <si>
    <t>VIKAS RAVINDRA KALE</t>
  </si>
  <si>
    <t>MH12UT7785</t>
  </si>
  <si>
    <t>Avenger Street 160 ABS</t>
  </si>
  <si>
    <t>MH14HN1158</t>
  </si>
  <si>
    <t>MH12MT7658</t>
  </si>
  <si>
    <t>NITYANAND SHANKAR</t>
  </si>
  <si>
    <t>MH14JT3053</t>
  </si>
  <si>
    <t>PULSAR220</t>
  </si>
  <si>
    <t>VISLAVATH SATISH KUMAR</t>
  </si>
  <si>
    <t>MH14HH9604</t>
  </si>
  <si>
    <t>EAON VAIJNATH MOTIRAVE</t>
  </si>
  <si>
    <t>mh12wf6265</t>
  </si>
  <si>
    <t>bullet</t>
  </si>
  <si>
    <t>shivaji bhosale</t>
  </si>
  <si>
    <t>MH14DU4188</t>
  </si>
  <si>
    <t>MALLYA BHANDARI</t>
  </si>
  <si>
    <t>MH12HJ7974</t>
  </si>
  <si>
    <t>SAGAR DESAI</t>
  </si>
  <si>
    <t>MH12SH1790</t>
  </si>
  <si>
    <t xml:space="preserve">VIBHAKAR SHRIKANT VAIDYA </t>
  </si>
  <si>
    <t>MH12PL0703</t>
  </si>
  <si>
    <t>RAVINDRA NAMDEV WAGHMARE</t>
  </si>
  <si>
    <t>MH03ED8254</t>
  </si>
  <si>
    <t>Himalayan 410cc FI ABS</t>
  </si>
  <si>
    <t>MH14JB4920</t>
  </si>
  <si>
    <t>RAJENDRA GALDHAR</t>
  </si>
  <si>
    <t>MH12QL2281</t>
  </si>
  <si>
    <t>ANIL SHINDE</t>
  </si>
  <si>
    <t>MH12SW8187</t>
  </si>
  <si>
    <t>MH12TF9994</t>
  </si>
  <si>
    <t>KIRAN UMAP</t>
  </si>
  <si>
    <t>MH14HA2539</t>
  </si>
  <si>
    <t>LALITA SANJAY LASHKAR</t>
  </si>
  <si>
    <t>MH43AX9280</t>
  </si>
  <si>
    <t>SANGRAM SHANKAR DALVI</t>
  </si>
  <si>
    <t>MH14JZ1979</t>
  </si>
  <si>
    <t xml:space="preserve">RAJESHWARI SUBHASHCHANDRAN NAIR </t>
  </si>
  <si>
    <t>MH12MU1659</t>
  </si>
  <si>
    <t>BHUSHAN ASHOK PAWAR</t>
  </si>
  <si>
    <t>MH12UZ8989</t>
  </si>
  <si>
    <t>GAHININATH SHESHERAO SAKRUKAR</t>
  </si>
  <si>
    <t>MH12UP0554</t>
  </si>
  <si>
    <t xml:space="preserve">LEELA SHRIKANT JADHAV </t>
  </si>
  <si>
    <t>MH12LF7406</t>
  </si>
  <si>
    <t xml:space="preserve">SHASHIKANT DHONDO KULKARNI </t>
  </si>
  <si>
    <t>MH12NZ0744</t>
  </si>
  <si>
    <t>RAJ KUMAR SUBBA</t>
  </si>
  <si>
    <t>MH12TQ7773</t>
  </si>
  <si>
    <t>BHAICHANDRA KAMBLE</t>
  </si>
  <si>
    <t>MH14HV3043</t>
  </si>
  <si>
    <t>PAWAN BALU DAGALE</t>
  </si>
  <si>
    <t>MH12TW3074</t>
  </si>
  <si>
    <t xml:space="preserve">KASHINATH SATHE </t>
  </si>
  <si>
    <t>MH12GC5929</t>
  </si>
  <si>
    <t>RAJENDRA DATTATRAYA KANGO</t>
  </si>
  <si>
    <t>MH14EN2014</t>
  </si>
  <si>
    <t>NILESH VIJAY GURHANE</t>
  </si>
  <si>
    <t>MH12HP4686</t>
  </si>
  <si>
    <t>XTREME</t>
  </si>
  <si>
    <t>SUHAS SADASHIV PADVAL</t>
  </si>
  <si>
    <t>MH14DG1847</t>
  </si>
  <si>
    <t>JANHAVI JAYWANT BHOSALE</t>
  </si>
  <si>
    <t>MH12NC8404</t>
  </si>
  <si>
    <t>Classic 350</t>
  </si>
  <si>
    <t>MOIZ D RATLAMWALA</t>
  </si>
  <si>
    <t>MH12TJ8862</t>
  </si>
  <si>
    <t>MH14DU7419</t>
  </si>
  <si>
    <t>MH12KK3348</t>
  </si>
  <si>
    <t>MH12PG4377</t>
  </si>
  <si>
    <t>Apache RTR 200 4V</t>
  </si>
  <si>
    <t>MH14DW9582</t>
  </si>
  <si>
    <t>Access 125cc</t>
  </si>
  <si>
    <t>MH12TQ0079</t>
  </si>
  <si>
    <t>RC 125CC BS6</t>
  </si>
  <si>
    <t>MH14JN0585</t>
  </si>
  <si>
    <t>AVENEGER 220</t>
  </si>
  <si>
    <t>KHEGARE SANTOSH PANDURANG</t>
  </si>
  <si>
    <t>MH14JW2856</t>
  </si>
  <si>
    <t>Dominar 250 BS6</t>
  </si>
  <si>
    <t>MH14CY1202</t>
  </si>
  <si>
    <t>MH06BL9052</t>
  </si>
  <si>
    <t>Classic 350cc</t>
  </si>
  <si>
    <t>MH12MJ7240</t>
  </si>
  <si>
    <t>ABHISHEK SUDHIR KADAM</t>
  </si>
  <si>
    <t>MH12SR1991</t>
  </si>
  <si>
    <t>MH14LF9999</t>
  </si>
  <si>
    <t>OLA</t>
  </si>
  <si>
    <t>SOHEF SHARIFF</t>
  </si>
  <si>
    <t>MH14FQ9898</t>
  </si>
  <si>
    <t>MH14ER5111</t>
  </si>
  <si>
    <t>LATA UMESH ARGADE</t>
  </si>
  <si>
    <t>MH14GG5427</t>
  </si>
  <si>
    <t>BIRBALRAM DEVARAM KUMAVAT</t>
  </si>
  <si>
    <t>MH12SC0912</t>
  </si>
  <si>
    <t>Classic 350cc ABS</t>
  </si>
  <si>
    <t>MH14HP7046</t>
  </si>
  <si>
    <t>ABHI DESAI</t>
  </si>
  <si>
    <t>MH12WD9035</t>
  </si>
  <si>
    <t>Standard 350cc</t>
  </si>
  <si>
    <t>Reg No</t>
  </si>
  <si>
    <t>Make</t>
  </si>
  <si>
    <t>Purchase Price</t>
  </si>
  <si>
    <t>Inspection</t>
  </si>
  <si>
    <t>MH12WQ4898</t>
  </si>
  <si>
    <t>Jawa</t>
  </si>
  <si>
    <t>?</t>
  </si>
  <si>
    <t>42 Bobber 330CC</t>
  </si>
  <si>
    <t>Walk-in</t>
  </si>
  <si>
    <t>Customer</t>
  </si>
  <si>
    <t>Store</t>
  </si>
  <si>
    <t>C07-P-100077</t>
  </si>
  <si>
    <t>MH12UH9147</t>
  </si>
  <si>
    <t>Honda</t>
  </si>
  <si>
    <t>CB350 RS Dual Tone</t>
  </si>
  <si>
    <t>C02-P-100081</t>
  </si>
  <si>
    <t>MH12RD1033</t>
  </si>
  <si>
    <t>CB Hornet 160R ABS Deluxe</t>
  </si>
  <si>
    <t>F01-P-100086</t>
  </si>
  <si>
    <t>MH12LN6409</t>
  </si>
  <si>
    <t>Royal Enfield</t>
  </si>
  <si>
    <t>-</t>
  </si>
  <si>
    <t>C01-P-100083</t>
  </si>
  <si>
    <t>MH14HV5141</t>
  </si>
  <si>
    <t>TVS</t>
  </si>
  <si>
    <t>Radeon Drum</t>
  </si>
  <si>
    <t>Referral</t>
  </si>
  <si>
    <t>F01-P-100087</t>
  </si>
  <si>
    <t>MH12LB0462</t>
  </si>
  <si>
    <t>F01-P-100088</t>
  </si>
  <si>
    <t>MH14JZ7086</t>
  </si>
  <si>
    <t>Suzuki</t>
  </si>
  <si>
    <t>Access Fi 125cc Disc alloy bluetooth BS6</t>
  </si>
  <si>
    <t>C02-P-100082</t>
  </si>
  <si>
    <t>MH14HJ9889</t>
  </si>
  <si>
    <t>OLX</t>
  </si>
  <si>
    <t>C02-P-100083</t>
  </si>
  <si>
    <t>MH12LB6639</t>
  </si>
  <si>
    <t>Scooty Pep+ 90cc</t>
  </si>
  <si>
    <t>F01-P-100089</t>
  </si>
  <si>
    <t>MH14JK5260</t>
  </si>
  <si>
    <t>F01-P-100090</t>
  </si>
  <si>
    <t>MH12LQ8651</t>
  </si>
  <si>
    <t>Yamaha</t>
  </si>
  <si>
    <t>Ray 110cc</t>
  </si>
  <si>
    <t>Agent</t>
  </si>
  <si>
    <t>F01-P-100091</t>
  </si>
  <si>
    <t>MH12VN7775</t>
  </si>
  <si>
    <t>Google</t>
  </si>
  <si>
    <t>C02-P-100084</t>
  </si>
  <si>
    <t>MH12MQ6123</t>
  </si>
  <si>
    <t>C01-P-100085</t>
  </si>
  <si>
    <t>MH12VD2809</t>
  </si>
  <si>
    <t>Aprilia</t>
  </si>
  <si>
    <t>SXR 125 125CC</t>
  </si>
  <si>
    <t>F01-P-100094</t>
  </si>
  <si>
    <t>MH05DC8829</t>
  </si>
  <si>
    <t>Hero</t>
  </si>
  <si>
    <t>Website</t>
  </si>
  <si>
    <t>F01-P-100093</t>
  </si>
  <si>
    <t>MH12SM4290</t>
  </si>
  <si>
    <t>Piaggio</t>
  </si>
  <si>
    <t>Vespa LX 125cc</t>
  </si>
  <si>
    <t>F01-P-100096</t>
  </si>
  <si>
    <t>MH12LZ3650</t>
  </si>
  <si>
    <t>F01-P-100095</t>
  </si>
  <si>
    <t>MH14CZ3490</t>
  </si>
  <si>
    <t>F01-P-100100</t>
  </si>
  <si>
    <t>MH12JB4200</t>
  </si>
  <si>
    <t>Bajaj</t>
  </si>
  <si>
    <t>Discover 125cc</t>
  </si>
  <si>
    <t>F01-P-100099</t>
  </si>
  <si>
    <t>MH12RV6278</t>
  </si>
  <si>
    <t>F01-P-100098</t>
  </si>
  <si>
    <t>MH12LY1113</t>
  </si>
  <si>
    <t>C01-P-100091</t>
  </si>
  <si>
    <t>MH13AW1572</t>
  </si>
  <si>
    <t>F01-P-100101</t>
  </si>
  <si>
    <t>MH12JW0845</t>
  </si>
  <si>
    <t>F01-P-100097</t>
  </si>
  <si>
    <t>MH14GZ6212</t>
  </si>
  <si>
    <t>NTorq 125 Disc</t>
  </si>
  <si>
    <t>C02-P-100085</t>
  </si>
  <si>
    <t>MH14KK9490</t>
  </si>
  <si>
    <t>C02-P-100086</t>
  </si>
  <si>
    <t>MH12TF8362</t>
  </si>
  <si>
    <t>F01-P-100110</t>
  </si>
  <si>
    <t>MH14DS5381</t>
  </si>
  <si>
    <t>Dio 110cc</t>
  </si>
  <si>
    <t>F01-P-100107</t>
  </si>
  <si>
    <t>MH14HV9524</t>
  </si>
  <si>
    <t>F01-P-100104</t>
  </si>
  <si>
    <t>MH14GG6350</t>
  </si>
  <si>
    <t>F01-P-100109</t>
  </si>
  <si>
    <t>MH14CA4288</t>
  </si>
  <si>
    <t>CBF Stunner 125cc</t>
  </si>
  <si>
    <t>F01-P-100106</t>
  </si>
  <si>
    <t>MH12LB4818</t>
  </si>
  <si>
    <t>Pulsar LS 135cc</t>
  </si>
  <si>
    <t>F01-P-100108</t>
  </si>
  <si>
    <t>MH11BW0336</t>
  </si>
  <si>
    <t>Apache RTR 160cc</t>
  </si>
  <si>
    <t>F01-P-100103</t>
  </si>
  <si>
    <t>MH14HE3370</t>
  </si>
  <si>
    <t>Duet LX 110cc</t>
  </si>
  <si>
    <t>F01-P-100105</t>
  </si>
  <si>
    <t>MH14JN7241</t>
  </si>
  <si>
    <t>Splendor Self Drum Cast</t>
  </si>
  <si>
    <t>F01-P-100112</t>
  </si>
  <si>
    <t>MH14JT2277</t>
  </si>
  <si>
    <t>Vespa SXL 125cc</t>
  </si>
  <si>
    <t>F01-P-100111</t>
  </si>
  <si>
    <t>MH12SN1396</t>
  </si>
  <si>
    <t>Activa 5G 110cc Deluxe</t>
  </si>
  <si>
    <t>C01-P-100099</t>
  </si>
  <si>
    <t>MH14GQ2598</t>
  </si>
  <si>
    <t>Dio 110</t>
  </si>
  <si>
    <t>C01-P-100100</t>
  </si>
  <si>
    <t>MH14JJ0841</t>
  </si>
  <si>
    <t>Classic 350CC ABS Stormstrider SAND</t>
  </si>
  <si>
    <t>C02-P-100112</t>
  </si>
  <si>
    <t>MH12NL7452</t>
  </si>
  <si>
    <t>Classic 500cc</t>
  </si>
  <si>
    <t>C02-P-100087</t>
  </si>
  <si>
    <t>F01-P-100114</t>
  </si>
  <si>
    <t>MH14EV8800</t>
  </si>
  <si>
    <t>F01-P-100115</t>
  </si>
  <si>
    <t>MH12SV2592</t>
  </si>
  <si>
    <t>Maestro Edge 125 125CC</t>
  </si>
  <si>
    <t>C02-P-100113</t>
  </si>
  <si>
    <t>MH12WW6560</t>
  </si>
  <si>
    <t>Pulsar N 250CC</t>
  </si>
  <si>
    <t>F01-P-100116</t>
  </si>
  <si>
    <t>MH12HX6703</t>
  </si>
  <si>
    <t>Wego 110cc</t>
  </si>
  <si>
    <t>F01-P-100122</t>
  </si>
  <si>
    <t>MH12PK9847</t>
  </si>
  <si>
    <t>C01-P-100101</t>
  </si>
  <si>
    <t>MH04JZ7751</t>
  </si>
  <si>
    <t>C02-P-100114</t>
  </si>
  <si>
    <t>MH12VJ8832</t>
  </si>
  <si>
    <t>Jupiter 125 125cc Disc</t>
  </si>
  <si>
    <t>F01-P-100119</t>
  </si>
  <si>
    <t>MH12LE0124</t>
  </si>
  <si>
    <t>F01-P-100117</t>
  </si>
  <si>
    <t>MH14CZ6496</t>
  </si>
  <si>
    <t>F01-P-100125</t>
  </si>
  <si>
    <t>MH14GE1095</t>
  </si>
  <si>
    <t>F01-P-100124</t>
  </si>
  <si>
    <t>MH14FP5982</t>
  </si>
  <si>
    <t>Fascino 110cc</t>
  </si>
  <si>
    <t>F01-P-100128</t>
  </si>
  <si>
    <t>MH12NR7790</t>
  </si>
  <si>
    <t>F01-P-100131</t>
  </si>
  <si>
    <t>MH14JT1191</t>
  </si>
  <si>
    <t>Activa 6G DLX</t>
  </si>
  <si>
    <t>F01-P-100127</t>
  </si>
  <si>
    <t>MH12FX1246</t>
  </si>
  <si>
    <t>F01-P-100130</t>
  </si>
  <si>
    <t>MH14KE3176</t>
  </si>
  <si>
    <t>SP125 Disc</t>
  </si>
  <si>
    <t>F01-P-100126</t>
  </si>
  <si>
    <t>MH50D0138</t>
  </si>
  <si>
    <t>C02-P-100116</t>
  </si>
  <si>
    <t>MH12UB3220</t>
  </si>
  <si>
    <t>Activa 6G Standard BS6</t>
  </si>
  <si>
    <t>C01-P-100102</t>
  </si>
  <si>
    <t>MH14HR7054</t>
  </si>
  <si>
    <t>XPulse 200T 200cc</t>
  </si>
  <si>
    <t>C02-P-100115</t>
  </si>
  <si>
    <t>MH12UP1934</t>
  </si>
  <si>
    <t>Dio Self</t>
  </si>
  <si>
    <t>F01-P-100134</t>
  </si>
  <si>
    <t>MH12TM6993</t>
  </si>
  <si>
    <t>YZF R15 150cc</t>
  </si>
  <si>
    <t>F01-P-100132</t>
  </si>
  <si>
    <t>MH12UX5807</t>
  </si>
  <si>
    <t>F01-P-100133</t>
  </si>
  <si>
    <t>MH14EV2798</t>
  </si>
  <si>
    <t>Pleasure 100cc</t>
  </si>
  <si>
    <t>F01-P-100135</t>
  </si>
  <si>
    <t>MH14DD9133</t>
  </si>
  <si>
    <t>Discover 100cc</t>
  </si>
  <si>
    <t>F01-P-100136</t>
  </si>
  <si>
    <t>MH14GX6878</t>
  </si>
  <si>
    <t>Splendor Plus 100cc</t>
  </si>
  <si>
    <t>C02-P-100117</t>
  </si>
  <si>
    <t>MH14GE5827</t>
  </si>
  <si>
    <t>F01-P-100138</t>
  </si>
  <si>
    <t>MH14HR7910</t>
  </si>
  <si>
    <t>Apache RTR 200 4V ABS</t>
  </si>
  <si>
    <t>F01-P-100139</t>
  </si>
  <si>
    <t>MH14GX9944</t>
  </si>
  <si>
    <t>F01-P-100137</t>
  </si>
  <si>
    <t>MH12HU6976</t>
  </si>
  <si>
    <t>C02-P-100118</t>
  </si>
  <si>
    <t>MH14DD0205</t>
  </si>
  <si>
    <t>Aviator 110cc</t>
  </si>
  <si>
    <t>F01-P-100155</t>
  </si>
  <si>
    <t>MH12RS8396</t>
  </si>
  <si>
    <t>F01-P-100140</t>
  </si>
  <si>
    <t>MH14FY9904</t>
  </si>
  <si>
    <t>F01-P-100156</t>
  </si>
  <si>
    <t>MH12PE6107</t>
  </si>
  <si>
    <t>F03-P-100050</t>
  </si>
  <si>
    <t>MH12KV8579</t>
  </si>
  <si>
    <t>C08-P-9178</t>
  </si>
  <si>
    <t>MH14HJ8495</t>
  </si>
  <si>
    <t>F01-P-100141</t>
  </si>
  <si>
    <t>MH34BT9781</t>
  </si>
  <si>
    <t>C02-P-100127</t>
  </si>
  <si>
    <t>MH12PE7256</t>
  </si>
  <si>
    <t>F01-P-100144</t>
  </si>
  <si>
    <t>MH14FQ0082</t>
  </si>
  <si>
    <t>F01-P-100152</t>
  </si>
  <si>
    <t>MH12HR2915</t>
  </si>
  <si>
    <t>F01-P-100143</t>
  </si>
  <si>
    <t>MH14CE3075</t>
  </si>
  <si>
    <t>F01-P-100153</t>
  </si>
  <si>
    <t>MH14DK2243</t>
  </si>
  <si>
    <t>CBZ Xtreme 150cc</t>
  </si>
  <si>
    <t>F01-P-100142</t>
  </si>
  <si>
    <t>MH05CL9630</t>
  </si>
  <si>
    <t>C01-P-100141</t>
  </si>
  <si>
    <t>MH14JF6051</t>
  </si>
  <si>
    <t>XPulse 200cc</t>
  </si>
  <si>
    <t>C02-P-100128</t>
  </si>
  <si>
    <t>MH12VJ1267</t>
  </si>
  <si>
    <t>MT 15 150cc BS6</t>
  </si>
  <si>
    <t>C01-P-100142</t>
  </si>
  <si>
    <t>MH46BS2584</t>
  </si>
  <si>
    <t>FZS 150cc</t>
  </si>
  <si>
    <t>C02-P-100129</t>
  </si>
  <si>
    <t>MH12UQ3385</t>
  </si>
  <si>
    <t>Hunter 350 METRO DAPPER</t>
  </si>
  <si>
    <t>C01-P-100143</t>
  </si>
  <si>
    <t>MH12PE3307</t>
  </si>
  <si>
    <t>F01-P-100145</t>
  </si>
  <si>
    <t>MH12RS4633</t>
  </si>
  <si>
    <t>F01-P-100146</t>
  </si>
  <si>
    <t>MH12TT6120</t>
  </si>
  <si>
    <t>C01-P-100144</t>
  </si>
  <si>
    <t>MH12TE3959</t>
  </si>
  <si>
    <t>F01-P-100147</t>
  </si>
  <si>
    <t>MH32T1734</t>
  </si>
  <si>
    <t>Passion Pro 100cc Disc Alloy</t>
  </si>
  <si>
    <t>C02-P-100130</t>
  </si>
  <si>
    <t>MH13CL1345</t>
  </si>
  <si>
    <t>F01-P-100148</t>
  </si>
  <si>
    <t>MH12TJ6775</t>
  </si>
  <si>
    <t>Splendor Plus Self Alloy 100cc</t>
  </si>
  <si>
    <t>F01-P-100149</t>
  </si>
  <si>
    <t>MH22AE5820</t>
  </si>
  <si>
    <t>C02-P-100139</t>
  </si>
  <si>
    <t>MH14LF7420</t>
  </si>
  <si>
    <t>F01-P-100150</t>
  </si>
  <si>
    <t>MH12QH9945</t>
  </si>
  <si>
    <t>NTorq 125 Standard</t>
  </si>
  <si>
    <t>F01-P-100151</t>
  </si>
  <si>
    <t>MH14JD1757</t>
  </si>
  <si>
    <t>C02-P-100140</t>
  </si>
  <si>
    <t>MH14JS0411</t>
  </si>
  <si>
    <t>Vespa SXL 150cc</t>
  </si>
  <si>
    <t>F01-P-100154</t>
  </si>
  <si>
    <t>MH12VE3828</t>
  </si>
  <si>
    <t>C01-P-100145</t>
  </si>
  <si>
    <t>MH12UL0877</t>
  </si>
  <si>
    <t>Splendor Plus 100cc Black and Accent Edition</t>
  </si>
  <si>
    <t>F01-P-100162</t>
  </si>
  <si>
    <t>MH14EL4441</t>
  </si>
  <si>
    <t>F01-P-100161</t>
  </si>
  <si>
    <t>MH12RZ8288</t>
  </si>
  <si>
    <t>F03-P-100051</t>
  </si>
  <si>
    <t>MH12NR0423</t>
  </si>
  <si>
    <t>F01-P-100164</t>
  </si>
  <si>
    <t>MH42X0842</t>
  </si>
  <si>
    <t>F01-P-100157</t>
  </si>
  <si>
    <t>MH14GQ5183</t>
  </si>
  <si>
    <t>Activa 125 Standard</t>
  </si>
  <si>
    <t>F01-P-100165</t>
  </si>
  <si>
    <t>MH14EE8653</t>
  </si>
  <si>
    <t>F01-P-100160</t>
  </si>
  <si>
    <t>MH14DP4928</t>
  </si>
  <si>
    <t>F01-P-100158</t>
  </si>
  <si>
    <t>MH14DD2792</t>
  </si>
  <si>
    <t>Discover 150cc</t>
  </si>
  <si>
    <t>F01-P-100159</t>
  </si>
  <si>
    <t>MH12UH8339</t>
  </si>
  <si>
    <t>Perak 295</t>
  </si>
  <si>
    <t>F01-P-100163</t>
  </si>
  <si>
    <t>MH12TB6632</t>
  </si>
  <si>
    <t>Avenger Cruise 220</t>
  </si>
  <si>
    <t>C01-P-100147</t>
  </si>
  <si>
    <t>MH16DJ4351</t>
  </si>
  <si>
    <t>Zoho</t>
  </si>
  <si>
    <t>C01-P-100146</t>
  </si>
  <si>
    <t>MH15EK0091</t>
  </si>
  <si>
    <t>F01-P-100166</t>
  </si>
  <si>
    <t>MH12QZ4802</t>
  </si>
  <si>
    <t>MyOperator</t>
  </si>
  <si>
    <t>F01-P-100167</t>
  </si>
  <si>
    <t>MH12QL5872</t>
  </si>
  <si>
    <t>Jupiter ZX</t>
  </si>
  <si>
    <t>C01-P-100165</t>
  </si>
  <si>
    <t>MH25AV4851</t>
  </si>
  <si>
    <t>C01-P-100164</t>
  </si>
  <si>
    <t>MH05CN3205</t>
  </si>
  <si>
    <t>Pulsar 220F</t>
  </si>
  <si>
    <t>C02-P-100148</t>
  </si>
  <si>
    <t>MH04FM1042</t>
  </si>
  <si>
    <t>F01-P-100168</t>
  </si>
  <si>
    <t>MH14JJ9141</t>
  </si>
  <si>
    <t>Gixxer SF 250cc ABS</t>
  </si>
  <si>
    <t>F01-P-100169</t>
  </si>
  <si>
    <t>MH12TQ9971</t>
  </si>
  <si>
    <t>H NESS CB350 DLX2 DUALTONE 384cc</t>
  </si>
  <si>
    <t>F01-P-100170</t>
  </si>
  <si>
    <t>MH11CM3630</t>
  </si>
  <si>
    <t>C01-P-100166</t>
  </si>
  <si>
    <t>MH27BJ9262</t>
  </si>
  <si>
    <t>CB Unicorn 150CC</t>
  </si>
  <si>
    <t>F01-P-100171</t>
  </si>
  <si>
    <t>MH14KH2182</t>
  </si>
  <si>
    <t>C02-P-100159</t>
  </si>
  <si>
    <t>MH14LN5121</t>
  </si>
  <si>
    <t>F01-P-100173</t>
  </si>
  <si>
    <t>MH12LB9594</t>
  </si>
  <si>
    <t>Swish 125cc</t>
  </si>
  <si>
    <t>F01-P-100174</t>
  </si>
  <si>
    <t>MH12MX4405</t>
  </si>
  <si>
    <t>F01-P-100172</t>
  </si>
  <si>
    <t>MH02CM1788</t>
  </si>
  <si>
    <t>FZ 150cc</t>
  </si>
  <si>
    <t>MH12KD8592</t>
  </si>
  <si>
    <t>Fazer 150cc</t>
  </si>
  <si>
    <t>F01-P-100176</t>
  </si>
  <si>
    <t>MH12JT6442</t>
  </si>
  <si>
    <t>Dream Yuga 110cc</t>
  </si>
  <si>
    <t>F01-P-100177</t>
  </si>
  <si>
    <t>MH27CP8170</t>
  </si>
  <si>
    <t>F01-P-100178</t>
  </si>
  <si>
    <t>MH12WG3261</t>
  </si>
  <si>
    <t>Himalayan 410cc</t>
  </si>
  <si>
    <t>C01-P-100167</t>
  </si>
  <si>
    <t>MH12LU7587</t>
  </si>
  <si>
    <t>C02-P-100160</t>
  </si>
  <si>
    <t>MH12RC2455</t>
  </si>
  <si>
    <t>F03-P-100144</t>
  </si>
  <si>
    <t>MH14KL7753</t>
  </si>
  <si>
    <t>F01-P-100180</t>
  </si>
  <si>
    <t>MH16DB1091</t>
  </si>
  <si>
    <t>C01-P-100168</t>
  </si>
  <si>
    <t>MH46BG2261</t>
  </si>
  <si>
    <t>F01-P-100181</t>
  </si>
  <si>
    <t>MH14FN6258</t>
  </si>
  <si>
    <t>Mahindra</t>
  </si>
  <si>
    <t>Gusto 110</t>
  </si>
  <si>
    <t>F01-P-100185</t>
  </si>
  <si>
    <t>MH14FA4222</t>
  </si>
  <si>
    <t>Karizma ZMR 220cc</t>
  </si>
  <si>
    <t>F01-P-100186</t>
  </si>
  <si>
    <t>MH12RU5344</t>
  </si>
  <si>
    <t>F03-P-100143</t>
  </si>
  <si>
    <t>MH14DP5749</t>
  </si>
  <si>
    <t>F01-P-100183</t>
  </si>
  <si>
    <t>MH14CA9578</t>
  </si>
  <si>
    <t>F01-P-100184</t>
  </si>
  <si>
    <t>MH14EG1648</t>
  </si>
  <si>
    <t>Maestro 125cc</t>
  </si>
  <si>
    <t>F01-P-100182</t>
  </si>
  <si>
    <t>MH12QZ2139</t>
  </si>
  <si>
    <t>C02-P-100161</t>
  </si>
  <si>
    <t>MH14CE1324</t>
  </si>
  <si>
    <t>F01-P-100187</t>
  </si>
  <si>
    <t>MH12HG7041</t>
  </si>
  <si>
    <t>F01-P-100188</t>
  </si>
  <si>
    <t>MH14HS5545</t>
  </si>
  <si>
    <t>F01-P-100192</t>
  </si>
  <si>
    <t>MH14DQ7410</t>
  </si>
  <si>
    <t>F01-P-100195</t>
  </si>
  <si>
    <t>MH14FP1306</t>
  </si>
  <si>
    <t>CB Hornet 160R ABS Standard</t>
  </si>
  <si>
    <t>F01-P-100189</t>
  </si>
  <si>
    <t>MH14HJ3166</t>
  </si>
  <si>
    <t>F01-P-100190</t>
  </si>
  <si>
    <t>MH14EV3279</t>
  </si>
  <si>
    <t>F01-P-100191</t>
  </si>
  <si>
    <t>MH14FA3254</t>
  </si>
  <si>
    <t>C02-P-100187</t>
  </si>
  <si>
    <t>MH14KP2582</t>
  </si>
  <si>
    <t>NTorq 125 Race Edition BS6</t>
  </si>
  <si>
    <t>C02-P-100195</t>
  </si>
  <si>
    <t>MH14EW5162</t>
  </si>
  <si>
    <t>CB Trigger 150cc</t>
  </si>
  <si>
    <t>F01-P-100202</t>
  </si>
  <si>
    <t>MH14FK5167</t>
  </si>
  <si>
    <t>F01-P-100200</t>
  </si>
  <si>
    <t>MH12VR3843</t>
  </si>
  <si>
    <t>Activa 6G Smart Key</t>
  </si>
  <si>
    <t>F01-P-100198</t>
  </si>
  <si>
    <t>MH12RD4616</t>
  </si>
  <si>
    <t>Duke 200CC</t>
  </si>
  <si>
    <t>C01-P-100171</t>
  </si>
  <si>
    <t>MH14KL6082</t>
  </si>
  <si>
    <t>Pulsar NS 125cc</t>
  </si>
  <si>
    <t>F01-P-100197</t>
  </si>
  <si>
    <t>MH14HL2412</t>
  </si>
  <si>
    <t>C01-P-100170</t>
  </si>
  <si>
    <t>MH12UB0633</t>
  </si>
  <si>
    <t>Activa 6G Deluxe BS6</t>
  </si>
  <si>
    <t>C01-P-100169</t>
  </si>
  <si>
    <t>MH12QC2472</t>
  </si>
  <si>
    <t>Grazia 125cc Deluxe</t>
  </si>
  <si>
    <t>C01-P-100183</t>
  </si>
  <si>
    <t>MH14EJ9571</t>
  </si>
  <si>
    <t>F01-P-100201</t>
  </si>
  <si>
    <t>MH14KV1024</t>
  </si>
  <si>
    <t>F01-P-100199</t>
  </si>
  <si>
    <t>MH12NG3597</t>
  </si>
  <si>
    <t>C01-P-100204</t>
  </si>
  <si>
    <t>MH12JR5660</t>
  </si>
  <si>
    <t>F01-P-100203</t>
  </si>
  <si>
    <t>MH14GL2182</t>
  </si>
  <si>
    <t>Dominar 400cc</t>
  </si>
  <si>
    <t>C02-P-100196</t>
  </si>
  <si>
    <t>MH12HM4618</t>
  </si>
  <si>
    <t>F01-P-100205</t>
  </si>
  <si>
    <t>MH12NR8959</t>
  </si>
  <si>
    <t>F01-P-100206</t>
  </si>
  <si>
    <t>MH14GX5429</t>
  </si>
  <si>
    <t>F01-P-100207</t>
  </si>
  <si>
    <t>MH12UH0676</t>
  </si>
  <si>
    <t>C01-P-100207</t>
  </si>
  <si>
    <t>MH12RD6165</t>
  </si>
  <si>
    <t>C01-P-100209</t>
  </si>
  <si>
    <t>MH12HP3841</t>
  </si>
  <si>
    <t>C01-P-100208</t>
  </si>
  <si>
    <t>MH14FE0135</t>
  </si>
  <si>
    <t>F01-P-100208</t>
  </si>
  <si>
    <t>MH12KW7887</t>
  </si>
  <si>
    <t>C02-P-100198</t>
  </si>
  <si>
    <t>MH12VP0753</t>
  </si>
  <si>
    <t>MT 15 150cc</t>
  </si>
  <si>
    <t>F01-P-100210</t>
  </si>
  <si>
    <t>MH14HF5029</t>
  </si>
  <si>
    <t>C01-P-100210</t>
  </si>
  <si>
    <t>MH14JS7686</t>
  </si>
  <si>
    <t>F01-P-100211</t>
  </si>
  <si>
    <t>MH12WT3107</t>
  </si>
  <si>
    <t>C01-P-100211</t>
  </si>
  <si>
    <t>MH14KR6472</t>
  </si>
  <si>
    <t>Standard 300CC</t>
  </si>
  <si>
    <t>C01-P-100212</t>
  </si>
  <si>
    <t>MH12GY4153</t>
  </si>
  <si>
    <t>F01-P-100212</t>
  </si>
  <si>
    <t>MH12SV5482</t>
  </si>
  <si>
    <t>F03-P-100145</t>
  </si>
  <si>
    <t>MH11BG6000</t>
  </si>
  <si>
    <t>C01-P-100213</t>
  </si>
  <si>
    <t>MH50T6476</t>
  </si>
  <si>
    <t>F01-P-100213</t>
  </si>
  <si>
    <t>MH12WG0291</t>
  </si>
  <si>
    <t>Pulsar 125cc Disc BS6</t>
  </si>
  <si>
    <t>C02-P-100211</t>
  </si>
  <si>
    <t>MH12UP3324</t>
  </si>
  <si>
    <t>Jupiter 110cc ZX Disc SBT</t>
  </si>
  <si>
    <t>C01-P-100214</t>
  </si>
  <si>
    <t>MH14EW2475</t>
  </si>
  <si>
    <t>F01-P-100214</t>
  </si>
  <si>
    <t>MH14HZ9911</t>
  </si>
  <si>
    <t>Maestro Edge 125CC</t>
  </si>
  <si>
    <t>F01-P-100220</t>
  </si>
  <si>
    <t>MH14JS1793</t>
  </si>
  <si>
    <t>C02-P-100212</t>
  </si>
  <si>
    <t>Maestro Deluxe 110CC</t>
  </si>
  <si>
    <t>C01-P-100216</t>
  </si>
  <si>
    <t>MH14HF9813</t>
  </si>
  <si>
    <t>F01-P-100219</t>
  </si>
  <si>
    <t>MH12SM5184</t>
  </si>
  <si>
    <t>F01-P-100216</t>
  </si>
  <si>
    <t>MH12WB8373</t>
  </si>
  <si>
    <t>C01-P-100217</t>
  </si>
  <si>
    <t>MH12KL7019</t>
  </si>
  <si>
    <t>Avenger 220cc</t>
  </si>
  <si>
    <t>C01-P-100218</t>
  </si>
  <si>
    <t>MH12LB0348</t>
  </si>
  <si>
    <t>F01-P-100217</t>
  </si>
  <si>
    <t>MH12TF3803</t>
  </si>
  <si>
    <t>F01-P-100218</t>
  </si>
  <si>
    <t>MH12NR2585</t>
  </si>
  <si>
    <t>C01-P-100219</t>
  </si>
  <si>
    <t>MH14JF3772</t>
  </si>
  <si>
    <t>F01-P-100225</t>
  </si>
  <si>
    <t>MH14JF7090</t>
  </si>
  <si>
    <t>Hornet 2.0 Standard</t>
  </si>
  <si>
    <t>F01-P-100229</t>
  </si>
  <si>
    <t>MH14GQ6128</t>
  </si>
  <si>
    <t>F01-P-100226</t>
  </si>
  <si>
    <t>MH14CH7409</t>
  </si>
  <si>
    <t>Pulsar 150 DTSI</t>
  </si>
  <si>
    <t>F01-P-100224</t>
  </si>
  <si>
    <t>MH14EN9020</t>
  </si>
  <si>
    <t>FZ16 150cc</t>
  </si>
  <si>
    <t>F01-P-100228</t>
  </si>
  <si>
    <t>MH14FU0575</t>
  </si>
  <si>
    <t>F01-P-100221</t>
  </si>
  <si>
    <t>MH14JC0120</t>
  </si>
  <si>
    <t>F01-P-100223</t>
  </si>
  <si>
    <t>MH14EQ4602</t>
  </si>
  <si>
    <t>F01-P-100227</t>
  </si>
  <si>
    <t>MH14FA7605</t>
  </si>
  <si>
    <t>F01-P-100222</t>
  </si>
  <si>
    <t>MH12TZ5423</t>
  </si>
  <si>
    <t>C01-P-100220</t>
  </si>
  <si>
    <t>MH12UH7964</t>
  </si>
  <si>
    <t>Fascino 125 S DLX Hybrid</t>
  </si>
  <si>
    <t>F01-P-100230</t>
  </si>
  <si>
    <t>MH11CL5188</t>
  </si>
  <si>
    <t>C01-P-100221</t>
  </si>
  <si>
    <t>MH12LN8782</t>
  </si>
  <si>
    <t>C02-P-100221</t>
  </si>
  <si>
    <t>MH12PB7166</t>
  </si>
  <si>
    <t>CB Hornet 160R Standard</t>
  </si>
  <si>
    <t>C01-P-100223</t>
  </si>
  <si>
    <t>MH12NH2692</t>
  </si>
  <si>
    <t>Lets 110cc</t>
  </si>
  <si>
    <t>F01-P-100231</t>
  </si>
  <si>
    <t>MH12NQ7064</t>
  </si>
  <si>
    <t>C01-P-100222</t>
  </si>
  <si>
    <t>MH12TQ8522</t>
  </si>
  <si>
    <t>F01-P-100232</t>
  </si>
  <si>
    <t>MH14HF2426</t>
  </si>
  <si>
    <t>F01-P-100292</t>
  </si>
  <si>
    <t>MH12KX2399</t>
  </si>
  <si>
    <t>C01-P-100224</t>
  </si>
  <si>
    <t>MH14EZ3860</t>
  </si>
  <si>
    <t>F01-P-100233</t>
  </si>
  <si>
    <t>MH12UG3563</t>
  </si>
  <si>
    <t>XPulse 200 4V</t>
  </si>
  <si>
    <t>F01-P-100234</t>
  </si>
  <si>
    <t>MH12RD5754</t>
  </si>
  <si>
    <t>C01-P-100225</t>
  </si>
  <si>
    <t>MH12CU2136</t>
  </si>
  <si>
    <t>F01-P-100235</t>
  </si>
  <si>
    <t>MH12NT8673</t>
  </si>
  <si>
    <t>C01-P-100226</t>
  </si>
  <si>
    <t>MH12GY6778</t>
  </si>
  <si>
    <t>F01-P-100243</t>
  </si>
  <si>
    <t>MH14GF0048</t>
  </si>
  <si>
    <t>F01-P-100240</t>
  </si>
  <si>
    <t>MH14ES5989</t>
  </si>
  <si>
    <t>F01-P-100242</t>
  </si>
  <si>
    <t>MH14GT8151</t>
  </si>
  <si>
    <t>F01-P-100236</t>
  </si>
  <si>
    <t>MH07M2795</t>
  </si>
  <si>
    <t>F01-P-100241</t>
  </si>
  <si>
    <t>MH14EB0233</t>
  </si>
  <si>
    <t>F01-P-100237</t>
  </si>
  <si>
    <t>MH14JY6299</t>
  </si>
  <si>
    <t>Pleasure Plus 110cc</t>
  </si>
  <si>
    <t>F01-P-100253</t>
  </si>
  <si>
    <t>MH14FK6342</t>
  </si>
  <si>
    <t>F01-P-100238</t>
  </si>
  <si>
    <t>MH14JS2644</t>
  </si>
  <si>
    <t>Splendor Plus I3s</t>
  </si>
  <si>
    <t>F01-P-100239</t>
  </si>
  <si>
    <t>MH12HX4095</t>
  </si>
  <si>
    <t>F01-P-100248</t>
  </si>
  <si>
    <t>MH12RS9148</t>
  </si>
  <si>
    <t>F01-P-100251</t>
  </si>
  <si>
    <t>MH12GY5351</t>
  </si>
  <si>
    <t>Scooty Streak 90cc</t>
  </si>
  <si>
    <t>F01-P-100252</t>
  </si>
  <si>
    <t>MH12QP9497</t>
  </si>
  <si>
    <t>F01-P-100250</t>
  </si>
  <si>
    <t>MH14FA5406</t>
  </si>
  <si>
    <t>F01-P-100245</t>
  </si>
  <si>
    <t>MH12UT4818</t>
  </si>
  <si>
    <t>C02-P-100230</t>
  </si>
  <si>
    <t>MH12PE3145</t>
  </si>
  <si>
    <t>F01-P-100244</t>
  </si>
  <si>
    <t>MH14CB0763</t>
  </si>
  <si>
    <t>F01-P-100246</t>
  </si>
  <si>
    <t>MH12UR1272</t>
  </si>
  <si>
    <t>F01-P-100247</t>
  </si>
  <si>
    <t>MH14DC5264</t>
  </si>
  <si>
    <t>F01-P-100255</t>
  </si>
  <si>
    <t>MH14CY1986</t>
  </si>
  <si>
    <t>F01-P-100256</t>
  </si>
  <si>
    <t>MH14DB1748</t>
  </si>
  <si>
    <t>F01-P-100254</t>
  </si>
  <si>
    <t>MH14CF6236</t>
  </si>
  <si>
    <t>F01-P-100257</t>
  </si>
  <si>
    <t>MH14EJ3985</t>
  </si>
  <si>
    <t>F01-P-100259</t>
  </si>
  <si>
    <t>MH27CK9741</t>
  </si>
  <si>
    <t>C02-P-100231</t>
  </si>
  <si>
    <t>MH14GR1070</t>
  </si>
  <si>
    <t>F01-P-100258</t>
  </si>
  <si>
    <t>MH12PP7097</t>
  </si>
  <si>
    <t>F01-P-100260</t>
  </si>
  <si>
    <t>MH12LU9941</t>
  </si>
  <si>
    <t>F01-P-100262</t>
  </si>
  <si>
    <t>MH14DU8823</t>
  </si>
  <si>
    <t>F01-P-100263</t>
  </si>
  <si>
    <t>MH01DJ6701</t>
  </si>
  <si>
    <t>C01-P-100250</t>
  </si>
  <si>
    <t>MH12QH6354</t>
  </si>
  <si>
    <t>F01-P-100265</t>
  </si>
  <si>
    <t>MH14GT8176</t>
  </si>
  <si>
    <t>Jupiter Classic 110cc</t>
  </si>
  <si>
    <t>C02-P-100242</t>
  </si>
  <si>
    <t>MH14FU3450</t>
  </si>
  <si>
    <t>C01-P-100249</t>
  </si>
  <si>
    <t>MH14ER7677</t>
  </si>
  <si>
    <t>F01-P-100261</t>
  </si>
  <si>
    <t>MH14HL9007</t>
  </si>
  <si>
    <t>F01-P-100264</t>
  </si>
  <si>
    <t>MH12RC0290</t>
  </si>
  <si>
    <t>C01-P-100248</t>
  </si>
  <si>
    <t>MH12LX2287</t>
  </si>
  <si>
    <t>F01-P-100266</t>
  </si>
  <si>
    <t>MH12GG1022</t>
  </si>
  <si>
    <t>F01-P-100269</t>
  </si>
  <si>
    <t>MH14HB6074</t>
  </si>
  <si>
    <t>F01-P-100276</t>
  </si>
  <si>
    <t>MH12RS3702</t>
  </si>
  <si>
    <t>Jupiter Grande 110cc Disc</t>
  </si>
  <si>
    <t>F01-P-100301</t>
  </si>
  <si>
    <t>MH12KB4237</t>
  </si>
  <si>
    <t>F01-P-100271</t>
  </si>
  <si>
    <t>MH14GL1100</t>
  </si>
  <si>
    <t>F01-P-100282</t>
  </si>
  <si>
    <t>MH12SR5178</t>
  </si>
  <si>
    <t>F01-P-100274</t>
  </si>
  <si>
    <t>MH12ST4995</t>
  </si>
  <si>
    <t>F01-P-100273</t>
  </si>
  <si>
    <t>MH12MQ4347</t>
  </si>
  <si>
    <t>F01-P-100272</t>
  </si>
  <si>
    <t>MH12MG4825</t>
  </si>
  <si>
    <t>Apache RTR 160cc Rear Disc</t>
  </si>
  <si>
    <t>C02-P-100257</t>
  </si>
  <si>
    <t>MH12GG4540</t>
  </si>
  <si>
    <t>F01-P-100270</t>
  </si>
  <si>
    <t>MH14BZ8257</t>
  </si>
  <si>
    <t>F01-P-100278</t>
  </si>
  <si>
    <t>MH14FJ9708</t>
  </si>
  <si>
    <t>F01-P-100288</t>
  </si>
  <si>
    <t>MH14EF6132</t>
  </si>
  <si>
    <t>F01-P-100283</t>
  </si>
  <si>
    <t>MH14GR2005</t>
  </si>
  <si>
    <t>F01-P-100281</t>
  </si>
  <si>
    <t>MH14LH1105</t>
  </si>
  <si>
    <t>Classic Signals 350</t>
  </si>
  <si>
    <t>F01-P-100285</t>
  </si>
  <si>
    <t>MH14DL3960</t>
  </si>
  <si>
    <t>F01-P-100277</t>
  </si>
  <si>
    <t>MH43AU5178</t>
  </si>
  <si>
    <t>F01-P-100286</t>
  </si>
  <si>
    <t>MH14HL2549</t>
  </si>
  <si>
    <t>F01-P-100289</t>
  </si>
  <si>
    <t>MH14ED9765</t>
  </si>
  <si>
    <t>F01-P-100279</t>
  </si>
  <si>
    <t>MH14ER4783</t>
  </si>
  <si>
    <t>F01-P-100287</t>
  </si>
  <si>
    <t>MH14FA1517</t>
  </si>
  <si>
    <t>F01-P-100275</t>
  </si>
  <si>
    <t>MH14FY3359</t>
  </si>
  <si>
    <t>Passion Pro Drum Self Cast</t>
  </si>
  <si>
    <t>F01-P-100284</t>
  </si>
  <si>
    <t>MH14GB2465</t>
  </si>
  <si>
    <t>F01-P-100280</t>
  </si>
  <si>
    <t>MH12PK4959</t>
  </si>
  <si>
    <t>C02-P-100289</t>
  </si>
  <si>
    <t>MH12VK7731</t>
  </si>
  <si>
    <t>F01-P-100291</t>
  </si>
  <si>
    <t>MH12CW0297</t>
  </si>
  <si>
    <t>Super Splendor 125cc</t>
  </si>
  <si>
    <t>C01-P-100276</t>
  </si>
  <si>
    <t>MH12QZ6656</t>
  </si>
  <si>
    <t>Vespa VXL 125cc</t>
  </si>
  <si>
    <t>C01-P-100275</t>
  </si>
  <si>
    <t>MH12QN4418</t>
  </si>
  <si>
    <t>F01-P-100293</t>
  </si>
  <si>
    <t>MH12LB0198</t>
  </si>
  <si>
    <t>F01-P-100296</t>
  </si>
  <si>
    <t>MH46AN9896</t>
  </si>
  <si>
    <t>Pulsar AS 150cc</t>
  </si>
  <si>
    <t>C02-P-100293</t>
  </si>
  <si>
    <t>MH12QX1463</t>
  </si>
  <si>
    <t>F01-P-100298</t>
  </si>
  <si>
    <t>MH12QU2001</t>
  </si>
  <si>
    <t>C01-P-100302</t>
  </si>
  <si>
    <t>MH12UR0717</t>
  </si>
  <si>
    <t>HF Deluxe Self Ally I3s 100CC</t>
  </si>
  <si>
    <t>F01-P-100302</t>
  </si>
  <si>
    <t>MH12VD8436</t>
  </si>
  <si>
    <t>C01-P-100300</t>
  </si>
  <si>
    <t>MH12QD4034</t>
  </si>
  <si>
    <t>Vespa 125cc</t>
  </si>
  <si>
    <t>C02-P-100294</t>
  </si>
  <si>
    <t>MH12SV9671</t>
  </si>
  <si>
    <t>C01-P-100301</t>
  </si>
  <si>
    <t>MH05CT8650</t>
  </si>
  <si>
    <t>C02-P-100295</t>
  </si>
  <si>
    <t>MH12UQ1149</t>
  </si>
  <si>
    <t>C01-P-100303</t>
  </si>
  <si>
    <t>MH12HQ3820</t>
  </si>
  <si>
    <t>F01-P-100303</t>
  </si>
  <si>
    <t>MH12ST4741</t>
  </si>
  <si>
    <t>Apache RR 310</t>
  </si>
  <si>
    <t>F01-P-100312</t>
  </si>
  <si>
    <t>MH14JY0236</t>
  </si>
  <si>
    <t>F01-P-100306</t>
  </si>
  <si>
    <t>MH14FN6792</t>
  </si>
  <si>
    <t>F01-P-100305</t>
  </si>
  <si>
    <t>MH14EX2596</t>
  </si>
  <si>
    <t>F01-P-100307</t>
  </si>
  <si>
    <t>MH12LZ5799</t>
  </si>
  <si>
    <t>F01-P-100313</t>
  </si>
  <si>
    <t>MH14GE2514</t>
  </si>
  <si>
    <t>F01-P-100309</t>
  </si>
  <si>
    <t>MH14ED1575</t>
  </si>
  <si>
    <t>F01-P-100304</t>
  </si>
  <si>
    <t>MH12HQ5395</t>
  </si>
  <si>
    <t>F01-P-100308</t>
  </si>
  <si>
    <t>MH12TW3712</t>
  </si>
  <si>
    <t>CT110 ES Alloy BS6</t>
  </si>
  <si>
    <t>C01-P-100313</t>
  </si>
  <si>
    <t>MH05FE6282</t>
  </si>
  <si>
    <t>C01-P-100314</t>
  </si>
  <si>
    <t>MH14GJ0356</t>
  </si>
  <si>
    <t>F01-P-100321</t>
  </si>
  <si>
    <t>MH14JV9288</t>
  </si>
  <si>
    <t>Jupiter 125 125cc Drum</t>
  </si>
  <si>
    <t>F01-P-100325</t>
  </si>
  <si>
    <t>MH14DU8207</t>
  </si>
  <si>
    <t>F01-P-100323</t>
  </si>
  <si>
    <t>MH14EG5164</t>
  </si>
  <si>
    <t>F01-P-100317</t>
  </si>
  <si>
    <t>MH14EK2654</t>
  </si>
  <si>
    <t>F01-P-100316</t>
  </si>
  <si>
    <t>MH14CV8183</t>
  </si>
  <si>
    <t>F01-P-100318</t>
  </si>
  <si>
    <t>MH14LK3044</t>
  </si>
  <si>
    <t>Pleasure Plus LX 110cc</t>
  </si>
  <si>
    <t>F01-P-100314</t>
  </si>
  <si>
    <t>MH14GW6067</t>
  </si>
  <si>
    <t>F01-P-100322</t>
  </si>
  <si>
    <t>MH14EZ6023</t>
  </si>
  <si>
    <t>F01-P-100320</t>
  </si>
  <si>
    <t>MH12JR4207</t>
  </si>
  <si>
    <t>F01-P-100315</t>
  </si>
  <si>
    <t>MH14EK6840</t>
  </si>
  <si>
    <t>Thunderbird 350cc</t>
  </si>
  <si>
    <t>F01-P-100319</t>
  </si>
  <si>
    <t>MH14EG2379</t>
  </si>
  <si>
    <t>F01-P-100324</t>
  </si>
  <si>
    <t>MH12LU7154</t>
  </si>
  <si>
    <t>F01-P-100327</t>
  </si>
  <si>
    <t>MH14KC4904</t>
  </si>
  <si>
    <t>C02-P-100325</t>
  </si>
  <si>
    <t>MH14LG7657</t>
  </si>
  <si>
    <t>C02-P-100326</t>
  </si>
  <si>
    <t>MH14LK8079</t>
  </si>
  <si>
    <t>F01-P-100328</t>
  </si>
  <si>
    <t>MH12UE6205</t>
  </si>
  <si>
    <t>F01-P-100329</t>
  </si>
  <si>
    <t>MH12TT9356</t>
  </si>
  <si>
    <t>F01-P-100330</t>
  </si>
  <si>
    <t>MH12RU6287</t>
  </si>
  <si>
    <t>XL 100 HD i-Touch Start</t>
  </si>
  <si>
    <t>F01-P-100332</t>
  </si>
  <si>
    <t>MH14FB9105</t>
  </si>
  <si>
    <t>F01-P-100331</t>
  </si>
  <si>
    <t>MH14GZ6938</t>
  </si>
  <si>
    <t>Pulsar NS 160cc</t>
  </si>
  <si>
    <t>C01-P-100320</t>
  </si>
  <si>
    <t>MH14KE0995</t>
  </si>
  <si>
    <t>C02-P-100327</t>
  </si>
  <si>
    <t>MH12GE0358</t>
  </si>
  <si>
    <t>F01-P-100333</t>
  </si>
  <si>
    <t>C01-P-100326</t>
  </si>
  <si>
    <t>MH14EA8852</t>
  </si>
  <si>
    <t>HF Deluxe 100cc</t>
  </si>
  <si>
    <t>C02-P-100332</t>
  </si>
  <si>
    <t>MH14GR7923</t>
  </si>
  <si>
    <t>F01-P-100334</t>
  </si>
  <si>
    <t>MH14HV0139</t>
  </si>
  <si>
    <t>Avenger Street 220</t>
  </si>
  <si>
    <t>F01-P-100335</t>
  </si>
  <si>
    <t>MH05DR7379</t>
  </si>
  <si>
    <t>C02-P-100336</t>
  </si>
  <si>
    <t>MH12QS9828</t>
  </si>
  <si>
    <t>FZS 25 250cc</t>
  </si>
  <si>
    <t>C02-P-100335</t>
  </si>
  <si>
    <t>MH14GQ7806</t>
  </si>
  <si>
    <t>F01-P-100340</t>
  </si>
  <si>
    <t>MH06BF4878</t>
  </si>
  <si>
    <t>F01-P-100337</t>
  </si>
  <si>
    <t>MH12TP4422</t>
  </si>
  <si>
    <t>F01-P-100336</t>
  </si>
  <si>
    <t>MH17CL2614</t>
  </si>
  <si>
    <t>F01-P-100339</t>
  </si>
  <si>
    <t>MH14HX3527</t>
  </si>
  <si>
    <t>F01-P-100341</t>
  </si>
  <si>
    <t>MH12NG4098</t>
  </si>
  <si>
    <t>F01-P-100342</t>
  </si>
  <si>
    <t>MH28BR6131</t>
  </si>
  <si>
    <t>Scram 411</t>
  </si>
  <si>
    <t>C02-P-100337</t>
  </si>
  <si>
    <t>MH12RJ6509</t>
  </si>
  <si>
    <t>C02-P-100338</t>
  </si>
  <si>
    <t>MH31FJ9468</t>
  </si>
  <si>
    <t>F01-P-100343</t>
  </si>
  <si>
    <t>MH14KE6958</t>
  </si>
  <si>
    <t>Dio BS6</t>
  </si>
  <si>
    <t>C02-P-100339</t>
  </si>
  <si>
    <t>MH12JX4169</t>
  </si>
  <si>
    <t>F01-P-100344</t>
  </si>
  <si>
    <t>MH12QV7022</t>
  </si>
  <si>
    <t>F01-P-100345</t>
  </si>
  <si>
    <t>MH12QK2427</t>
  </si>
  <si>
    <t>C02-P-100340</t>
  </si>
  <si>
    <t>MH18BP3399</t>
  </si>
  <si>
    <t>F01-P-100368</t>
  </si>
  <si>
    <t>MH14GR3605</t>
  </si>
  <si>
    <t>Passion Pro I3s Alloy 100cc</t>
  </si>
  <si>
    <t>F01-P-100353</t>
  </si>
  <si>
    <t>MH14ES7409</t>
  </si>
  <si>
    <t>Discover F 150cc</t>
  </si>
  <si>
    <t>F01-P-100352</t>
  </si>
  <si>
    <t>MH14CZ3532</t>
  </si>
  <si>
    <t>F01-P-100347</t>
  </si>
  <si>
    <t>MH18AQ7064</t>
  </si>
  <si>
    <t>Passion XPro 110cc</t>
  </si>
  <si>
    <t>F01-P-100357</t>
  </si>
  <si>
    <t>MH14HF2576</t>
  </si>
  <si>
    <t>F01-P-100356</t>
  </si>
  <si>
    <t>MH12NZ9933</t>
  </si>
  <si>
    <t>F01-P-100349</t>
  </si>
  <si>
    <t>MH12VP3881</t>
  </si>
  <si>
    <t>Scooty Zest 110cc</t>
  </si>
  <si>
    <t>F01-P-100358</t>
  </si>
  <si>
    <t>MH14FW8078</t>
  </si>
  <si>
    <t>F01-P-100350</t>
  </si>
  <si>
    <t>MH14FN4682</t>
  </si>
  <si>
    <t>F01-P-100348</t>
  </si>
  <si>
    <t>MH12MZ6239</t>
  </si>
  <si>
    <t>F01-P-100351</t>
  </si>
  <si>
    <t>MH14DZ7878</t>
  </si>
  <si>
    <t>F01-P-100355</t>
  </si>
  <si>
    <t>MH14HR0344</t>
  </si>
  <si>
    <t>F01-P-100354</t>
  </si>
  <si>
    <t>MH12QX5466</t>
  </si>
  <si>
    <t>F01-P-100359</t>
  </si>
  <si>
    <t>MH12PP4965</t>
  </si>
  <si>
    <t>F01-P-100360</t>
  </si>
  <si>
    <t>MH14KL1285</t>
  </si>
  <si>
    <t>Glamour I3s 125cc Disc BS6</t>
  </si>
  <si>
    <t>C02-P-100341</t>
  </si>
  <si>
    <t>MH14EN2767</t>
  </si>
  <si>
    <t>F01-P-100361</t>
  </si>
  <si>
    <t>MH15GC9992</t>
  </si>
  <si>
    <t>C01-P-100341</t>
  </si>
  <si>
    <t>MH12VY6100</t>
  </si>
  <si>
    <t>Karizma XMR Standard</t>
  </si>
  <si>
    <t>F01-P-100363</t>
  </si>
  <si>
    <t>MH12LQ4006</t>
  </si>
  <si>
    <t>F01-P-100362</t>
  </si>
  <si>
    <t>MH14DV3152</t>
  </si>
  <si>
    <t>F01-P-100366</t>
  </si>
  <si>
    <t>MH14EZ8067</t>
  </si>
  <si>
    <t>F01-P-100364</t>
  </si>
  <si>
    <t>MH14LV1478</t>
  </si>
  <si>
    <t>C01-P-100364</t>
  </si>
  <si>
    <t>MH14JD7082</t>
  </si>
  <si>
    <t>F01-P-100365</t>
  </si>
  <si>
    <t>MH14JK2055</t>
  </si>
  <si>
    <t>C02-P-100362</t>
  </si>
  <si>
    <t>MH20FV0357</t>
  </si>
  <si>
    <t>YZF R15 V3 150cc Dual Channel ABS BS6</t>
  </si>
  <si>
    <t>C02-P-100366</t>
  </si>
  <si>
    <t>MH14JN3622</t>
  </si>
  <si>
    <t>F01-P-100367</t>
  </si>
  <si>
    <t>MH12PE3690</t>
  </si>
  <si>
    <t>C01-P-100365</t>
  </si>
  <si>
    <t>MH12KM2961</t>
  </si>
  <si>
    <t>F01-P-100369</t>
  </si>
  <si>
    <t>MH14FA5216</t>
  </si>
  <si>
    <t>C02-P-100368</t>
  </si>
  <si>
    <t>MH12JJ2077</t>
  </si>
  <si>
    <t>C02-P-100367</t>
  </si>
  <si>
    <t>MH17DB9226</t>
  </si>
  <si>
    <t>C02-P-100369</t>
  </si>
  <si>
    <t>MH19EJ3101</t>
  </si>
  <si>
    <t>FZS FI V 3.0 150cc</t>
  </si>
  <si>
    <t>F01-P-100372</t>
  </si>
  <si>
    <t>MH14DR7003</t>
  </si>
  <si>
    <t>F01-P-100373</t>
  </si>
  <si>
    <t>MH12PG6154</t>
  </si>
  <si>
    <t>F01-P-100374</t>
  </si>
  <si>
    <t>MH12FJ2814</t>
  </si>
  <si>
    <t>F01-P-100375</t>
  </si>
  <si>
    <t>MH12UD1993</t>
  </si>
  <si>
    <t>Vespa ZX 125cc CBS</t>
  </si>
  <si>
    <t>F01-P-100376</t>
  </si>
  <si>
    <t>MH12PU7564</t>
  </si>
  <si>
    <t>C01-P-100377</t>
  </si>
  <si>
    <t>MH12UE3845</t>
  </si>
  <si>
    <t>Pulsar RS 200cc</t>
  </si>
  <si>
    <t>F01-P-100377</t>
  </si>
  <si>
    <t>MH12MT2906</t>
  </si>
  <si>
    <t>F01-P-100379</t>
  </si>
  <si>
    <t>MH12XF4590</t>
  </si>
  <si>
    <t>F01-P-100378</t>
  </si>
  <si>
    <t>MH49W9734</t>
  </si>
  <si>
    <t>F01-P-100395</t>
  </si>
  <si>
    <t>MH02CX6920</t>
  </si>
  <si>
    <t>F01-P-100381</t>
  </si>
  <si>
    <t>MH31FK6720</t>
  </si>
  <si>
    <t>F01-P-100380</t>
  </si>
  <si>
    <t>MH14DP4090</t>
  </si>
  <si>
    <t>F01-P-100383</t>
  </si>
  <si>
    <t>MH14JF0901</t>
  </si>
  <si>
    <t>F01-P-100385</t>
  </si>
  <si>
    <t>MH14HB6274</t>
  </si>
  <si>
    <t>F01-P-100384</t>
  </si>
  <si>
    <t>MH14JQ3008</t>
  </si>
  <si>
    <t>Activa 125 Deluxe</t>
  </si>
  <si>
    <t>F01-P-100382</t>
  </si>
  <si>
    <t>MH14GK3594</t>
  </si>
  <si>
    <t>F01-P-100386</t>
  </si>
  <si>
    <t>MH14CQ1857</t>
  </si>
  <si>
    <t>F01-P-100388</t>
  </si>
  <si>
    <t>MH12SN0305</t>
  </si>
  <si>
    <t>F01-P-100389</t>
  </si>
  <si>
    <t>MH14EQ9064</t>
  </si>
  <si>
    <t>F01-P-100387</t>
  </si>
  <si>
    <t>MH12PV5617</t>
  </si>
  <si>
    <t>F01-P-100390</t>
  </si>
  <si>
    <t>MH12NH6721</t>
  </si>
  <si>
    <t>F01-P-100392</t>
  </si>
  <si>
    <t>MH12GX7377</t>
  </si>
  <si>
    <t>F01-P-100393</t>
  </si>
  <si>
    <t>MH14GG5623</t>
  </si>
  <si>
    <t>F01-P-100391</t>
  </si>
  <si>
    <t>MH14JS7229</t>
  </si>
  <si>
    <t>F01-P-100402</t>
  </si>
  <si>
    <t>MH14KZ1181</t>
  </si>
  <si>
    <t>C02-P-100386</t>
  </si>
  <si>
    <t>MH14ED4058</t>
  </si>
  <si>
    <t>F01-P-100396</t>
  </si>
  <si>
    <t>MH12WD3633</t>
  </si>
  <si>
    <t>C01-P-100390</t>
  </si>
  <si>
    <t>MH12PV9105</t>
  </si>
  <si>
    <t>Grazia 125cc Standard</t>
  </si>
  <si>
    <t>F01-P-100398</t>
  </si>
  <si>
    <t>MH14HP4368</t>
  </si>
  <si>
    <t>C02-P-100387</t>
  </si>
  <si>
    <t>MH12RC7802</t>
  </si>
  <si>
    <t>Scooty Pep+ 90cc BS6</t>
  </si>
  <si>
    <t>F01-P-100399</t>
  </si>
  <si>
    <t>MH12LZ9857</t>
  </si>
  <si>
    <t>C01-P-100398</t>
  </si>
  <si>
    <t>MH43AE6670</t>
  </si>
  <si>
    <t>F01-P-100404</t>
  </si>
  <si>
    <t>MH12DD1422</t>
  </si>
  <si>
    <t>Bullet Electra 350cc</t>
  </si>
  <si>
    <t>C01-P-100399</t>
  </si>
  <si>
    <t>MH12WG2786</t>
  </si>
  <si>
    <t>F01-P-100401</t>
  </si>
  <si>
    <t>MH12RD1016</t>
  </si>
  <si>
    <t>Gixxer SF Fi 150cc ABS</t>
  </si>
  <si>
    <t>C02-P-100388</t>
  </si>
  <si>
    <t>MH14JD1208</t>
  </si>
  <si>
    <t>F01-P-100403</t>
  </si>
  <si>
    <t>MH14EW6790</t>
  </si>
  <si>
    <t>F01-P-100407</t>
  </si>
  <si>
    <t>MH14DW4462</t>
  </si>
  <si>
    <t>F01-P-100405</t>
  </si>
  <si>
    <t>MH14JQ3742</t>
  </si>
  <si>
    <t>YZF R15 V3 150cc ABS</t>
  </si>
  <si>
    <t>C02-P-100404</t>
  </si>
  <si>
    <t>MH12RJ1565</t>
  </si>
  <si>
    <t>C01-P-100401</t>
  </si>
  <si>
    <t>MH09CY6108</t>
  </si>
  <si>
    <t>F01-P-100408</t>
  </si>
  <si>
    <t>MH02CU4342</t>
  </si>
  <si>
    <t>F01-P-100406</t>
  </si>
  <si>
    <t>MH13CZ3378</t>
  </si>
  <si>
    <t>F01-P-100410</t>
  </si>
  <si>
    <t>MH12VH3859</t>
  </si>
  <si>
    <t>Bullet 350cc KS EFI Black</t>
  </si>
  <si>
    <t>F01-P-100412</t>
  </si>
  <si>
    <t>Store Location</t>
  </si>
  <si>
    <t>Store Purchase ID</t>
  </si>
  <si>
    <t>C08</t>
  </si>
  <si>
    <t>C07</t>
  </si>
  <si>
    <t>F03</t>
  </si>
  <si>
    <t>MAGARPATTA</t>
  </si>
  <si>
    <t>C06</t>
  </si>
  <si>
    <t>PAUD ROAD</t>
  </si>
  <si>
    <t>C03</t>
  </si>
  <si>
    <t>F01</t>
  </si>
  <si>
    <t>C01</t>
  </si>
  <si>
    <t>C02</t>
  </si>
  <si>
    <t>PDN-Code</t>
  </si>
  <si>
    <t>PDN-Letter</t>
  </si>
  <si>
    <t>PDN-Number</t>
  </si>
  <si>
    <t>P</t>
  </si>
  <si>
    <t xml:space="preserve">Solution : </t>
  </si>
  <si>
    <t>I deleted the garbage dataset which were inflating the count &gt; 45 and updated the inconsistency in dates. After, cleaning the data, now the records match = 45</t>
  </si>
  <si>
    <t>Row Labels</t>
  </si>
  <si>
    <t>Grand Total</t>
  </si>
  <si>
    <t>Apr</t>
  </si>
  <si>
    <t>May</t>
  </si>
  <si>
    <t>Jun</t>
  </si>
  <si>
    <t>Jul</t>
  </si>
  <si>
    <t>Aug</t>
  </si>
  <si>
    <t>Sep</t>
  </si>
  <si>
    <t>Oct</t>
  </si>
  <si>
    <t>Nov</t>
  </si>
  <si>
    <t>Dec</t>
  </si>
  <si>
    <t>Column Labels</t>
  </si>
  <si>
    <t>Count of Purchase Location</t>
  </si>
  <si>
    <t>Sum of PURCHASE AMOUNT</t>
  </si>
  <si>
    <t>Average of PURCHASE AMOUNT</t>
  </si>
  <si>
    <t>Count of MAKE</t>
  </si>
  <si>
    <t>RTR 160</t>
  </si>
  <si>
    <t>RTR 200 4V</t>
  </si>
  <si>
    <t>G310 GS</t>
  </si>
  <si>
    <t>HONDA</t>
  </si>
  <si>
    <t>yamaha</t>
  </si>
  <si>
    <t>BAJAJ</t>
  </si>
  <si>
    <t>HERO</t>
  </si>
  <si>
    <t>YAMAHA</t>
  </si>
  <si>
    <t>Count of Model</t>
  </si>
  <si>
    <t>Quarter</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</si>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</sst>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d/m/yyyy"/>
    <numFmt numFmtId="166" formatCode="dd\-mm\-yyyy"/>
    <numFmt numFmtId="167" formatCode="d\-m\-yyyy"/>
  </numFmts>
  <fonts count="19">
    <font>
      <sz val="11"/>
      <color theme="1"/>
      <name val="Calibri"/>
      <scheme val="minor"/>
    </font>
    <font>
      <sz val="11"/>
      <color theme="1"/>
      <name val="Calibri"/>
      <family val="2"/>
      <scheme val="minor"/>
    </font>
    <font>
      <sz val="11"/>
      <color theme="1"/>
      <name val="Calibri"/>
      <scheme val="minor"/>
    </font>
    <font>
      <b/>
      <sz val="11"/>
      <color theme="1"/>
      <name val="Calibri"/>
      <scheme val="minor"/>
    </font>
    <font>
      <u/>
      <sz val="11"/>
      <color rgb="FF0000FF"/>
      <name val="Calibri"/>
    </font>
    <font>
      <sz val="11"/>
      <color rgb="FF282E42"/>
      <name val="Calibri"/>
      <scheme val="minor"/>
    </font>
    <font>
      <sz val="11"/>
      <color rgb="FF282E42"/>
      <name val="Calibri"/>
      <scheme val="minor"/>
    </font>
    <font>
      <sz val="11"/>
      <color theme="1"/>
      <name val="Arial"/>
    </font>
    <font>
      <sz val="10"/>
      <color theme="1"/>
      <name val="Calibri"/>
      <scheme val="minor"/>
    </font>
    <font>
      <sz val="11"/>
      <color rgb="FF000000"/>
      <name val="Roboto"/>
    </font>
    <font>
      <sz val="11"/>
      <color rgb="FF000000"/>
      <name val="&quot;Kumbh Sans&quot; !important"/>
    </font>
    <font>
      <b/>
      <sz val="11"/>
      <color theme="1"/>
      <name val="Calibri"/>
      <scheme val="minor"/>
    </font>
    <font>
      <b/>
      <sz val="11"/>
      <color rgb="FF000000"/>
      <name val="Roboto"/>
    </font>
    <font>
      <sz val="11"/>
      <color theme="1"/>
      <name val="Calibri"/>
    </font>
    <font>
      <b/>
      <sz val="11"/>
      <color theme="1"/>
      <name val="Calibri"/>
    </font>
    <font>
      <b/>
      <i/>
      <sz val="11"/>
      <color theme="1"/>
      <name val="Calibri"/>
    </font>
    <font>
      <u/>
      <sz val="11"/>
      <color rgb="FF1155CC"/>
      <name val="Arial,sans-serif"/>
    </font>
    <font>
      <b/>
      <sz val="11"/>
      <color theme="1"/>
      <name val="Calibri"/>
      <family val="2"/>
      <scheme val="minor"/>
    </font>
    <font>
      <sz val="11"/>
      <color theme="1"/>
      <name val="Arial"/>
      <family val="2"/>
    </font>
  </fonts>
  <fills count="7">
    <fill>
      <patternFill patternType="none"/>
    </fill>
    <fill>
      <patternFill patternType="gray125"/>
    </fill>
    <fill>
      <patternFill patternType="solid">
        <fgColor rgb="FF9FC5E8"/>
        <bgColor rgb="FF9FC5E8"/>
      </patternFill>
    </fill>
    <fill>
      <patternFill patternType="solid">
        <fgColor rgb="FFFAFAFA"/>
        <bgColor rgb="FFFAFAFA"/>
      </patternFill>
    </fill>
    <fill>
      <patternFill patternType="solid">
        <fgColor rgb="FFFFFFFF"/>
        <bgColor rgb="FFFFFFFF"/>
      </patternFill>
    </fill>
    <fill>
      <patternFill patternType="solid">
        <fgColor rgb="FFFFE599"/>
        <bgColor rgb="FFFFE599"/>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rgb="FFE0E0E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7">
    <xf numFmtId="0" fontId="0" fillId="0" borderId="0" xfId="0"/>
    <xf numFmtId="0" fontId="3" fillId="2" borderId="0" xfId="0" applyFont="1" applyFill="1"/>
    <xf numFmtId="0" fontId="2" fillId="2" borderId="0" xfId="0" applyFont="1" applyFill="1"/>
    <xf numFmtId="0" fontId="2" fillId="0" borderId="0" xfId="0" applyFont="1"/>
    <xf numFmtId="0" fontId="3" fillId="0" borderId="0" xfId="0" applyFont="1"/>
    <xf numFmtId="0" fontId="3" fillId="0" borderId="1" xfId="0" applyFont="1" applyBorder="1" applyAlignment="1">
      <alignment horizontal="center"/>
    </xf>
    <xf numFmtId="0" fontId="2" fillId="0" borderId="1" xfId="0" applyFont="1" applyBorder="1"/>
    <xf numFmtId="0" fontId="4" fillId="0" borderId="0" xfId="0" applyFont="1"/>
    <xf numFmtId="0" fontId="3" fillId="0" borderId="1" xfId="0" applyFont="1" applyBorder="1" applyAlignment="1">
      <alignment horizontal="left"/>
    </xf>
    <xf numFmtId="0" fontId="3" fillId="0" borderId="1" xfId="0" applyFont="1" applyBorder="1"/>
    <xf numFmtId="0" fontId="3" fillId="0" borderId="1" xfId="0" applyFont="1" applyBorder="1" applyAlignment="1">
      <alignment horizontal="right"/>
    </xf>
    <xf numFmtId="0" fontId="2" fillId="0" borderId="1" xfId="0" applyFont="1" applyBorder="1" applyAlignment="1">
      <alignment horizontal="left"/>
    </xf>
    <xf numFmtId="0" fontId="2" fillId="0" borderId="1" xfId="0" applyFont="1" applyBorder="1" applyAlignment="1">
      <alignment horizontal="right"/>
    </xf>
    <xf numFmtId="0" fontId="0" fillId="0" borderId="1" xfId="0" applyBorder="1" applyAlignment="1">
      <alignment horizontal="center" vertical="center"/>
    </xf>
    <xf numFmtId="0" fontId="2" fillId="0" borderId="1" xfId="0" applyFont="1" applyBorder="1" applyAlignment="1">
      <alignment horizontal="left" vertical="center"/>
    </xf>
    <xf numFmtId="0" fontId="0" fillId="0" borderId="1" xfId="0" applyBorder="1" applyAlignment="1">
      <alignment horizontal="right" vertical="center"/>
    </xf>
    <xf numFmtId="165" fontId="0" fillId="0" borderId="1" xfId="0" applyNumberFormat="1" applyBorder="1" applyAlignment="1">
      <alignment horizontal="center"/>
    </xf>
    <xf numFmtId="1" fontId="0" fillId="0" borderId="1" xfId="0" applyNumberFormat="1" applyBorder="1" applyAlignment="1">
      <alignment horizontal="right"/>
    </xf>
    <xf numFmtId="0" fontId="0" fillId="0" borderId="1" xfId="0" applyBorder="1" applyAlignment="1">
      <alignment horizontal="center"/>
    </xf>
    <xf numFmtId="166" fontId="0" fillId="0" borderId="1" xfId="0" applyNumberFormat="1" applyBorder="1" applyAlignment="1">
      <alignment horizontal="center"/>
    </xf>
    <xf numFmtId="14" fontId="0" fillId="0" borderId="1" xfId="0" applyNumberFormat="1" applyBorder="1" applyAlignment="1">
      <alignment horizontal="center"/>
    </xf>
    <xf numFmtId="164" fontId="5" fillId="3" borderId="1" xfId="0" applyNumberFormat="1" applyFont="1" applyFill="1" applyBorder="1" applyAlignment="1">
      <alignment horizontal="center"/>
    </xf>
    <xf numFmtId="0" fontId="6" fillId="4" borderId="1" xfId="0" applyFont="1" applyFill="1" applyBorder="1" applyAlignment="1">
      <alignment horizontal="left"/>
    </xf>
    <xf numFmtId="0" fontId="5" fillId="4" borderId="1" xfId="0" applyFont="1" applyFill="1" applyBorder="1" applyAlignment="1">
      <alignment horizontal="center"/>
    </xf>
    <xf numFmtId="164" fontId="0" fillId="0" borderId="1" xfId="0" applyNumberFormat="1" applyBorder="1" applyAlignment="1">
      <alignment horizontal="center"/>
    </xf>
    <xf numFmtId="0" fontId="2" fillId="0" borderId="1" xfId="0" applyFont="1" applyBorder="1" applyAlignment="1">
      <alignment horizontal="center"/>
    </xf>
    <xf numFmtId="0" fontId="0" fillId="4" borderId="1" xfId="0" applyFill="1" applyBorder="1" applyAlignment="1">
      <alignment horizontal="center"/>
    </xf>
    <xf numFmtId="0" fontId="0" fillId="0" borderId="0" xfId="0" applyAlignment="1">
      <alignment horizontal="center"/>
    </xf>
    <xf numFmtId="0" fontId="7" fillId="4" borderId="1" xfId="0" applyFont="1" applyFill="1" applyBorder="1" applyAlignment="1">
      <alignment horizontal="center"/>
    </xf>
    <xf numFmtId="0" fontId="0" fillId="0" borderId="1" xfId="0" applyBorder="1"/>
    <xf numFmtId="0" fontId="7" fillId="0" borderId="1" xfId="0" applyFont="1" applyBorder="1" applyAlignment="1">
      <alignment horizontal="center"/>
    </xf>
    <xf numFmtId="0" fontId="8" fillId="0" borderId="1" xfId="0" applyFont="1" applyBorder="1" applyAlignment="1">
      <alignment horizontal="center"/>
    </xf>
    <xf numFmtId="0" fontId="7" fillId="0" borderId="1" xfId="0" applyFont="1" applyBorder="1"/>
    <xf numFmtId="0" fontId="2" fillId="0" borderId="0" xfId="0" applyFont="1" applyAlignment="1">
      <alignment horizontal="left"/>
    </xf>
    <xf numFmtId="0" fontId="2" fillId="0" borderId="0" xfId="0" applyFont="1" applyAlignment="1">
      <alignment horizontal="right"/>
    </xf>
    <xf numFmtId="14" fontId="2" fillId="0" borderId="1" xfId="0" applyNumberFormat="1" applyFont="1" applyBorder="1" applyAlignment="1">
      <alignment horizontal="left"/>
    </xf>
    <xf numFmtId="14" fontId="2" fillId="0" borderId="0" xfId="0" applyNumberFormat="1" applyFont="1"/>
    <xf numFmtId="0" fontId="0" fillId="4" borderId="0" xfId="0" applyFill="1" applyAlignment="1">
      <alignment horizontal="center"/>
    </xf>
    <xf numFmtId="0" fontId="9" fillId="4" borderId="2" xfId="0" applyFont="1" applyFill="1" applyBorder="1" applyAlignment="1">
      <alignment horizontal="left"/>
    </xf>
    <xf numFmtId="0" fontId="9" fillId="5" borderId="2" xfId="0" applyFont="1" applyFill="1" applyBorder="1" applyAlignment="1">
      <alignment horizontal="center"/>
    </xf>
    <xf numFmtId="0" fontId="10" fillId="4" borderId="2" xfId="0" applyFont="1" applyFill="1" applyBorder="1" applyAlignment="1">
      <alignment horizontal="left"/>
    </xf>
    <xf numFmtId="166" fontId="9" fillId="4" borderId="2" xfId="0" applyNumberFormat="1" applyFont="1" applyFill="1" applyBorder="1" applyAlignment="1">
      <alignment horizontal="left"/>
    </xf>
    <xf numFmtId="167" fontId="9" fillId="4" borderId="2" xfId="0" applyNumberFormat="1" applyFont="1" applyFill="1" applyBorder="1" applyAlignment="1">
      <alignment horizontal="left"/>
    </xf>
    <xf numFmtId="0" fontId="11" fillId="0" borderId="0" xfId="0" applyFont="1"/>
    <xf numFmtId="0" fontId="12" fillId="4" borderId="0" xfId="0" applyFont="1" applyFill="1" applyAlignment="1">
      <alignment horizontal="left"/>
    </xf>
    <xf numFmtId="0" fontId="9" fillId="4" borderId="0" xfId="0" applyFont="1" applyFill="1" applyAlignment="1">
      <alignment horizontal="left"/>
    </xf>
    <xf numFmtId="0" fontId="3" fillId="0" borderId="3" xfId="0" applyFont="1" applyBorder="1"/>
    <xf numFmtId="14" fontId="2" fillId="0" borderId="3" xfId="0" applyNumberFormat="1" applyFont="1" applyBorder="1" applyAlignment="1">
      <alignment horizontal="left"/>
    </xf>
    <xf numFmtId="0" fontId="9" fillId="4" borderId="3" xfId="0" applyFont="1" applyFill="1" applyBorder="1" applyAlignment="1">
      <alignment horizontal="left"/>
    </xf>
    <xf numFmtId="0" fontId="2" fillId="0" borderId="3" xfId="0" applyFont="1" applyBorder="1"/>
    <xf numFmtId="0" fontId="9" fillId="5" borderId="3" xfId="0" applyFont="1" applyFill="1" applyBorder="1" applyAlignment="1">
      <alignment horizontal="center"/>
    </xf>
    <xf numFmtId="0" fontId="10" fillId="4" borderId="3" xfId="0" applyFont="1" applyFill="1" applyBorder="1" applyAlignment="1">
      <alignment horizontal="left"/>
    </xf>
    <xf numFmtId="166" fontId="9" fillId="4" borderId="3" xfId="0" applyNumberFormat="1" applyFont="1" applyFill="1" applyBorder="1" applyAlignment="1">
      <alignment horizontal="left"/>
    </xf>
    <xf numFmtId="167" fontId="9" fillId="4" borderId="3" xfId="0" applyNumberFormat="1" applyFont="1" applyFill="1" applyBorder="1" applyAlignment="1">
      <alignment horizontal="left"/>
    </xf>
    <xf numFmtId="0" fontId="0" fillId="0" borderId="3" xfId="0" applyBorder="1"/>
    <xf numFmtId="14" fontId="3" fillId="0" borderId="1" xfId="0" applyNumberFormat="1" applyFont="1" applyBorder="1" applyAlignment="1">
      <alignment horizontal="left"/>
    </xf>
    <xf numFmtId="14" fontId="0" fillId="0" borderId="0" xfId="0" applyNumberFormat="1"/>
    <xf numFmtId="14" fontId="2" fillId="0" borderId="3" xfId="0" applyNumberFormat="1" applyFont="1" applyBorder="1" applyAlignment="1">
      <alignment horizontal="left" vertical="top"/>
    </xf>
    <xf numFmtId="0" fontId="2" fillId="0" borderId="3" xfId="0" applyFont="1" applyBorder="1" applyAlignment="1">
      <alignment horizontal="left" vertical="top"/>
    </xf>
    <xf numFmtId="0" fontId="6" fillId="4" borderId="3" xfId="0" applyFont="1" applyFill="1" applyBorder="1" applyAlignment="1">
      <alignment horizontal="left" vertical="top"/>
    </xf>
    <xf numFmtId="0" fontId="9" fillId="4" borderId="3" xfId="0" applyFont="1" applyFill="1" applyBorder="1" applyAlignment="1">
      <alignment horizontal="left" vertical="top"/>
    </xf>
    <xf numFmtId="166" fontId="9" fillId="4" borderId="3" xfId="0" applyNumberFormat="1" applyFont="1" applyFill="1" applyBorder="1" applyAlignment="1">
      <alignment horizontal="left" vertical="top"/>
    </xf>
    <xf numFmtId="167" fontId="9" fillId="4" borderId="3" xfId="0" applyNumberFormat="1" applyFont="1" applyFill="1" applyBorder="1" applyAlignment="1">
      <alignment horizontal="left" vertical="top"/>
    </xf>
    <xf numFmtId="0" fontId="0" fillId="0" borderId="3" xfId="0" applyBorder="1" applyAlignment="1">
      <alignment horizontal="left" vertical="top"/>
    </xf>
    <xf numFmtId="165" fontId="0" fillId="0" borderId="3" xfId="0" applyNumberFormat="1" applyBorder="1" applyAlignment="1">
      <alignment horizontal="left" vertical="top"/>
    </xf>
    <xf numFmtId="1" fontId="0" fillId="0" borderId="3" xfId="0" applyNumberFormat="1" applyBorder="1" applyAlignment="1">
      <alignment horizontal="left" vertical="top"/>
    </xf>
    <xf numFmtId="166" fontId="0" fillId="0" borderId="3" xfId="0" applyNumberFormat="1" applyBorder="1" applyAlignment="1">
      <alignment horizontal="left" vertical="top"/>
    </xf>
    <xf numFmtId="14" fontId="0" fillId="0" borderId="3" xfId="0" applyNumberFormat="1" applyBorder="1" applyAlignment="1">
      <alignment horizontal="left" vertical="top"/>
    </xf>
    <xf numFmtId="164" fontId="5" fillId="3" borderId="3" xfId="0" applyNumberFormat="1" applyFont="1" applyFill="1" applyBorder="1" applyAlignment="1">
      <alignment horizontal="left" vertical="top"/>
    </xf>
    <xf numFmtId="0" fontId="5" fillId="4" borderId="3" xfId="0" applyFont="1" applyFill="1" applyBorder="1" applyAlignment="1">
      <alignment horizontal="left" vertical="top"/>
    </xf>
    <xf numFmtId="164" fontId="0" fillId="0" borderId="3" xfId="0" applyNumberFormat="1" applyBorder="1" applyAlignment="1">
      <alignment horizontal="left" vertical="top"/>
    </xf>
    <xf numFmtId="0" fontId="0" fillId="4" borderId="3" xfId="0" applyFill="1" applyBorder="1" applyAlignment="1">
      <alignment horizontal="left" vertical="top"/>
    </xf>
    <xf numFmtId="0" fontId="7" fillId="4" borderId="3" xfId="0" applyFont="1" applyFill="1" applyBorder="1" applyAlignment="1">
      <alignment horizontal="left" vertical="top"/>
    </xf>
    <xf numFmtId="0" fontId="7" fillId="0" borderId="3" xfId="0" applyFont="1" applyBorder="1" applyAlignment="1">
      <alignment horizontal="left" vertical="top"/>
    </xf>
    <xf numFmtId="0" fontId="8" fillId="0" borderId="3" xfId="0" applyFont="1" applyBorder="1" applyAlignment="1">
      <alignment horizontal="left" vertical="top"/>
    </xf>
    <xf numFmtId="0" fontId="9" fillId="5" borderId="3" xfId="0" applyFont="1" applyFill="1" applyBorder="1" applyAlignment="1">
      <alignment horizontal="left" vertical="top"/>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18" fillId="4" borderId="3" xfId="0" applyFont="1" applyFill="1" applyBorder="1" applyAlignment="1">
      <alignment horizontal="left" vertical="top"/>
    </xf>
    <xf numFmtId="0" fontId="1" fillId="0" borderId="3" xfId="0" applyFont="1" applyBorder="1" applyAlignment="1">
      <alignment horizontal="left" vertical="top"/>
    </xf>
    <xf numFmtId="14" fontId="1" fillId="0" borderId="3" xfId="0" applyNumberFormat="1" applyFont="1" applyBorder="1" applyAlignment="1">
      <alignment horizontal="left" vertical="top"/>
    </xf>
    <xf numFmtId="0" fontId="1" fillId="0" borderId="1" xfId="0" applyFont="1" applyBorder="1" applyAlignment="1">
      <alignment horizontal="left"/>
    </xf>
    <xf numFmtId="0" fontId="0" fillId="6" borderId="0" xfId="0" applyFill="1"/>
    <xf numFmtId="14" fontId="17" fillId="6" borderId="3" xfId="0" applyNumberFormat="1" applyFont="1" applyFill="1" applyBorder="1" applyAlignment="1">
      <alignment horizontal="left" vertical="top"/>
    </xf>
    <xf numFmtId="0" fontId="17" fillId="6" borderId="3"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Assignment.xlsx]MoM-Purchase Count (All Stores)!PivotTable3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'MoM-Purchase Count (All Stores)'!$B$3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'MoM-Purchase Count (All Stores)'!$A$4:$A$13</c:f>
              <c:strCache>
                <c:ptCount val="9"/>
                <c:pt idx="0">
                  <c:v>Apr</c:v>
                </c:pt>
                <c:pt idx="1">
                  <c:v>May</c:v>
                </c:pt>
                <c:pt idx="2">
                  <c:v>Jun</c:v>
                </c:pt>
                <c:pt idx="3">
                  <c:v>Jul</c:v>
                </c:pt>
                <c:pt idx="4">
                  <c:v>Aug</c:v>
                </c:pt>
                <c:pt idx="5">
                  <c:v>Sep</c:v>
                </c:pt>
                <c:pt idx="6">
                  <c:v>Oct</c:v>
                </c:pt>
                <c:pt idx="7">
                  <c:v>Nov</c:v>
                </c:pt>
                <c:pt idx="8">
                  <c:v>Dec</c:v>
                </c:pt>
              </c:strCache>
            </c:strRef>
          </c:cat>
          <c:val>
            <c:numRef>
              <c:f>'MoM-Purchase Count (All Stores)'!$B$4:$B$13</c:f>
              <c:numCache>
                <c:formatCode>General</c:formatCode>
                <c:ptCount val="9"/>
                <c:pt idx="0">
                  <c:v>45</c:v>
                </c:pt>
                <c:pt idx="1">
                  <c:v>75</c:v>
                </c:pt>
                <c:pt idx="2">
                  <c:v>71</c:v>
                </c:pt>
                <c:pt idx="3">
                  <c:v>91</c:v>
                </c:pt>
                <c:pt idx="4">
                  <c:v>92</c:v>
                </c:pt>
                <c:pt idx="5">
                  <c:v>90</c:v>
                </c:pt>
                <c:pt idx="6">
                  <c:v>102</c:v>
                </c:pt>
                <c:pt idx="7">
                  <c:v>61</c:v>
                </c:pt>
                <c:pt idx="8">
                  <c:v>76</c:v>
                </c:pt>
              </c:numCache>
            </c:numRef>
          </c:val>
          <c:extLst>
            <c:ext xmlns:c16="http://schemas.microsoft.com/office/drawing/2014/chart" uri="{C3380CC4-5D6E-409C-BE32-E72D297353CC}">
              <c16:uniqueId val="{00000000-66E1-480F-B804-253E446E2B6C}"/>
            </c:ext>
          </c:extLst>
        </c:ser>
        <c:dLbls>
          <c:dLblPos val="inEnd"/>
          <c:showLegendKey val="0"/>
          <c:showVal val="1"/>
          <c:showCatName val="0"/>
          <c:showSerName val="0"/>
          <c:showPercent val="0"/>
          <c:showBubbleSize val="0"/>
        </c:dLbls>
        <c:gapWidth val="100"/>
        <c:overlap val="-24"/>
        <c:axId val="456332952"/>
        <c:axId val="456333672"/>
      </c:barChart>
      <c:catAx>
        <c:axId val="456332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333672"/>
        <c:crosses val="autoZero"/>
        <c:auto val="1"/>
        <c:lblAlgn val="ctr"/>
        <c:lblOffset val="100"/>
        <c:noMultiLvlLbl val="0"/>
      </c:catAx>
      <c:valAx>
        <c:axId val="456333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332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Assignment.xlsx]MoM-Purchase Count (Ind Stores)!PivotTable4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'MoM-Purchase Count (Ind Stores)'!$B$3:$B$4</c:f>
              <c:strCache>
                <c:ptCount val="1"/>
                <c:pt idx="0">
                  <c:v>KHARADI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'MoM-Purchase Count (Ind Stores)'!$A$5:$A$14</c:f>
              <c:strCache>
                <c:ptCount val="9"/>
                <c:pt idx="0">
                  <c:v>Apr</c:v>
                </c:pt>
                <c:pt idx="1">
                  <c:v>May</c:v>
                </c:pt>
                <c:pt idx="2">
                  <c:v>Jun</c:v>
                </c:pt>
                <c:pt idx="3">
                  <c:v>Jul</c:v>
                </c:pt>
                <c:pt idx="4">
                  <c:v>Aug</c:v>
                </c:pt>
                <c:pt idx="5">
                  <c:v>Sep</c:v>
                </c:pt>
                <c:pt idx="6">
                  <c:v>Oct</c:v>
                </c:pt>
                <c:pt idx="7">
                  <c:v>Nov</c:v>
                </c:pt>
                <c:pt idx="8">
                  <c:v>Dec</c:v>
                </c:pt>
              </c:strCache>
            </c:strRef>
          </c:cat>
          <c:val>
            <c:numRef>
              <c:f>'MoM-Purchase Count (Ind Stores)'!$B$5:$B$14</c:f>
              <c:numCache>
                <c:formatCode>General</c:formatCode>
                <c:ptCount val="9"/>
                <c:pt idx="0">
                  <c:v>12</c:v>
                </c:pt>
                <c:pt idx="1">
                  <c:v>11</c:v>
                </c:pt>
                <c:pt idx="2">
                  <c:v>11</c:v>
                </c:pt>
                <c:pt idx="3">
                  <c:v>11</c:v>
                </c:pt>
                <c:pt idx="4">
                  <c:v>11</c:v>
                </c:pt>
                <c:pt idx="5">
                  <c:v>21</c:v>
                </c:pt>
                <c:pt idx="6">
                  <c:v>16</c:v>
                </c:pt>
                <c:pt idx="7">
                  <c:v>8</c:v>
                </c:pt>
                <c:pt idx="8">
                  <c:v>8</c:v>
                </c:pt>
              </c:numCache>
            </c:numRef>
          </c:val>
          <c:extLst>
            <c:ext xmlns:c16="http://schemas.microsoft.com/office/drawing/2014/chart" uri="{C3380CC4-5D6E-409C-BE32-E72D297353CC}">
              <c16:uniqueId val="{00000000-F286-460C-B23A-0D8361AD1872}"/>
            </c:ext>
          </c:extLst>
        </c:ser>
        <c:ser>
          <c:idx val="1"/>
          <c:order val="1"/>
          <c:tx>
            <c:strRef>
              <c:f>'MoM-Purchase Count (Ind Stores)'!$C$3:$C$4</c:f>
              <c:strCache>
                <c:ptCount val="1"/>
                <c:pt idx="0">
                  <c:v>RASTA PETH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'MoM-Purchase Count (Ind Stores)'!$A$5:$A$14</c:f>
              <c:strCache>
                <c:ptCount val="9"/>
                <c:pt idx="0">
                  <c:v>Apr</c:v>
                </c:pt>
                <c:pt idx="1">
                  <c:v>May</c:v>
                </c:pt>
                <c:pt idx="2">
                  <c:v>Jun</c:v>
                </c:pt>
                <c:pt idx="3">
                  <c:v>Jul</c:v>
                </c:pt>
                <c:pt idx="4">
                  <c:v>Aug</c:v>
                </c:pt>
                <c:pt idx="5">
                  <c:v>Sep</c:v>
                </c:pt>
                <c:pt idx="6">
                  <c:v>Oct</c:v>
                </c:pt>
                <c:pt idx="7">
                  <c:v>Nov</c:v>
                </c:pt>
                <c:pt idx="8">
                  <c:v>Dec</c:v>
                </c:pt>
              </c:strCache>
            </c:strRef>
          </c:cat>
          <c:val>
            <c:numRef>
              <c:f>'MoM-Purchase Count (Ind Stores)'!$C$5:$C$14</c:f>
              <c:numCache>
                <c:formatCode>General</c:formatCode>
                <c:ptCount val="9"/>
                <c:pt idx="0">
                  <c:v>21</c:v>
                </c:pt>
                <c:pt idx="1">
                  <c:v>54</c:v>
                </c:pt>
                <c:pt idx="2">
                  <c:v>37</c:v>
                </c:pt>
                <c:pt idx="3">
                  <c:v>58</c:v>
                </c:pt>
                <c:pt idx="4">
                  <c:v>60</c:v>
                </c:pt>
                <c:pt idx="5">
                  <c:v>54</c:v>
                </c:pt>
                <c:pt idx="6">
                  <c:v>78</c:v>
                </c:pt>
                <c:pt idx="7">
                  <c:v>41</c:v>
                </c:pt>
                <c:pt idx="8">
                  <c:v>58</c:v>
                </c:pt>
              </c:numCache>
            </c:numRef>
          </c:val>
          <c:extLst>
            <c:ext xmlns:c16="http://schemas.microsoft.com/office/drawing/2014/chart" uri="{C3380CC4-5D6E-409C-BE32-E72D297353CC}">
              <c16:uniqueId val="{00000001-F286-460C-B23A-0D8361AD1872}"/>
            </c:ext>
          </c:extLst>
        </c:ser>
        <c:ser>
          <c:idx val="2"/>
          <c:order val="2"/>
          <c:tx>
            <c:strRef>
              <c:f>'MoM-Purchase Count (Ind Stores)'!$D$3:$D$4</c:f>
              <c:strCache>
                <c:ptCount val="1"/>
                <c:pt idx="0">
                  <c:v>SINHAGAD ROAD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'MoM-Purchase Count (Ind Stores)'!$A$5:$A$14</c:f>
              <c:strCache>
                <c:ptCount val="9"/>
                <c:pt idx="0">
                  <c:v>Apr</c:v>
                </c:pt>
                <c:pt idx="1">
                  <c:v>May</c:v>
                </c:pt>
                <c:pt idx="2">
                  <c:v>Jun</c:v>
                </c:pt>
                <c:pt idx="3">
                  <c:v>Jul</c:v>
                </c:pt>
                <c:pt idx="4">
                  <c:v>Aug</c:v>
                </c:pt>
                <c:pt idx="5">
                  <c:v>Sep</c:v>
                </c:pt>
                <c:pt idx="6">
                  <c:v>Oct</c:v>
                </c:pt>
                <c:pt idx="7">
                  <c:v>Nov</c:v>
                </c:pt>
                <c:pt idx="8">
                  <c:v>Dec</c:v>
                </c:pt>
              </c:strCache>
            </c:strRef>
          </c:cat>
          <c:val>
            <c:numRef>
              <c:f>'MoM-Purchase Count (Ind Stores)'!$D$5:$D$14</c:f>
              <c:numCache>
                <c:formatCode>General</c:formatCode>
                <c:ptCount val="9"/>
                <c:pt idx="1">
                  <c:v>1</c:v>
                </c:pt>
                <c:pt idx="2">
                  <c:v>3</c:v>
                </c:pt>
                <c:pt idx="3">
                  <c:v>3</c:v>
                </c:pt>
                <c:pt idx="4">
                  <c:v>1</c:v>
                </c:pt>
              </c:numCache>
            </c:numRef>
          </c:val>
          <c:extLst>
            <c:ext xmlns:c16="http://schemas.microsoft.com/office/drawing/2014/chart" uri="{C3380CC4-5D6E-409C-BE32-E72D297353CC}">
              <c16:uniqueId val="{00000002-F286-460C-B23A-0D8361AD1872}"/>
            </c:ext>
          </c:extLst>
        </c:ser>
        <c:ser>
          <c:idx val="3"/>
          <c:order val="3"/>
          <c:tx>
            <c:strRef>
              <c:f>'MoM-Purchase Count (Ind Stores)'!$E$3:$E$4</c:f>
              <c:strCache>
                <c:ptCount val="1"/>
                <c:pt idx="0">
                  <c:v>SOMWAR PETH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'MoM-Purchase Count (Ind Stores)'!$A$5:$A$14</c:f>
              <c:strCache>
                <c:ptCount val="9"/>
                <c:pt idx="0">
                  <c:v>Apr</c:v>
                </c:pt>
                <c:pt idx="1">
                  <c:v>May</c:v>
                </c:pt>
                <c:pt idx="2">
                  <c:v>Jun</c:v>
                </c:pt>
                <c:pt idx="3">
                  <c:v>Jul</c:v>
                </c:pt>
                <c:pt idx="4">
                  <c:v>Aug</c:v>
                </c:pt>
                <c:pt idx="5">
                  <c:v>Sep</c:v>
                </c:pt>
                <c:pt idx="6">
                  <c:v>Oct</c:v>
                </c:pt>
                <c:pt idx="7">
                  <c:v>Nov</c:v>
                </c:pt>
                <c:pt idx="8">
                  <c:v>Dec</c:v>
                </c:pt>
              </c:strCache>
            </c:strRef>
          </c:cat>
          <c:val>
            <c:numRef>
              <c:f>'MoM-Purchase Count (Ind Stores)'!$E$5:$E$14</c:f>
              <c:numCache>
                <c:formatCode>General</c:formatCode>
                <c:ptCount val="9"/>
                <c:pt idx="2">
                  <c:v>1</c:v>
                </c:pt>
                <c:pt idx="3">
                  <c:v>2</c:v>
                </c:pt>
                <c:pt idx="4">
                  <c:v>1</c:v>
                </c:pt>
              </c:numCache>
            </c:numRef>
          </c:val>
          <c:extLst>
            <c:ext xmlns:c16="http://schemas.microsoft.com/office/drawing/2014/chart" uri="{C3380CC4-5D6E-409C-BE32-E72D297353CC}">
              <c16:uniqueId val="{00000003-F286-460C-B23A-0D8361AD1872}"/>
            </c:ext>
          </c:extLst>
        </c:ser>
        <c:ser>
          <c:idx val="4"/>
          <c:order val="4"/>
          <c:tx>
            <c:strRef>
              <c:f>'MoM-Purchase Count (Ind Stores)'!$F$3:$F$4</c:f>
              <c:strCache>
                <c:ptCount val="1"/>
                <c:pt idx="0">
                  <c:v>UNDRI</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'MoM-Purchase Count (Ind Stores)'!$A$5:$A$14</c:f>
              <c:strCache>
                <c:ptCount val="9"/>
                <c:pt idx="0">
                  <c:v>Apr</c:v>
                </c:pt>
                <c:pt idx="1">
                  <c:v>May</c:v>
                </c:pt>
                <c:pt idx="2">
                  <c:v>Jun</c:v>
                </c:pt>
                <c:pt idx="3">
                  <c:v>Jul</c:v>
                </c:pt>
                <c:pt idx="4">
                  <c:v>Aug</c:v>
                </c:pt>
                <c:pt idx="5">
                  <c:v>Sep</c:v>
                </c:pt>
                <c:pt idx="6">
                  <c:v>Oct</c:v>
                </c:pt>
                <c:pt idx="7">
                  <c:v>Nov</c:v>
                </c:pt>
                <c:pt idx="8">
                  <c:v>Dec</c:v>
                </c:pt>
              </c:strCache>
            </c:strRef>
          </c:cat>
          <c:val>
            <c:numRef>
              <c:f>'MoM-Purchase Count (Ind Stores)'!$F$5:$F$14</c:f>
              <c:numCache>
                <c:formatCode>General</c:formatCode>
                <c:ptCount val="9"/>
                <c:pt idx="1">
                  <c:v>3</c:v>
                </c:pt>
                <c:pt idx="2">
                  <c:v>4</c:v>
                </c:pt>
                <c:pt idx="3">
                  <c:v>3</c:v>
                </c:pt>
                <c:pt idx="4">
                  <c:v>1</c:v>
                </c:pt>
                <c:pt idx="5">
                  <c:v>4</c:v>
                </c:pt>
              </c:numCache>
            </c:numRef>
          </c:val>
          <c:extLst>
            <c:ext xmlns:c16="http://schemas.microsoft.com/office/drawing/2014/chart" uri="{C3380CC4-5D6E-409C-BE32-E72D297353CC}">
              <c16:uniqueId val="{00000004-F286-460C-B23A-0D8361AD1872}"/>
            </c:ext>
          </c:extLst>
        </c:ser>
        <c:ser>
          <c:idx val="5"/>
          <c:order val="5"/>
          <c:tx>
            <c:strRef>
              <c:f>'MoM-Purchase Count (Ind Stores)'!$G$3:$G$4</c:f>
              <c:strCache>
                <c:ptCount val="1"/>
                <c:pt idx="0">
                  <c:v>WAKAD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'MoM-Purchase Count (Ind Stores)'!$A$5:$A$14</c:f>
              <c:strCache>
                <c:ptCount val="9"/>
                <c:pt idx="0">
                  <c:v>Apr</c:v>
                </c:pt>
                <c:pt idx="1">
                  <c:v>May</c:v>
                </c:pt>
                <c:pt idx="2">
                  <c:v>Jun</c:v>
                </c:pt>
                <c:pt idx="3">
                  <c:v>Jul</c:v>
                </c:pt>
                <c:pt idx="4">
                  <c:v>Aug</c:v>
                </c:pt>
                <c:pt idx="5">
                  <c:v>Sep</c:v>
                </c:pt>
                <c:pt idx="6">
                  <c:v>Oct</c:v>
                </c:pt>
                <c:pt idx="7">
                  <c:v>Nov</c:v>
                </c:pt>
                <c:pt idx="8">
                  <c:v>Dec</c:v>
                </c:pt>
              </c:strCache>
            </c:strRef>
          </c:cat>
          <c:val>
            <c:numRef>
              <c:f>'MoM-Purchase Count (Ind Stores)'!$G$5:$G$14</c:f>
              <c:numCache>
                <c:formatCode>General</c:formatCode>
                <c:ptCount val="9"/>
                <c:pt idx="0">
                  <c:v>12</c:v>
                </c:pt>
                <c:pt idx="1">
                  <c:v>6</c:v>
                </c:pt>
                <c:pt idx="2">
                  <c:v>15</c:v>
                </c:pt>
                <c:pt idx="3">
                  <c:v>14</c:v>
                </c:pt>
                <c:pt idx="4">
                  <c:v>18</c:v>
                </c:pt>
                <c:pt idx="5">
                  <c:v>11</c:v>
                </c:pt>
                <c:pt idx="6">
                  <c:v>8</c:v>
                </c:pt>
                <c:pt idx="7">
                  <c:v>12</c:v>
                </c:pt>
                <c:pt idx="8">
                  <c:v>10</c:v>
                </c:pt>
              </c:numCache>
            </c:numRef>
          </c:val>
          <c:extLst>
            <c:ext xmlns:c16="http://schemas.microsoft.com/office/drawing/2014/chart" uri="{C3380CC4-5D6E-409C-BE32-E72D297353CC}">
              <c16:uniqueId val="{00000005-F286-460C-B23A-0D8361AD1872}"/>
            </c:ext>
          </c:extLst>
        </c:ser>
        <c:dLbls>
          <c:showLegendKey val="0"/>
          <c:showVal val="0"/>
          <c:showCatName val="0"/>
          <c:showSerName val="0"/>
          <c:showPercent val="0"/>
          <c:showBubbleSize val="0"/>
        </c:dLbls>
        <c:gapWidth val="100"/>
        <c:overlap val="-24"/>
        <c:axId val="535329608"/>
        <c:axId val="535329968"/>
      </c:barChart>
      <c:catAx>
        <c:axId val="535329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329968"/>
        <c:crosses val="autoZero"/>
        <c:auto val="1"/>
        <c:lblAlgn val="ctr"/>
        <c:lblOffset val="100"/>
        <c:noMultiLvlLbl val="0"/>
      </c:catAx>
      <c:valAx>
        <c:axId val="535329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329608"/>
        <c:crosses val="autoZero"/>
        <c:crossBetween val="between"/>
      </c:valAx>
      <c:spPr>
        <a:noFill/>
        <a:ln>
          <a:noFill/>
        </a:ln>
        <a:effectLst/>
      </c:spPr>
    </c:plotArea>
    <c:legend>
      <c:legendPos val="r"/>
      <c:layout>
        <c:manualLayout>
          <c:xMode val="edge"/>
          <c:yMode val="edge"/>
          <c:x val="0.77083333333333337"/>
          <c:y val="0.25976778944298629"/>
          <c:w val="0.14588859416445621"/>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Assignment.xlsx]MoM-Total Purchase Price!PivotTable5</c:name>
    <c:fmtId val="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s>
    <c:plotArea>
      <c:layout/>
      <c:lineChart>
        <c:grouping val="standard"/>
        <c:varyColors val="0"/>
        <c:ser>
          <c:idx val="0"/>
          <c:order val="0"/>
          <c:tx>
            <c:strRef>
              <c:f>'MoM-Total Purchase Price'!$B$3:$B$4</c:f>
              <c:strCache>
                <c:ptCount val="1"/>
                <c:pt idx="0">
                  <c:v>KHARADI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'MoM-Total Purchase Price'!$A$5:$A$14</c:f>
              <c:strCache>
                <c:ptCount val="9"/>
                <c:pt idx="0">
                  <c:v>Apr</c:v>
                </c:pt>
                <c:pt idx="1">
                  <c:v>May</c:v>
                </c:pt>
                <c:pt idx="2">
                  <c:v>Jun</c:v>
                </c:pt>
                <c:pt idx="3">
                  <c:v>Jul</c:v>
                </c:pt>
                <c:pt idx="4">
                  <c:v>Aug</c:v>
                </c:pt>
                <c:pt idx="5">
                  <c:v>Sep</c:v>
                </c:pt>
                <c:pt idx="6">
                  <c:v>Oct</c:v>
                </c:pt>
                <c:pt idx="7">
                  <c:v>Nov</c:v>
                </c:pt>
                <c:pt idx="8">
                  <c:v>Dec</c:v>
                </c:pt>
              </c:strCache>
            </c:strRef>
          </c:cat>
          <c:val>
            <c:numRef>
              <c:f>'MoM-Total Purchase Price'!$B$5:$B$14</c:f>
              <c:numCache>
                <c:formatCode>General</c:formatCode>
                <c:ptCount val="9"/>
                <c:pt idx="0">
                  <c:v>523700</c:v>
                </c:pt>
                <c:pt idx="1">
                  <c:v>557300</c:v>
                </c:pt>
                <c:pt idx="2">
                  <c:v>457100</c:v>
                </c:pt>
                <c:pt idx="3">
                  <c:v>792600</c:v>
                </c:pt>
                <c:pt idx="4">
                  <c:v>658000</c:v>
                </c:pt>
                <c:pt idx="5">
                  <c:v>1016600</c:v>
                </c:pt>
                <c:pt idx="6">
                  <c:v>571000</c:v>
                </c:pt>
                <c:pt idx="7">
                  <c:v>416700</c:v>
                </c:pt>
                <c:pt idx="8">
                  <c:v>337600</c:v>
                </c:pt>
              </c:numCache>
            </c:numRef>
          </c:val>
          <c:smooth val="0"/>
          <c:extLst>
            <c:ext xmlns:c16="http://schemas.microsoft.com/office/drawing/2014/chart" uri="{C3380CC4-5D6E-409C-BE32-E72D297353CC}">
              <c16:uniqueId val="{00000000-AE40-4856-8E4F-DEEF348E04C0}"/>
            </c:ext>
          </c:extLst>
        </c:ser>
        <c:ser>
          <c:idx val="1"/>
          <c:order val="1"/>
          <c:tx>
            <c:strRef>
              <c:f>'MoM-Total Purchase Price'!$C$3:$C$4</c:f>
              <c:strCache>
                <c:ptCount val="1"/>
                <c:pt idx="0">
                  <c:v>RASTA PETH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'MoM-Total Purchase Price'!$A$5:$A$14</c:f>
              <c:strCache>
                <c:ptCount val="9"/>
                <c:pt idx="0">
                  <c:v>Apr</c:v>
                </c:pt>
                <c:pt idx="1">
                  <c:v>May</c:v>
                </c:pt>
                <c:pt idx="2">
                  <c:v>Jun</c:v>
                </c:pt>
                <c:pt idx="3">
                  <c:v>Jul</c:v>
                </c:pt>
                <c:pt idx="4">
                  <c:v>Aug</c:v>
                </c:pt>
                <c:pt idx="5">
                  <c:v>Sep</c:v>
                </c:pt>
                <c:pt idx="6">
                  <c:v>Oct</c:v>
                </c:pt>
                <c:pt idx="7">
                  <c:v>Nov</c:v>
                </c:pt>
                <c:pt idx="8">
                  <c:v>Dec</c:v>
                </c:pt>
              </c:strCache>
            </c:strRef>
          </c:cat>
          <c:val>
            <c:numRef>
              <c:f>'MoM-Total Purchase Price'!$C$5:$C$14</c:f>
              <c:numCache>
                <c:formatCode>General</c:formatCode>
                <c:ptCount val="9"/>
                <c:pt idx="0">
                  <c:v>809900</c:v>
                </c:pt>
                <c:pt idx="1">
                  <c:v>2876900</c:v>
                </c:pt>
                <c:pt idx="2">
                  <c:v>2413800</c:v>
                </c:pt>
                <c:pt idx="3">
                  <c:v>3365500</c:v>
                </c:pt>
                <c:pt idx="4">
                  <c:v>2722400</c:v>
                </c:pt>
                <c:pt idx="5">
                  <c:v>3299930</c:v>
                </c:pt>
                <c:pt idx="6">
                  <c:v>3541900</c:v>
                </c:pt>
                <c:pt idx="7">
                  <c:v>1737900</c:v>
                </c:pt>
                <c:pt idx="8">
                  <c:v>2511660</c:v>
                </c:pt>
              </c:numCache>
            </c:numRef>
          </c:val>
          <c:smooth val="0"/>
          <c:extLst>
            <c:ext xmlns:c16="http://schemas.microsoft.com/office/drawing/2014/chart" uri="{C3380CC4-5D6E-409C-BE32-E72D297353CC}">
              <c16:uniqueId val="{00000001-AE40-4856-8E4F-DEEF348E04C0}"/>
            </c:ext>
          </c:extLst>
        </c:ser>
        <c:ser>
          <c:idx val="2"/>
          <c:order val="2"/>
          <c:tx>
            <c:strRef>
              <c:f>'MoM-Total Purchase Price'!$D$3:$D$4</c:f>
              <c:strCache>
                <c:ptCount val="1"/>
                <c:pt idx="0">
                  <c:v>SINHAGAD ROAD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'MoM-Total Purchase Price'!$A$5:$A$14</c:f>
              <c:strCache>
                <c:ptCount val="9"/>
                <c:pt idx="0">
                  <c:v>Apr</c:v>
                </c:pt>
                <c:pt idx="1">
                  <c:v>May</c:v>
                </c:pt>
                <c:pt idx="2">
                  <c:v>Jun</c:v>
                </c:pt>
                <c:pt idx="3">
                  <c:v>Jul</c:v>
                </c:pt>
                <c:pt idx="4">
                  <c:v>Aug</c:v>
                </c:pt>
                <c:pt idx="5">
                  <c:v>Sep</c:v>
                </c:pt>
                <c:pt idx="6">
                  <c:v>Oct</c:v>
                </c:pt>
                <c:pt idx="7">
                  <c:v>Nov</c:v>
                </c:pt>
                <c:pt idx="8">
                  <c:v>Dec</c:v>
                </c:pt>
              </c:strCache>
            </c:strRef>
          </c:cat>
          <c:val>
            <c:numRef>
              <c:f>'MoM-Total Purchase Price'!$D$5:$D$14</c:f>
              <c:numCache>
                <c:formatCode>General</c:formatCode>
                <c:ptCount val="9"/>
                <c:pt idx="1">
                  <c:v>30000</c:v>
                </c:pt>
                <c:pt idx="2">
                  <c:v>79000</c:v>
                </c:pt>
                <c:pt idx="3">
                  <c:v>233500</c:v>
                </c:pt>
                <c:pt idx="4">
                  <c:v>10000</c:v>
                </c:pt>
              </c:numCache>
            </c:numRef>
          </c:val>
          <c:smooth val="0"/>
          <c:extLst>
            <c:ext xmlns:c16="http://schemas.microsoft.com/office/drawing/2014/chart" uri="{C3380CC4-5D6E-409C-BE32-E72D297353CC}">
              <c16:uniqueId val="{00000002-AE40-4856-8E4F-DEEF348E04C0}"/>
            </c:ext>
          </c:extLst>
        </c:ser>
        <c:ser>
          <c:idx val="3"/>
          <c:order val="3"/>
          <c:tx>
            <c:strRef>
              <c:f>'MoM-Total Purchase Price'!$E$3:$E$4</c:f>
              <c:strCache>
                <c:ptCount val="1"/>
                <c:pt idx="0">
                  <c:v>SOMWAR PETH</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'MoM-Total Purchase Price'!$A$5:$A$14</c:f>
              <c:strCache>
                <c:ptCount val="9"/>
                <c:pt idx="0">
                  <c:v>Apr</c:v>
                </c:pt>
                <c:pt idx="1">
                  <c:v>May</c:v>
                </c:pt>
                <c:pt idx="2">
                  <c:v>Jun</c:v>
                </c:pt>
                <c:pt idx="3">
                  <c:v>Jul</c:v>
                </c:pt>
                <c:pt idx="4">
                  <c:v>Aug</c:v>
                </c:pt>
                <c:pt idx="5">
                  <c:v>Sep</c:v>
                </c:pt>
                <c:pt idx="6">
                  <c:v>Oct</c:v>
                </c:pt>
                <c:pt idx="7">
                  <c:v>Nov</c:v>
                </c:pt>
                <c:pt idx="8">
                  <c:v>Dec</c:v>
                </c:pt>
              </c:strCache>
            </c:strRef>
          </c:cat>
          <c:val>
            <c:numRef>
              <c:f>'MoM-Total Purchase Price'!$E$5:$E$14</c:f>
              <c:numCache>
                <c:formatCode>General</c:formatCode>
                <c:ptCount val="9"/>
                <c:pt idx="2">
                  <c:v>27500</c:v>
                </c:pt>
                <c:pt idx="3">
                  <c:v>117000</c:v>
                </c:pt>
                <c:pt idx="4">
                  <c:v>152000</c:v>
                </c:pt>
              </c:numCache>
            </c:numRef>
          </c:val>
          <c:smooth val="0"/>
          <c:extLst>
            <c:ext xmlns:c16="http://schemas.microsoft.com/office/drawing/2014/chart" uri="{C3380CC4-5D6E-409C-BE32-E72D297353CC}">
              <c16:uniqueId val="{00000003-AE40-4856-8E4F-DEEF348E04C0}"/>
            </c:ext>
          </c:extLst>
        </c:ser>
        <c:ser>
          <c:idx val="4"/>
          <c:order val="4"/>
          <c:tx>
            <c:strRef>
              <c:f>'MoM-Total Purchase Price'!$F$3:$F$4</c:f>
              <c:strCache>
                <c:ptCount val="1"/>
                <c:pt idx="0">
                  <c:v>UNDRI</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'MoM-Total Purchase Price'!$A$5:$A$14</c:f>
              <c:strCache>
                <c:ptCount val="9"/>
                <c:pt idx="0">
                  <c:v>Apr</c:v>
                </c:pt>
                <c:pt idx="1">
                  <c:v>May</c:v>
                </c:pt>
                <c:pt idx="2">
                  <c:v>Jun</c:v>
                </c:pt>
                <c:pt idx="3">
                  <c:v>Jul</c:v>
                </c:pt>
                <c:pt idx="4">
                  <c:v>Aug</c:v>
                </c:pt>
                <c:pt idx="5">
                  <c:v>Sep</c:v>
                </c:pt>
                <c:pt idx="6">
                  <c:v>Oct</c:v>
                </c:pt>
                <c:pt idx="7">
                  <c:v>Nov</c:v>
                </c:pt>
                <c:pt idx="8">
                  <c:v>Dec</c:v>
                </c:pt>
              </c:strCache>
            </c:strRef>
          </c:cat>
          <c:val>
            <c:numRef>
              <c:f>'MoM-Total Purchase Price'!$F$5:$F$14</c:f>
              <c:numCache>
                <c:formatCode>General</c:formatCode>
                <c:ptCount val="9"/>
                <c:pt idx="1">
                  <c:v>47500</c:v>
                </c:pt>
                <c:pt idx="2">
                  <c:v>408000</c:v>
                </c:pt>
                <c:pt idx="3">
                  <c:v>249000</c:v>
                </c:pt>
                <c:pt idx="4">
                  <c:v>70000</c:v>
                </c:pt>
                <c:pt idx="5">
                  <c:v>298000</c:v>
                </c:pt>
              </c:numCache>
            </c:numRef>
          </c:val>
          <c:smooth val="0"/>
          <c:extLst>
            <c:ext xmlns:c16="http://schemas.microsoft.com/office/drawing/2014/chart" uri="{C3380CC4-5D6E-409C-BE32-E72D297353CC}">
              <c16:uniqueId val="{00000004-AE40-4856-8E4F-DEEF348E04C0}"/>
            </c:ext>
          </c:extLst>
        </c:ser>
        <c:ser>
          <c:idx val="5"/>
          <c:order val="5"/>
          <c:tx>
            <c:strRef>
              <c:f>'MoM-Total Purchase Price'!$G$3:$G$4</c:f>
              <c:strCache>
                <c:ptCount val="1"/>
                <c:pt idx="0">
                  <c:v>WAKAD</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'MoM-Total Purchase Price'!$A$5:$A$14</c:f>
              <c:strCache>
                <c:ptCount val="9"/>
                <c:pt idx="0">
                  <c:v>Apr</c:v>
                </c:pt>
                <c:pt idx="1">
                  <c:v>May</c:v>
                </c:pt>
                <c:pt idx="2">
                  <c:v>Jun</c:v>
                </c:pt>
                <c:pt idx="3">
                  <c:v>Jul</c:v>
                </c:pt>
                <c:pt idx="4">
                  <c:v>Aug</c:v>
                </c:pt>
                <c:pt idx="5">
                  <c:v>Sep</c:v>
                </c:pt>
                <c:pt idx="6">
                  <c:v>Oct</c:v>
                </c:pt>
                <c:pt idx="7">
                  <c:v>Nov</c:v>
                </c:pt>
                <c:pt idx="8">
                  <c:v>Dec</c:v>
                </c:pt>
              </c:strCache>
            </c:strRef>
          </c:cat>
          <c:val>
            <c:numRef>
              <c:f>'MoM-Total Purchase Price'!$G$5:$G$14</c:f>
              <c:numCache>
                <c:formatCode>General</c:formatCode>
                <c:ptCount val="9"/>
                <c:pt idx="0">
                  <c:v>531400</c:v>
                </c:pt>
                <c:pt idx="1">
                  <c:v>541300</c:v>
                </c:pt>
                <c:pt idx="2">
                  <c:v>967600</c:v>
                </c:pt>
                <c:pt idx="3">
                  <c:v>1022000</c:v>
                </c:pt>
                <c:pt idx="4">
                  <c:v>881800</c:v>
                </c:pt>
                <c:pt idx="5">
                  <c:v>391900</c:v>
                </c:pt>
                <c:pt idx="6">
                  <c:v>363400</c:v>
                </c:pt>
                <c:pt idx="7">
                  <c:v>762500</c:v>
                </c:pt>
                <c:pt idx="8">
                  <c:v>409500</c:v>
                </c:pt>
              </c:numCache>
            </c:numRef>
          </c:val>
          <c:smooth val="0"/>
          <c:extLst>
            <c:ext xmlns:c16="http://schemas.microsoft.com/office/drawing/2014/chart" uri="{C3380CC4-5D6E-409C-BE32-E72D297353CC}">
              <c16:uniqueId val="{00000005-AE40-4856-8E4F-DEEF348E04C0}"/>
            </c:ext>
          </c:extLst>
        </c:ser>
        <c:dLbls>
          <c:showLegendKey val="0"/>
          <c:showVal val="0"/>
          <c:showCatName val="0"/>
          <c:showSerName val="0"/>
          <c:showPercent val="0"/>
          <c:showBubbleSize val="0"/>
        </c:dLbls>
        <c:marker val="1"/>
        <c:smooth val="0"/>
        <c:axId val="531449512"/>
        <c:axId val="531449152"/>
      </c:lineChart>
      <c:catAx>
        <c:axId val="5314495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449152"/>
        <c:crosses val="autoZero"/>
        <c:auto val="1"/>
        <c:lblAlgn val="ctr"/>
        <c:lblOffset val="100"/>
        <c:noMultiLvlLbl val="0"/>
      </c:catAx>
      <c:valAx>
        <c:axId val="531449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449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Assignment.xlsx]MoM-Average Purchase Price!PivotTable7</c:name>
    <c:fmtId val="0"/>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'MoM-Average Purchase Price'!$B$3:$B$4</c:f>
              <c:strCache>
                <c:ptCount val="1"/>
                <c:pt idx="0">
                  <c:v>KHARADI</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'MoM-Average Purchase Price'!$A$5:$A$14</c:f>
              <c:strCache>
                <c:ptCount val="9"/>
                <c:pt idx="0">
                  <c:v>Apr</c:v>
                </c:pt>
                <c:pt idx="1">
                  <c:v>May</c:v>
                </c:pt>
                <c:pt idx="2">
                  <c:v>Jun</c:v>
                </c:pt>
                <c:pt idx="3">
                  <c:v>Jul</c:v>
                </c:pt>
                <c:pt idx="4">
                  <c:v>Aug</c:v>
                </c:pt>
                <c:pt idx="5">
                  <c:v>Sep</c:v>
                </c:pt>
                <c:pt idx="6">
                  <c:v>Oct</c:v>
                </c:pt>
                <c:pt idx="7">
                  <c:v>Nov</c:v>
                </c:pt>
                <c:pt idx="8">
                  <c:v>Dec</c:v>
                </c:pt>
              </c:strCache>
            </c:strRef>
          </c:cat>
          <c:val>
            <c:numRef>
              <c:f>'MoM-Average Purchase Price'!$B$5:$B$14</c:f>
              <c:numCache>
                <c:formatCode>0</c:formatCode>
                <c:ptCount val="9"/>
                <c:pt idx="0">
                  <c:v>43641.666666666664</c:v>
                </c:pt>
                <c:pt idx="1">
                  <c:v>50663.63636363636</c:v>
                </c:pt>
                <c:pt idx="2">
                  <c:v>41554.545454545456</c:v>
                </c:pt>
                <c:pt idx="3">
                  <c:v>72054.545454545456</c:v>
                </c:pt>
                <c:pt idx="4">
                  <c:v>59818.181818181816</c:v>
                </c:pt>
                <c:pt idx="5">
                  <c:v>48409.523809523809</c:v>
                </c:pt>
                <c:pt idx="6">
                  <c:v>35687.5</c:v>
                </c:pt>
                <c:pt idx="7">
                  <c:v>52087.5</c:v>
                </c:pt>
                <c:pt idx="8">
                  <c:v>42200</c:v>
                </c:pt>
              </c:numCache>
            </c:numRef>
          </c:val>
          <c:extLst>
            <c:ext xmlns:c16="http://schemas.microsoft.com/office/drawing/2014/chart" uri="{C3380CC4-5D6E-409C-BE32-E72D297353CC}">
              <c16:uniqueId val="{00000000-F4D8-4813-B3E4-D8BE11E23AC8}"/>
            </c:ext>
          </c:extLst>
        </c:ser>
        <c:ser>
          <c:idx val="1"/>
          <c:order val="1"/>
          <c:tx>
            <c:strRef>
              <c:f>'MoM-Average Purchase Price'!$C$3:$C$4</c:f>
              <c:strCache>
                <c:ptCount val="1"/>
                <c:pt idx="0">
                  <c:v>RASTA PETH</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'MoM-Average Purchase Price'!$A$5:$A$14</c:f>
              <c:strCache>
                <c:ptCount val="9"/>
                <c:pt idx="0">
                  <c:v>Apr</c:v>
                </c:pt>
                <c:pt idx="1">
                  <c:v>May</c:v>
                </c:pt>
                <c:pt idx="2">
                  <c:v>Jun</c:v>
                </c:pt>
                <c:pt idx="3">
                  <c:v>Jul</c:v>
                </c:pt>
                <c:pt idx="4">
                  <c:v>Aug</c:v>
                </c:pt>
                <c:pt idx="5">
                  <c:v>Sep</c:v>
                </c:pt>
                <c:pt idx="6">
                  <c:v>Oct</c:v>
                </c:pt>
                <c:pt idx="7">
                  <c:v>Nov</c:v>
                </c:pt>
                <c:pt idx="8">
                  <c:v>Dec</c:v>
                </c:pt>
              </c:strCache>
            </c:strRef>
          </c:cat>
          <c:val>
            <c:numRef>
              <c:f>'MoM-Average Purchase Price'!$C$5:$C$14</c:f>
              <c:numCache>
                <c:formatCode>0</c:formatCode>
                <c:ptCount val="9"/>
                <c:pt idx="0">
                  <c:v>38566.666666666664</c:v>
                </c:pt>
                <c:pt idx="1">
                  <c:v>53275.925925925927</c:v>
                </c:pt>
                <c:pt idx="2">
                  <c:v>65237.83783783784</c:v>
                </c:pt>
                <c:pt idx="3">
                  <c:v>58025.862068965514</c:v>
                </c:pt>
                <c:pt idx="4">
                  <c:v>45373.333333333336</c:v>
                </c:pt>
                <c:pt idx="5">
                  <c:v>61109.814814814818</c:v>
                </c:pt>
                <c:pt idx="6">
                  <c:v>45408.974358974359</c:v>
                </c:pt>
                <c:pt idx="7">
                  <c:v>42387.804878048781</c:v>
                </c:pt>
                <c:pt idx="8">
                  <c:v>43304.482758620688</c:v>
                </c:pt>
              </c:numCache>
            </c:numRef>
          </c:val>
          <c:extLst>
            <c:ext xmlns:c16="http://schemas.microsoft.com/office/drawing/2014/chart" uri="{C3380CC4-5D6E-409C-BE32-E72D297353CC}">
              <c16:uniqueId val="{00000028-F4D8-4813-B3E4-D8BE11E23AC8}"/>
            </c:ext>
          </c:extLst>
        </c:ser>
        <c:ser>
          <c:idx val="2"/>
          <c:order val="2"/>
          <c:tx>
            <c:strRef>
              <c:f>'MoM-Average Purchase Price'!$D$3:$D$4</c:f>
              <c:strCache>
                <c:ptCount val="1"/>
                <c:pt idx="0">
                  <c:v>SINHAGAD ROAD</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'MoM-Average Purchase Price'!$A$5:$A$14</c:f>
              <c:strCache>
                <c:ptCount val="9"/>
                <c:pt idx="0">
                  <c:v>Apr</c:v>
                </c:pt>
                <c:pt idx="1">
                  <c:v>May</c:v>
                </c:pt>
                <c:pt idx="2">
                  <c:v>Jun</c:v>
                </c:pt>
                <c:pt idx="3">
                  <c:v>Jul</c:v>
                </c:pt>
                <c:pt idx="4">
                  <c:v>Aug</c:v>
                </c:pt>
                <c:pt idx="5">
                  <c:v>Sep</c:v>
                </c:pt>
                <c:pt idx="6">
                  <c:v>Oct</c:v>
                </c:pt>
                <c:pt idx="7">
                  <c:v>Nov</c:v>
                </c:pt>
                <c:pt idx="8">
                  <c:v>Dec</c:v>
                </c:pt>
              </c:strCache>
            </c:strRef>
          </c:cat>
          <c:val>
            <c:numRef>
              <c:f>'MoM-Average Purchase Price'!$D$5:$D$14</c:f>
              <c:numCache>
                <c:formatCode>0</c:formatCode>
                <c:ptCount val="9"/>
                <c:pt idx="1">
                  <c:v>30000</c:v>
                </c:pt>
                <c:pt idx="2">
                  <c:v>26333.333333333332</c:v>
                </c:pt>
                <c:pt idx="3">
                  <c:v>77833.333333333328</c:v>
                </c:pt>
                <c:pt idx="4">
                  <c:v>10000</c:v>
                </c:pt>
              </c:numCache>
            </c:numRef>
          </c:val>
          <c:extLst>
            <c:ext xmlns:c16="http://schemas.microsoft.com/office/drawing/2014/chart" uri="{C3380CC4-5D6E-409C-BE32-E72D297353CC}">
              <c16:uniqueId val="{00000029-F4D8-4813-B3E4-D8BE11E23AC8}"/>
            </c:ext>
          </c:extLst>
        </c:ser>
        <c:ser>
          <c:idx val="3"/>
          <c:order val="3"/>
          <c:tx>
            <c:strRef>
              <c:f>'MoM-Average Purchase Price'!$E$3:$E$4</c:f>
              <c:strCache>
                <c:ptCount val="1"/>
                <c:pt idx="0">
                  <c:v>SOMWAR PETH</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'MoM-Average Purchase Price'!$A$5:$A$14</c:f>
              <c:strCache>
                <c:ptCount val="9"/>
                <c:pt idx="0">
                  <c:v>Apr</c:v>
                </c:pt>
                <c:pt idx="1">
                  <c:v>May</c:v>
                </c:pt>
                <c:pt idx="2">
                  <c:v>Jun</c:v>
                </c:pt>
                <c:pt idx="3">
                  <c:v>Jul</c:v>
                </c:pt>
                <c:pt idx="4">
                  <c:v>Aug</c:v>
                </c:pt>
                <c:pt idx="5">
                  <c:v>Sep</c:v>
                </c:pt>
                <c:pt idx="6">
                  <c:v>Oct</c:v>
                </c:pt>
                <c:pt idx="7">
                  <c:v>Nov</c:v>
                </c:pt>
                <c:pt idx="8">
                  <c:v>Dec</c:v>
                </c:pt>
              </c:strCache>
            </c:strRef>
          </c:cat>
          <c:val>
            <c:numRef>
              <c:f>'MoM-Average Purchase Price'!$E$5:$E$14</c:f>
              <c:numCache>
                <c:formatCode>0</c:formatCode>
                <c:ptCount val="9"/>
                <c:pt idx="2">
                  <c:v>27500</c:v>
                </c:pt>
                <c:pt idx="3">
                  <c:v>58500</c:v>
                </c:pt>
                <c:pt idx="4">
                  <c:v>152000</c:v>
                </c:pt>
              </c:numCache>
            </c:numRef>
          </c:val>
          <c:extLst>
            <c:ext xmlns:c16="http://schemas.microsoft.com/office/drawing/2014/chart" uri="{C3380CC4-5D6E-409C-BE32-E72D297353CC}">
              <c16:uniqueId val="{0000002A-F4D8-4813-B3E4-D8BE11E23AC8}"/>
            </c:ext>
          </c:extLst>
        </c:ser>
        <c:ser>
          <c:idx val="4"/>
          <c:order val="4"/>
          <c:tx>
            <c:strRef>
              <c:f>'MoM-Average Purchase Price'!$F$3:$F$4</c:f>
              <c:strCache>
                <c:ptCount val="1"/>
                <c:pt idx="0">
                  <c:v>UNDRI</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'MoM-Average Purchase Price'!$A$5:$A$14</c:f>
              <c:strCache>
                <c:ptCount val="9"/>
                <c:pt idx="0">
                  <c:v>Apr</c:v>
                </c:pt>
                <c:pt idx="1">
                  <c:v>May</c:v>
                </c:pt>
                <c:pt idx="2">
                  <c:v>Jun</c:v>
                </c:pt>
                <c:pt idx="3">
                  <c:v>Jul</c:v>
                </c:pt>
                <c:pt idx="4">
                  <c:v>Aug</c:v>
                </c:pt>
                <c:pt idx="5">
                  <c:v>Sep</c:v>
                </c:pt>
                <c:pt idx="6">
                  <c:v>Oct</c:v>
                </c:pt>
                <c:pt idx="7">
                  <c:v>Nov</c:v>
                </c:pt>
                <c:pt idx="8">
                  <c:v>Dec</c:v>
                </c:pt>
              </c:strCache>
            </c:strRef>
          </c:cat>
          <c:val>
            <c:numRef>
              <c:f>'MoM-Average Purchase Price'!$F$5:$F$14</c:f>
              <c:numCache>
                <c:formatCode>0</c:formatCode>
                <c:ptCount val="9"/>
                <c:pt idx="1">
                  <c:v>15833.333333333334</c:v>
                </c:pt>
                <c:pt idx="2">
                  <c:v>102000</c:v>
                </c:pt>
                <c:pt idx="3">
                  <c:v>83000</c:v>
                </c:pt>
                <c:pt idx="4">
                  <c:v>70000</c:v>
                </c:pt>
                <c:pt idx="5">
                  <c:v>74500</c:v>
                </c:pt>
              </c:numCache>
            </c:numRef>
          </c:val>
          <c:extLst>
            <c:ext xmlns:c16="http://schemas.microsoft.com/office/drawing/2014/chart" uri="{C3380CC4-5D6E-409C-BE32-E72D297353CC}">
              <c16:uniqueId val="{0000002B-F4D8-4813-B3E4-D8BE11E23AC8}"/>
            </c:ext>
          </c:extLst>
        </c:ser>
        <c:ser>
          <c:idx val="5"/>
          <c:order val="5"/>
          <c:tx>
            <c:strRef>
              <c:f>'MoM-Average Purchase Price'!$G$3:$G$4</c:f>
              <c:strCache>
                <c:ptCount val="1"/>
                <c:pt idx="0">
                  <c:v>WAKAD</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'MoM-Average Purchase Price'!$A$5:$A$14</c:f>
              <c:strCache>
                <c:ptCount val="9"/>
                <c:pt idx="0">
                  <c:v>Apr</c:v>
                </c:pt>
                <c:pt idx="1">
                  <c:v>May</c:v>
                </c:pt>
                <c:pt idx="2">
                  <c:v>Jun</c:v>
                </c:pt>
                <c:pt idx="3">
                  <c:v>Jul</c:v>
                </c:pt>
                <c:pt idx="4">
                  <c:v>Aug</c:v>
                </c:pt>
                <c:pt idx="5">
                  <c:v>Sep</c:v>
                </c:pt>
                <c:pt idx="6">
                  <c:v>Oct</c:v>
                </c:pt>
                <c:pt idx="7">
                  <c:v>Nov</c:v>
                </c:pt>
                <c:pt idx="8">
                  <c:v>Dec</c:v>
                </c:pt>
              </c:strCache>
            </c:strRef>
          </c:cat>
          <c:val>
            <c:numRef>
              <c:f>'MoM-Average Purchase Price'!$G$5:$G$14</c:f>
              <c:numCache>
                <c:formatCode>0</c:formatCode>
                <c:ptCount val="9"/>
                <c:pt idx="0">
                  <c:v>44283.333333333336</c:v>
                </c:pt>
                <c:pt idx="1">
                  <c:v>90216.666666666672</c:v>
                </c:pt>
                <c:pt idx="2">
                  <c:v>64506.666666666664</c:v>
                </c:pt>
                <c:pt idx="3">
                  <c:v>73000</c:v>
                </c:pt>
                <c:pt idx="4">
                  <c:v>48988.888888888891</c:v>
                </c:pt>
                <c:pt idx="5">
                  <c:v>35627.272727272728</c:v>
                </c:pt>
                <c:pt idx="6">
                  <c:v>45425</c:v>
                </c:pt>
                <c:pt idx="7">
                  <c:v>63541.666666666664</c:v>
                </c:pt>
                <c:pt idx="8">
                  <c:v>40950</c:v>
                </c:pt>
              </c:numCache>
            </c:numRef>
          </c:val>
          <c:extLst>
            <c:ext xmlns:c16="http://schemas.microsoft.com/office/drawing/2014/chart" uri="{C3380CC4-5D6E-409C-BE32-E72D297353CC}">
              <c16:uniqueId val="{0000002C-F4D8-4813-B3E4-D8BE11E23AC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38482864"/>
        <c:axId val="538480344"/>
      </c:areaChart>
      <c:catAx>
        <c:axId val="5384828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38480344"/>
        <c:crosses val="autoZero"/>
        <c:auto val="1"/>
        <c:lblAlgn val="ctr"/>
        <c:lblOffset val="100"/>
        <c:noMultiLvlLbl val="0"/>
      </c:catAx>
      <c:valAx>
        <c:axId val="5384803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8482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Assignment.xlsx]MoM-Top 5 Brands!PivotTable8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'MoM-Top 5 Brands'!$B$3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'MoM-Top 5 Brands'!$A$4:$A$49</c:f>
              <c:multiLvlStrCache>
                <c:ptCount val="40"/>
                <c:lvl>
                  <c:pt idx="0">
                    <c:v>Apr</c:v>
                  </c:pt>
                  <c:pt idx="1">
                    <c:v>May</c:v>
                  </c:pt>
                  <c:pt idx="2">
                    <c:v>Jun</c:v>
                  </c:pt>
                  <c:pt idx="3">
                    <c:v>Jul</c:v>
                  </c:pt>
                  <c:pt idx="4">
                    <c:v>Aug</c:v>
                  </c:pt>
                  <c:pt idx="5">
                    <c:v>Sep</c:v>
                  </c:pt>
                  <c:pt idx="6">
                    <c:v>Oct</c:v>
                  </c:pt>
                  <c:pt idx="7">
                    <c:v>Nov</c:v>
                  </c:pt>
                  <c:pt idx="8">
                    <c:v>Dec</c:v>
                  </c:pt>
                  <c:pt idx="9">
                    <c:v>Aug</c:v>
                  </c:pt>
                  <c:pt idx="10">
                    <c:v>Sep</c:v>
                  </c:pt>
                  <c:pt idx="11">
                    <c:v>Oct</c:v>
                  </c:pt>
                  <c:pt idx="12">
                    <c:v>Nov</c:v>
                  </c:pt>
                  <c:pt idx="13">
                    <c:v>Dec</c:v>
                  </c:pt>
                  <c:pt idx="14">
                    <c:v>Apr</c:v>
                  </c:pt>
                  <c:pt idx="15">
                    <c:v>May</c:v>
                  </c:pt>
                  <c:pt idx="16">
                    <c:v>Jun</c:v>
                  </c:pt>
                  <c:pt idx="17">
                    <c:v>Jul</c:v>
                  </c:pt>
                  <c:pt idx="18">
                    <c:v>Aug</c:v>
                  </c:pt>
                  <c:pt idx="19">
                    <c:v>Sep</c:v>
                  </c:pt>
                  <c:pt idx="20">
                    <c:v>Oct</c:v>
                  </c:pt>
                  <c:pt idx="21">
                    <c:v>Nov</c:v>
                  </c:pt>
                  <c:pt idx="22">
                    <c:v>Dec</c:v>
                  </c:pt>
                  <c:pt idx="23">
                    <c:v>May</c:v>
                  </c:pt>
                  <c:pt idx="24">
                    <c:v>Jun</c:v>
                  </c:pt>
                  <c:pt idx="25">
                    <c:v>Jul</c:v>
                  </c:pt>
                  <c:pt idx="26">
                    <c:v>Aug</c:v>
                  </c:pt>
                  <c:pt idx="27">
                    <c:v>Sep</c:v>
                  </c:pt>
                  <c:pt idx="28">
                    <c:v>Oct</c:v>
                  </c:pt>
                  <c:pt idx="29">
                    <c:v>Nov</c:v>
                  </c:pt>
                  <c:pt idx="30">
                    <c:v>Dec</c:v>
                  </c:pt>
                  <c:pt idx="31">
                    <c:v>Apr</c:v>
                  </c:pt>
                  <c:pt idx="32">
                    <c:v>May</c:v>
                  </c:pt>
                  <c:pt idx="33">
                    <c:v>Jun</c:v>
                  </c:pt>
                  <c:pt idx="34">
                    <c:v>Jul</c:v>
                  </c:pt>
                  <c:pt idx="35">
                    <c:v>Aug</c:v>
                  </c:pt>
                  <c:pt idx="36">
                    <c:v>Sep</c:v>
                  </c:pt>
                  <c:pt idx="37">
                    <c:v>Oct</c:v>
                  </c:pt>
                  <c:pt idx="38">
                    <c:v>Nov</c:v>
                  </c:pt>
                  <c:pt idx="39">
                    <c:v>Dec</c:v>
                  </c:pt>
                </c:lvl>
                <c:lvl>
                  <c:pt idx="0">
                    <c:v>Honda</c:v>
                  </c:pt>
                  <c:pt idx="9">
                    <c:v>TVS</c:v>
                  </c:pt>
                  <c:pt idx="14">
                    <c:v>Bajaj</c:v>
                  </c:pt>
                  <c:pt idx="23">
                    <c:v>Hero</c:v>
                  </c:pt>
                  <c:pt idx="31">
                    <c:v>YAMAHA</c:v>
                  </c:pt>
                </c:lvl>
              </c:multiLvlStrCache>
            </c:multiLvlStrRef>
          </c:cat>
          <c:val>
            <c:numRef>
              <c:f>'MoM-Top 5 Brands'!$B$4:$B$49</c:f>
              <c:numCache>
                <c:formatCode>General</c:formatCode>
                <c:ptCount val="40"/>
                <c:pt idx="0">
                  <c:v>16</c:v>
                </c:pt>
                <c:pt idx="1">
                  <c:v>21</c:v>
                </c:pt>
                <c:pt idx="2">
                  <c:v>29</c:v>
                </c:pt>
                <c:pt idx="3">
                  <c:v>23</c:v>
                </c:pt>
                <c:pt idx="4">
                  <c:v>33</c:v>
                </c:pt>
                <c:pt idx="5">
                  <c:v>37</c:v>
                </c:pt>
                <c:pt idx="6">
                  <c:v>45</c:v>
                </c:pt>
                <c:pt idx="7">
                  <c:v>22</c:v>
                </c:pt>
                <c:pt idx="8">
                  <c:v>34</c:v>
                </c:pt>
                <c:pt idx="9">
                  <c:v>15</c:v>
                </c:pt>
                <c:pt idx="10">
                  <c:v>11</c:v>
                </c:pt>
                <c:pt idx="11">
                  <c:v>21</c:v>
                </c:pt>
                <c:pt idx="12">
                  <c:v>11</c:v>
                </c:pt>
                <c:pt idx="13">
                  <c:v>11</c:v>
                </c:pt>
                <c:pt idx="14">
                  <c:v>3</c:v>
                </c:pt>
                <c:pt idx="15">
                  <c:v>10</c:v>
                </c:pt>
                <c:pt idx="16">
                  <c:v>2</c:v>
                </c:pt>
                <c:pt idx="17">
                  <c:v>5</c:v>
                </c:pt>
                <c:pt idx="18">
                  <c:v>5</c:v>
                </c:pt>
                <c:pt idx="19">
                  <c:v>10</c:v>
                </c:pt>
                <c:pt idx="20">
                  <c:v>6</c:v>
                </c:pt>
                <c:pt idx="21">
                  <c:v>6</c:v>
                </c:pt>
                <c:pt idx="22">
                  <c:v>7</c:v>
                </c:pt>
                <c:pt idx="23">
                  <c:v>1</c:v>
                </c:pt>
                <c:pt idx="24">
                  <c:v>2</c:v>
                </c:pt>
                <c:pt idx="25">
                  <c:v>1</c:v>
                </c:pt>
                <c:pt idx="26">
                  <c:v>14</c:v>
                </c:pt>
                <c:pt idx="27">
                  <c:v>9</c:v>
                </c:pt>
                <c:pt idx="28">
                  <c:v>9</c:v>
                </c:pt>
                <c:pt idx="29">
                  <c:v>9</c:v>
                </c:pt>
                <c:pt idx="30">
                  <c:v>7</c:v>
                </c:pt>
                <c:pt idx="31">
                  <c:v>2</c:v>
                </c:pt>
                <c:pt idx="32">
                  <c:v>5</c:v>
                </c:pt>
                <c:pt idx="33">
                  <c:v>4</c:v>
                </c:pt>
                <c:pt idx="34">
                  <c:v>5</c:v>
                </c:pt>
                <c:pt idx="35">
                  <c:v>6</c:v>
                </c:pt>
                <c:pt idx="36">
                  <c:v>4</c:v>
                </c:pt>
                <c:pt idx="37">
                  <c:v>6</c:v>
                </c:pt>
                <c:pt idx="38">
                  <c:v>5</c:v>
                </c:pt>
                <c:pt idx="39">
                  <c:v>6</c:v>
                </c:pt>
              </c:numCache>
            </c:numRef>
          </c:val>
          <c:smooth val="0"/>
          <c:extLst>
            <c:ext xmlns:c16="http://schemas.microsoft.com/office/drawing/2014/chart" uri="{C3380CC4-5D6E-409C-BE32-E72D297353CC}">
              <c16:uniqueId val="{00000000-46E0-4BDF-AF92-E04D17F6396E}"/>
            </c:ext>
          </c:extLst>
        </c:ser>
        <c:dLbls>
          <c:showLegendKey val="0"/>
          <c:showVal val="0"/>
          <c:showCatName val="0"/>
          <c:showSerName val="0"/>
          <c:showPercent val="0"/>
          <c:showBubbleSize val="0"/>
        </c:dLbls>
        <c:marker val="1"/>
        <c:smooth val="0"/>
        <c:axId val="535316288"/>
        <c:axId val="535316648"/>
      </c:lineChart>
      <c:catAx>
        <c:axId val="535316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316648"/>
        <c:crosses val="autoZero"/>
        <c:auto val="1"/>
        <c:lblAlgn val="ctr"/>
        <c:lblOffset val="100"/>
        <c:noMultiLvlLbl val="0"/>
      </c:catAx>
      <c:valAx>
        <c:axId val="535316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31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Assignment.xlsx]MoM-Top 5 Models!PivotTable9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'MoM-Top 5 Models'!$B$3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'MoM-Top 5 Models'!$A$4:$A$37</c:f>
              <c:multiLvlStrCache>
                <c:ptCount val="28"/>
                <c:lvl>
                  <c:pt idx="0">
                    <c:v>Apr</c:v>
                  </c:pt>
                  <c:pt idx="1">
                    <c:v>May</c:v>
                  </c:pt>
                  <c:pt idx="2">
                    <c:v>Jun</c:v>
                  </c:pt>
                  <c:pt idx="3">
                    <c:v>Aug</c:v>
                  </c:pt>
                  <c:pt idx="4">
                    <c:v>Sep</c:v>
                  </c:pt>
                  <c:pt idx="5">
                    <c:v>Oct</c:v>
                  </c:pt>
                  <c:pt idx="6">
                    <c:v>Nov</c:v>
                  </c:pt>
                  <c:pt idx="7">
                    <c:v>Dec</c:v>
                  </c:pt>
                  <c:pt idx="8">
                    <c:v>Apr</c:v>
                  </c:pt>
                  <c:pt idx="9">
                    <c:v>May</c:v>
                  </c:pt>
                  <c:pt idx="10">
                    <c:v>Jun</c:v>
                  </c:pt>
                  <c:pt idx="11">
                    <c:v>Jul</c:v>
                  </c:pt>
                  <c:pt idx="12">
                    <c:v>Aug</c:v>
                  </c:pt>
                  <c:pt idx="13">
                    <c:v>Sep</c:v>
                  </c:pt>
                  <c:pt idx="14">
                    <c:v>Oct</c:v>
                  </c:pt>
                  <c:pt idx="15">
                    <c:v>Nov</c:v>
                  </c:pt>
                  <c:pt idx="16">
                    <c:v>Dec</c:v>
                  </c:pt>
                  <c:pt idx="17">
                    <c:v>Jun</c:v>
                  </c:pt>
                  <c:pt idx="18">
                    <c:v>Aug</c:v>
                  </c:pt>
                  <c:pt idx="19">
                    <c:v>Sep</c:v>
                  </c:pt>
                  <c:pt idx="20">
                    <c:v>Oct</c:v>
                  </c:pt>
                  <c:pt idx="21">
                    <c:v>Nov</c:v>
                  </c:pt>
                  <c:pt idx="22">
                    <c:v>Dec</c:v>
                  </c:pt>
                  <c:pt idx="23">
                    <c:v>Aug</c:v>
                  </c:pt>
                  <c:pt idx="24">
                    <c:v>Sep</c:v>
                  </c:pt>
                  <c:pt idx="25">
                    <c:v>Oct</c:v>
                  </c:pt>
                  <c:pt idx="26">
                    <c:v>Nov</c:v>
                  </c:pt>
                  <c:pt idx="27">
                    <c:v>Dec</c:v>
                  </c:pt>
                </c:lvl>
                <c:lvl>
                  <c:pt idx="0">
                    <c:v>ACTIVA 110</c:v>
                  </c:pt>
                  <c:pt idx="8">
                    <c:v>ACTIVA</c:v>
                  </c:pt>
                  <c:pt idx="12">
                    <c:v>Jupiter 110cc</c:v>
                  </c:pt>
                  <c:pt idx="17">
                    <c:v>Activa 3G 110cc</c:v>
                  </c:pt>
                  <c:pt idx="23">
                    <c:v>Dio 110cc</c:v>
                  </c:pt>
                </c:lvl>
              </c:multiLvlStrCache>
            </c:multiLvlStrRef>
          </c:cat>
          <c:val>
            <c:numRef>
              <c:f>'MoM-Top 5 Models'!$B$4:$B$37</c:f>
              <c:numCache>
                <c:formatCode>General</c:formatCode>
                <c:ptCount val="28"/>
                <c:pt idx="0">
                  <c:v>1</c:v>
                </c:pt>
                <c:pt idx="1">
                  <c:v>4</c:v>
                </c:pt>
                <c:pt idx="2">
                  <c:v>2</c:v>
                </c:pt>
                <c:pt idx="3">
                  <c:v>4</c:v>
                </c:pt>
                <c:pt idx="4">
                  <c:v>6</c:v>
                </c:pt>
                <c:pt idx="5">
                  <c:v>14</c:v>
                </c:pt>
                <c:pt idx="6">
                  <c:v>3</c:v>
                </c:pt>
                <c:pt idx="7">
                  <c:v>8</c:v>
                </c:pt>
                <c:pt idx="8">
                  <c:v>6</c:v>
                </c:pt>
                <c:pt idx="9">
                  <c:v>5</c:v>
                </c:pt>
                <c:pt idx="10">
                  <c:v>6</c:v>
                </c:pt>
                <c:pt idx="11">
                  <c:v>9</c:v>
                </c:pt>
                <c:pt idx="12">
                  <c:v>3</c:v>
                </c:pt>
                <c:pt idx="13">
                  <c:v>1</c:v>
                </c:pt>
                <c:pt idx="14">
                  <c:v>6</c:v>
                </c:pt>
                <c:pt idx="15">
                  <c:v>4</c:v>
                </c:pt>
                <c:pt idx="16">
                  <c:v>3</c:v>
                </c:pt>
                <c:pt idx="17">
                  <c:v>1</c:v>
                </c:pt>
                <c:pt idx="18">
                  <c:v>1</c:v>
                </c:pt>
                <c:pt idx="19">
                  <c:v>3</c:v>
                </c:pt>
                <c:pt idx="20">
                  <c:v>5</c:v>
                </c:pt>
                <c:pt idx="21">
                  <c:v>2</c:v>
                </c:pt>
                <c:pt idx="22">
                  <c:v>5</c:v>
                </c:pt>
                <c:pt idx="23">
                  <c:v>3</c:v>
                </c:pt>
                <c:pt idx="24">
                  <c:v>5</c:v>
                </c:pt>
                <c:pt idx="25">
                  <c:v>4</c:v>
                </c:pt>
                <c:pt idx="26">
                  <c:v>1</c:v>
                </c:pt>
                <c:pt idx="27">
                  <c:v>2</c:v>
                </c:pt>
              </c:numCache>
            </c:numRef>
          </c:val>
          <c:smooth val="0"/>
          <c:extLst>
            <c:ext xmlns:c16="http://schemas.microsoft.com/office/drawing/2014/chart" uri="{C3380CC4-5D6E-409C-BE32-E72D297353CC}">
              <c16:uniqueId val="{00000000-CDAB-43E2-8F4E-AD98A98254B6}"/>
            </c:ext>
          </c:extLst>
        </c:ser>
        <c:dLbls>
          <c:showLegendKey val="0"/>
          <c:showVal val="0"/>
          <c:showCatName val="0"/>
          <c:showSerName val="0"/>
          <c:showPercent val="0"/>
          <c:showBubbleSize val="0"/>
        </c:dLbls>
        <c:marker val="1"/>
        <c:smooth val="0"/>
        <c:axId val="460214208"/>
        <c:axId val="460214928"/>
      </c:lineChart>
      <c:catAx>
        <c:axId val="4602142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214928"/>
        <c:crosses val="autoZero"/>
        <c:auto val="1"/>
        <c:lblAlgn val="ctr"/>
        <c:lblOffset val="100"/>
        <c:noMultiLvlLbl val="0"/>
      </c:catAx>
      <c:valAx>
        <c:axId val="460214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21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Assignment.xlsx]QoQ-Purchase Count (All Store_!PivotTable3</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'QoQ-Purchase Count (All Store_'!$B$3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'QoQ-Purchase Count (All Store_'!$A$4:$A$7</c:f>
              <c:strCache>
                <c:ptCount val="3"/>
                <c:pt idx="0">
                  <c:v>Q2</c:v>
                </c:pt>
                <c:pt idx="1">
                  <c:v>Q3</c:v>
                </c:pt>
                <c:pt idx="2">
                  <c:v>Q4</c:v>
                </c:pt>
              </c:strCache>
            </c:strRef>
          </c:cat>
          <c:val>
            <c:numRef>
              <c:f>'QoQ-Purchase Count (All Store_'!$B$4:$B$7</c:f>
              <c:numCache>
                <c:formatCode>General</c:formatCode>
                <c:ptCount val="3"/>
                <c:pt idx="0">
                  <c:v>191</c:v>
                </c:pt>
                <c:pt idx="1">
                  <c:v>273</c:v>
                </c:pt>
                <c:pt idx="2">
                  <c:v>239</c:v>
                </c:pt>
              </c:numCache>
            </c:numRef>
          </c:val>
          <c:extLst>
            <c:ext xmlns:c16="http://schemas.microsoft.com/office/drawing/2014/chart" uri="{C3380CC4-5D6E-409C-BE32-E72D297353CC}">
              <c16:uniqueId val="{00000000-78D6-4566-9E0D-3A6E9B28D766}"/>
            </c:ext>
          </c:extLst>
        </c:ser>
        <c:dLbls>
          <c:dLblPos val="inEnd"/>
          <c:showLegendKey val="0"/>
          <c:showVal val="1"/>
          <c:showCatName val="0"/>
          <c:showSerName val="0"/>
          <c:showPercent val="0"/>
          <c:showBubbleSize val="0"/>
        </c:dLbls>
        <c:gapWidth val="100"/>
        <c:overlap val="-24"/>
        <c:axId val="456332952"/>
        <c:axId val="456333672"/>
      </c:barChart>
      <c:catAx>
        <c:axId val="456332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333672"/>
        <c:crosses val="autoZero"/>
        <c:auto val="1"/>
        <c:lblAlgn val="ctr"/>
        <c:lblOffset val="100"/>
        <c:noMultiLvlLbl val="0"/>
      </c:catAx>
      <c:valAx>
        <c:axId val="456333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332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Assignment.xlsx]QoQ-Purchase Count (Ind Store)!PivotTable4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'QoQ-Purchase Count (Ind Store)'!$B$3:$B$4</c:f>
              <c:strCache>
                <c:ptCount val="1"/>
                <c:pt idx="0">
                  <c:v>KHARADI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'QoQ-Purchase Count (Ind Store)'!$A$5:$A$8</c:f>
              <c:strCache>
                <c:ptCount val="3"/>
                <c:pt idx="0">
                  <c:v>Q2</c:v>
                </c:pt>
                <c:pt idx="1">
                  <c:v>Q3</c:v>
                </c:pt>
                <c:pt idx="2">
                  <c:v>Q4</c:v>
                </c:pt>
              </c:strCache>
            </c:strRef>
          </c:cat>
          <c:val>
            <c:numRef>
              <c:f>'QoQ-Purchase Count (Ind Store)'!$B$5:$B$8</c:f>
              <c:numCache>
                <c:formatCode>General</c:formatCode>
                <c:ptCount val="3"/>
                <c:pt idx="0">
                  <c:v>34</c:v>
                </c:pt>
                <c:pt idx="1">
                  <c:v>43</c:v>
                </c:pt>
                <c:pt idx="2">
                  <c:v>32</c:v>
                </c:pt>
              </c:numCache>
            </c:numRef>
          </c:val>
          <c:extLst>
            <c:ext xmlns:c16="http://schemas.microsoft.com/office/drawing/2014/chart" uri="{C3380CC4-5D6E-409C-BE32-E72D297353CC}">
              <c16:uniqueId val="{00000000-22A4-4560-B773-C5B63100CDF8}"/>
            </c:ext>
          </c:extLst>
        </c:ser>
        <c:ser>
          <c:idx val="1"/>
          <c:order val="1"/>
          <c:tx>
            <c:strRef>
              <c:f>'QoQ-Purchase Count (Ind Store)'!$C$3:$C$4</c:f>
              <c:strCache>
                <c:ptCount val="1"/>
                <c:pt idx="0">
                  <c:v>RASTA PETH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'QoQ-Purchase Count (Ind Store)'!$A$5:$A$8</c:f>
              <c:strCache>
                <c:ptCount val="3"/>
                <c:pt idx="0">
                  <c:v>Q2</c:v>
                </c:pt>
                <c:pt idx="1">
                  <c:v>Q3</c:v>
                </c:pt>
                <c:pt idx="2">
                  <c:v>Q4</c:v>
                </c:pt>
              </c:strCache>
            </c:strRef>
          </c:cat>
          <c:val>
            <c:numRef>
              <c:f>'QoQ-Purchase Count (Ind Store)'!$C$5:$C$8</c:f>
              <c:numCache>
                <c:formatCode>General</c:formatCode>
                <c:ptCount val="3"/>
                <c:pt idx="0">
                  <c:v>112</c:v>
                </c:pt>
                <c:pt idx="1">
                  <c:v>172</c:v>
                </c:pt>
                <c:pt idx="2">
                  <c:v>177</c:v>
                </c:pt>
              </c:numCache>
            </c:numRef>
          </c:val>
          <c:extLst>
            <c:ext xmlns:c16="http://schemas.microsoft.com/office/drawing/2014/chart" uri="{C3380CC4-5D6E-409C-BE32-E72D297353CC}">
              <c16:uniqueId val="{00000001-22A4-4560-B773-C5B63100CDF8}"/>
            </c:ext>
          </c:extLst>
        </c:ser>
        <c:ser>
          <c:idx val="2"/>
          <c:order val="2"/>
          <c:tx>
            <c:strRef>
              <c:f>'QoQ-Purchase Count (Ind Store)'!$D$3:$D$4</c:f>
              <c:strCache>
                <c:ptCount val="1"/>
                <c:pt idx="0">
                  <c:v>SINHAGAD ROAD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'QoQ-Purchase Count (Ind Store)'!$A$5:$A$8</c:f>
              <c:strCache>
                <c:ptCount val="3"/>
                <c:pt idx="0">
                  <c:v>Q2</c:v>
                </c:pt>
                <c:pt idx="1">
                  <c:v>Q3</c:v>
                </c:pt>
                <c:pt idx="2">
                  <c:v>Q4</c:v>
                </c:pt>
              </c:strCache>
            </c:strRef>
          </c:cat>
          <c:val>
            <c:numRef>
              <c:f>'QoQ-Purchase Count (Ind Store)'!$D$5:$D$8</c:f>
              <c:numCache>
                <c:formatCode>General</c:formatCode>
                <c:ptCount val="3"/>
                <c:pt idx="0">
                  <c:v>4</c:v>
                </c:pt>
                <c:pt idx="1">
                  <c:v>4</c:v>
                </c:pt>
              </c:numCache>
            </c:numRef>
          </c:val>
          <c:extLst>
            <c:ext xmlns:c16="http://schemas.microsoft.com/office/drawing/2014/chart" uri="{C3380CC4-5D6E-409C-BE32-E72D297353CC}">
              <c16:uniqueId val="{00000002-22A4-4560-B773-C5B63100CDF8}"/>
            </c:ext>
          </c:extLst>
        </c:ser>
        <c:ser>
          <c:idx val="3"/>
          <c:order val="3"/>
          <c:tx>
            <c:strRef>
              <c:f>'QoQ-Purchase Count (Ind Store)'!$E$3:$E$4</c:f>
              <c:strCache>
                <c:ptCount val="1"/>
                <c:pt idx="0">
                  <c:v>SOMWAR PETH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'QoQ-Purchase Count (Ind Store)'!$A$5:$A$8</c:f>
              <c:strCache>
                <c:ptCount val="3"/>
                <c:pt idx="0">
                  <c:v>Q2</c:v>
                </c:pt>
                <c:pt idx="1">
                  <c:v>Q3</c:v>
                </c:pt>
                <c:pt idx="2">
                  <c:v>Q4</c:v>
                </c:pt>
              </c:strCache>
            </c:strRef>
          </c:cat>
          <c:val>
            <c:numRef>
              <c:f>'QoQ-Purchase Count (Ind Store)'!$E$5:$E$8</c:f>
              <c:numCache>
                <c:formatCode>General</c:formatCode>
                <c:ptCount val="3"/>
                <c:pt idx="0">
                  <c:v>1</c:v>
                </c:pt>
                <c:pt idx="1">
                  <c:v>3</c:v>
                </c:pt>
              </c:numCache>
            </c:numRef>
          </c:val>
          <c:extLst>
            <c:ext xmlns:c16="http://schemas.microsoft.com/office/drawing/2014/chart" uri="{C3380CC4-5D6E-409C-BE32-E72D297353CC}">
              <c16:uniqueId val="{00000003-22A4-4560-B773-C5B63100CDF8}"/>
            </c:ext>
          </c:extLst>
        </c:ser>
        <c:ser>
          <c:idx val="4"/>
          <c:order val="4"/>
          <c:tx>
            <c:strRef>
              <c:f>'QoQ-Purchase Count (Ind Store)'!$F$3:$F$4</c:f>
              <c:strCache>
                <c:ptCount val="1"/>
                <c:pt idx="0">
                  <c:v>UNDRI</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'QoQ-Purchase Count (Ind Store)'!$A$5:$A$8</c:f>
              <c:strCache>
                <c:ptCount val="3"/>
                <c:pt idx="0">
                  <c:v>Q2</c:v>
                </c:pt>
                <c:pt idx="1">
                  <c:v>Q3</c:v>
                </c:pt>
                <c:pt idx="2">
                  <c:v>Q4</c:v>
                </c:pt>
              </c:strCache>
            </c:strRef>
          </c:cat>
          <c:val>
            <c:numRef>
              <c:f>'QoQ-Purchase Count (Ind Store)'!$F$5:$F$8</c:f>
              <c:numCache>
                <c:formatCode>General</c:formatCode>
                <c:ptCount val="3"/>
                <c:pt idx="0">
                  <c:v>7</c:v>
                </c:pt>
                <c:pt idx="1">
                  <c:v>8</c:v>
                </c:pt>
              </c:numCache>
            </c:numRef>
          </c:val>
          <c:extLst>
            <c:ext xmlns:c16="http://schemas.microsoft.com/office/drawing/2014/chart" uri="{C3380CC4-5D6E-409C-BE32-E72D297353CC}">
              <c16:uniqueId val="{00000004-22A4-4560-B773-C5B63100CDF8}"/>
            </c:ext>
          </c:extLst>
        </c:ser>
        <c:ser>
          <c:idx val="5"/>
          <c:order val="5"/>
          <c:tx>
            <c:strRef>
              <c:f>'QoQ-Purchase Count (Ind Store)'!$G$3:$G$4</c:f>
              <c:strCache>
                <c:ptCount val="1"/>
                <c:pt idx="0">
                  <c:v>WAKAD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'QoQ-Purchase Count (Ind Store)'!$A$5:$A$8</c:f>
              <c:strCache>
                <c:ptCount val="3"/>
                <c:pt idx="0">
                  <c:v>Q2</c:v>
                </c:pt>
                <c:pt idx="1">
                  <c:v>Q3</c:v>
                </c:pt>
                <c:pt idx="2">
                  <c:v>Q4</c:v>
                </c:pt>
              </c:strCache>
            </c:strRef>
          </c:cat>
          <c:val>
            <c:numRef>
              <c:f>'QoQ-Purchase Count (Ind Store)'!$G$5:$G$8</c:f>
              <c:numCache>
                <c:formatCode>General</c:formatCode>
                <c:ptCount val="3"/>
                <c:pt idx="0">
                  <c:v>33</c:v>
                </c:pt>
                <c:pt idx="1">
                  <c:v>43</c:v>
                </c:pt>
                <c:pt idx="2">
                  <c:v>30</c:v>
                </c:pt>
              </c:numCache>
            </c:numRef>
          </c:val>
          <c:extLst>
            <c:ext xmlns:c16="http://schemas.microsoft.com/office/drawing/2014/chart" uri="{C3380CC4-5D6E-409C-BE32-E72D297353CC}">
              <c16:uniqueId val="{00000005-22A4-4560-B773-C5B63100CDF8}"/>
            </c:ext>
          </c:extLst>
        </c:ser>
        <c:dLbls>
          <c:dLblPos val="inEnd"/>
          <c:showLegendKey val="0"/>
          <c:showVal val="1"/>
          <c:showCatName val="0"/>
          <c:showSerName val="0"/>
          <c:showPercent val="0"/>
          <c:showBubbleSize val="0"/>
        </c:dLbls>
        <c:gapWidth val="100"/>
        <c:overlap val="-24"/>
        <c:axId val="535329608"/>
        <c:axId val="535329968"/>
      </c:barChart>
      <c:catAx>
        <c:axId val="535329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329968"/>
        <c:crosses val="autoZero"/>
        <c:auto val="1"/>
        <c:lblAlgn val="ctr"/>
        <c:lblOffset val="100"/>
        <c:noMultiLvlLbl val="0"/>
      </c:catAx>
      <c:valAx>
        <c:axId val="535329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329608"/>
        <c:crosses val="autoZero"/>
        <c:crossBetween val="between"/>
      </c:valAx>
      <c:spPr>
        <a:noFill/>
        <a:ln>
          <a:noFill/>
        </a:ln>
        <a:effectLst/>
      </c:spPr>
    </c:plotArea>
    <c:legend>
      <c:legendPos val="r"/>
      <c:layout>
        <c:manualLayout>
          <c:xMode val="edge"/>
          <c:yMode val="edge"/>
          <c:x val="0.77083333333333337"/>
          <c:y val="0.25976778944298629"/>
          <c:w val="0.17017084520876608"/>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Assignment.xlsx]QoQ-Total Purchase Price !PivotTable5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'QoQ-Total Purchase Price '!$B$3:$B$4</c:f>
              <c:strCache>
                <c:ptCount val="1"/>
                <c:pt idx="0">
                  <c:v>KHARADI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'QoQ-Total Purchase Price '!$A$5:$A$8</c:f>
              <c:strCache>
                <c:ptCount val="3"/>
                <c:pt idx="0">
                  <c:v>Q2</c:v>
                </c:pt>
                <c:pt idx="1">
                  <c:v>Q3</c:v>
                </c:pt>
                <c:pt idx="2">
                  <c:v>Q4</c:v>
                </c:pt>
              </c:strCache>
            </c:strRef>
          </c:cat>
          <c:val>
            <c:numRef>
              <c:f>'QoQ-Total Purchase Price '!$B$5:$B$8</c:f>
              <c:numCache>
                <c:formatCode>General</c:formatCode>
                <c:ptCount val="3"/>
                <c:pt idx="0">
                  <c:v>1538100</c:v>
                </c:pt>
                <c:pt idx="1">
                  <c:v>2467200</c:v>
                </c:pt>
                <c:pt idx="2">
                  <c:v>1325300</c:v>
                </c:pt>
              </c:numCache>
            </c:numRef>
          </c:val>
          <c:smooth val="0"/>
          <c:extLst>
            <c:ext xmlns:c16="http://schemas.microsoft.com/office/drawing/2014/chart" uri="{C3380CC4-5D6E-409C-BE32-E72D297353CC}">
              <c16:uniqueId val="{00000000-FD9A-4F76-ACB0-8E29B0C2FB36}"/>
            </c:ext>
          </c:extLst>
        </c:ser>
        <c:ser>
          <c:idx val="1"/>
          <c:order val="1"/>
          <c:tx>
            <c:strRef>
              <c:f>'QoQ-Total Purchase Price '!$C$3:$C$4</c:f>
              <c:strCache>
                <c:ptCount val="1"/>
                <c:pt idx="0">
                  <c:v>RASTA PETH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'QoQ-Total Purchase Price '!$A$5:$A$8</c:f>
              <c:strCache>
                <c:ptCount val="3"/>
                <c:pt idx="0">
                  <c:v>Q2</c:v>
                </c:pt>
                <c:pt idx="1">
                  <c:v>Q3</c:v>
                </c:pt>
                <c:pt idx="2">
                  <c:v>Q4</c:v>
                </c:pt>
              </c:strCache>
            </c:strRef>
          </c:cat>
          <c:val>
            <c:numRef>
              <c:f>'QoQ-Total Purchase Price '!$C$5:$C$8</c:f>
              <c:numCache>
                <c:formatCode>General</c:formatCode>
                <c:ptCount val="3"/>
                <c:pt idx="0">
                  <c:v>6100600</c:v>
                </c:pt>
                <c:pt idx="1">
                  <c:v>9387830</c:v>
                </c:pt>
                <c:pt idx="2">
                  <c:v>7791460</c:v>
                </c:pt>
              </c:numCache>
            </c:numRef>
          </c:val>
          <c:smooth val="0"/>
          <c:extLst>
            <c:ext xmlns:c16="http://schemas.microsoft.com/office/drawing/2014/chart" uri="{C3380CC4-5D6E-409C-BE32-E72D297353CC}">
              <c16:uniqueId val="{00000001-FD9A-4F76-ACB0-8E29B0C2FB36}"/>
            </c:ext>
          </c:extLst>
        </c:ser>
        <c:ser>
          <c:idx val="2"/>
          <c:order val="2"/>
          <c:tx>
            <c:strRef>
              <c:f>'QoQ-Total Purchase Price '!$D$3:$D$4</c:f>
              <c:strCache>
                <c:ptCount val="1"/>
                <c:pt idx="0">
                  <c:v>SINHAGAD ROAD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'QoQ-Total Purchase Price '!$A$5:$A$8</c:f>
              <c:strCache>
                <c:ptCount val="3"/>
                <c:pt idx="0">
                  <c:v>Q2</c:v>
                </c:pt>
                <c:pt idx="1">
                  <c:v>Q3</c:v>
                </c:pt>
                <c:pt idx="2">
                  <c:v>Q4</c:v>
                </c:pt>
              </c:strCache>
            </c:strRef>
          </c:cat>
          <c:val>
            <c:numRef>
              <c:f>'QoQ-Total Purchase Price '!$D$5:$D$8</c:f>
              <c:numCache>
                <c:formatCode>General</c:formatCode>
                <c:ptCount val="3"/>
                <c:pt idx="0">
                  <c:v>109000</c:v>
                </c:pt>
                <c:pt idx="1">
                  <c:v>243500</c:v>
                </c:pt>
              </c:numCache>
            </c:numRef>
          </c:val>
          <c:smooth val="0"/>
          <c:extLst>
            <c:ext xmlns:c16="http://schemas.microsoft.com/office/drawing/2014/chart" uri="{C3380CC4-5D6E-409C-BE32-E72D297353CC}">
              <c16:uniqueId val="{00000002-FD9A-4F76-ACB0-8E29B0C2FB36}"/>
            </c:ext>
          </c:extLst>
        </c:ser>
        <c:ser>
          <c:idx val="3"/>
          <c:order val="3"/>
          <c:tx>
            <c:strRef>
              <c:f>'QoQ-Total Purchase Price '!$E$3:$E$4</c:f>
              <c:strCache>
                <c:ptCount val="1"/>
                <c:pt idx="0">
                  <c:v>SOMWAR PETH</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'QoQ-Total Purchase Price '!$A$5:$A$8</c:f>
              <c:strCache>
                <c:ptCount val="3"/>
                <c:pt idx="0">
                  <c:v>Q2</c:v>
                </c:pt>
                <c:pt idx="1">
                  <c:v>Q3</c:v>
                </c:pt>
                <c:pt idx="2">
                  <c:v>Q4</c:v>
                </c:pt>
              </c:strCache>
            </c:strRef>
          </c:cat>
          <c:val>
            <c:numRef>
              <c:f>'QoQ-Total Purchase Price '!$E$5:$E$8</c:f>
              <c:numCache>
                <c:formatCode>General</c:formatCode>
                <c:ptCount val="3"/>
                <c:pt idx="0">
                  <c:v>27500</c:v>
                </c:pt>
                <c:pt idx="1">
                  <c:v>269000</c:v>
                </c:pt>
              </c:numCache>
            </c:numRef>
          </c:val>
          <c:smooth val="0"/>
          <c:extLst>
            <c:ext xmlns:c16="http://schemas.microsoft.com/office/drawing/2014/chart" uri="{C3380CC4-5D6E-409C-BE32-E72D297353CC}">
              <c16:uniqueId val="{00000003-FD9A-4F76-ACB0-8E29B0C2FB36}"/>
            </c:ext>
          </c:extLst>
        </c:ser>
        <c:ser>
          <c:idx val="4"/>
          <c:order val="4"/>
          <c:tx>
            <c:strRef>
              <c:f>'QoQ-Total Purchase Price '!$F$3:$F$4</c:f>
              <c:strCache>
                <c:ptCount val="1"/>
                <c:pt idx="0">
                  <c:v>UNDRI</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'QoQ-Total Purchase Price '!$A$5:$A$8</c:f>
              <c:strCache>
                <c:ptCount val="3"/>
                <c:pt idx="0">
                  <c:v>Q2</c:v>
                </c:pt>
                <c:pt idx="1">
                  <c:v>Q3</c:v>
                </c:pt>
                <c:pt idx="2">
                  <c:v>Q4</c:v>
                </c:pt>
              </c:strCache>
            </c:strRef>
          </c:cat>
          <c:val>
            <c:numRef>
              <c:f>'QoQ-Total Purchase Price '!$F$5:$F$8</c:f>
              <c:numCache>
                <c:formatCode>General</c:formatCode>
                <c:ptCount val="3"/>
                <c:pt idx="0">
                  <c:v>455500</c:v>
                </c:pt>
                <c:pt idx="1">
                  <c:v>617000</c:v>
                </c:pt>
              </c:numCache>
            </c:numRef>
          </c:val>
          <c:smooth val="0"/>
          <c:extLst>
            <c:ext xmlns:c16="http://schemas.microsoft.com/office/drawing/2014/chart" uri="{C3380CC4-5D6E-409C-BE32-E72D297353CC}">
              <c16:uniqueId val="{00000004-FD9A-4F76-ACB0-8E29B0C2FB36}"/>
            </c:ext>
          </c:extLst>
        </c:ser>
        <c:ser>
          <c:idx val="5"/>
          <c:order val="5"/>
          <c:tx>
            <c:strRef>
              <c:f>'QoQ-Total Purchase Price '!$G$3:$G$4</c:f>
              <c:strCache>
                <c:ptCount val="1"/>
                <c:pt idx="0">
                  <c:v>WAKAD</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'QoQ-Total Purchase Price '!$A$5:$A$8</c:f>
              <c:strCache>
                <c:ptCount val="3"/>
                <c:pt idx="0">
                  <c:v>Q2</c:v>
                </c:pt>
                <c:pt idx="1">
                  <c:v>Q3</c:v>
                </c:pt>
                <c:pt idx="2">
                  <c:v>Q4</c:v>
                </c:pt>
              </c:strCache>
            </c:strRef>
          </c:cat>
          <c:val>
            <c:numRef>
              <c:f>'QoQ-Total Purchase Price '!$G$5:$G$8</c:f>
              <c:numCache>
                <c:formatCode>General</c:formatCode>
                <c:ptCount val="3"/>
                <c:pt idx="0">
                  <c:v>2040300</c:v>
                </c:pt>
                <c:pt idx="1">
                  <c:v>2295700</c:v>
                </c:pt>
                <c:pt idx="2">
                  <c:v>1535400</c:v>
                </c:pt>
              </c:numCache>
            </c:numRef>
          </c:val>
          <c:smooth val="0"/>
          <c:extLst>
            <c:ext xmlns:c16="http://schemas.microsoft.com/office/drawing/2014/chart" uri="{C3380CC4-5D6E-409C-BE32-E72D297353CC}">
              <c16:uniqueId val="{00000005-FD9A-4F76-ACB0-8E29B0C2FB36}"/>
            </c:ext>
          </c:extLst>
        </c:ser>
        <c:dLbls>
          <c:showLegendKey val="0"/>
          <c:showVal val="0"/>
          <c:showCatName val="0"/>
          <c:showSerName val="0"/>
          <c:showPercent val="0"/>
          <c:showBubbleSize val="0"/>
        </c:dLbls>
        <c:marker val="1"/>
        <c:smooth val="0"/>
        <c:axId val="531449512"/>
        <c:axId val="531449152"/>
      </c:lineChart>
      <c:catAx>
        <c:axId val="5314495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449152"/>
        <c:crosses val="autoZero"/>
        <c:auto val="1"/>
        <c:lblAlgn val="ctr"/>
        <c:lblOffset val="100"/>
        <c:noMultiLvlLbl val="0"/>
      </c:catAx>
      <c:valAx>
        <c:axId val="531449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449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Assignment.xlsx]QoQ-Average Purchase Price!PivotTable7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'QoQ-Average Purchase Price'!$B$3:$B$4</c:f>
              <c:strCache>
                <c:ptCount val="1"/>
                <c:pt idx="0">
                  <c:v>KHARADI</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'QoQ-Average Purchase Price'!$A$5:$A$8</c:f>
              <c:strCache>
                <c:ptCount val="3"/>
                <c:pt idx="0">
                  <c:v>Q2</c:v>
                </c:pt>
                <c:pt idx="1">
                  <c:v>Q3</c:v>
                </c:pt>
                <c:pt idx="2">
                  <c:v>Q4</c:v>
                </c:pt>
              </c:strCache>
            </c:strRef>
          </c:cat>
          <c:val>
            <c:numRef>
              <c:f>'QoQ-Average Purchase Price'!$B$5:$B$8</c:f>
              <c:numCache>
                <c:formatCode>0</c:formatCode>
                <c:ptCount val="3"/>
                <c:pt idx="0">
                  <c:v>45238.23529411765</c:v>
                </c:pt>
                <c:pt idx="1">
                  <c:v>57376.744186046511</c:v>
                </c:pt>
                <c:pt idx="2">
                  <c:v>41415.625</c:v>
                </c:pt>
              </c:numCache>
            </c:numRef>
          </c:val>
          <c:extLst>
            <c:ext xmlns:c16="http://schemas.microsoft.com/office/drawing/2014/chart" uri="{C3380CC4-5D6E-409C-BE32-E72D297353CC}">
              <c16:uniqueId val="{00000000-BFB6-49EC-B3C1-E4CB9318A519}"/>
            </c:ext>
          </c:extLst>
        </c:ser>
        <c:ser>
          <c:idx val="1"/>
          <c:order val="1"/>
          <c:tx>
            <c:strRef>
              <c:f>'QoQ-Average Purchase Price'!$C$3:$C$4</c:f>
              <c:strCache>
                <c:ptCount val="1"/>
                <c:pt idx="0">
                  <c:v>RASTA PETH</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'QoQ-Average Purchase Price'!$A$5:$A$8</c:f>
              <c:strCache>
                <c:ptCount val="3"/>
                <c:pt idx="0">
                  <c:v>Q2</c:v>
                </c:pt>
                <c:pt idx="1">
                  <c:v>Q3</c:v>
                </c:pt>
                <c:pt idx="2">
                  <c:v>Q4</c:v>
                </c:pt>
              </c:strCache>
            </c:strRef>
          </c:cat>
          <c:val>
            <c:numRef>
              <c:f>'QoQ-Average Purchase Price'!$C$5:$C$8</c:f>
              <c:numCache>
                <c:formatCode>0</c:formatCode>
                <c:ptCount val="3"/>
                <c:pt idx="0">
                  <c:v>54469.642857142855</c:v>
                </c:pt>
                <c:pt idx="1">
                  <c:v>54580.406976744183</c:v>
                </c:pt>
                <c:pt idx="2">
                  <c:v>44019.548022598872</c:v>
                </c:pt>
              </c:numCache>
            </c:numRef>
          </c:val>
          <c:extLst>
            <c:ext xmlns:c16="http://schemas.microsoft.com/office/drawing/2014/chart" uri="{C3380CC4-5D6E-409C-BE32-E72D297353CC}">
              <c16:uniqueId val="{00000001-BFB6-49EC-B3C1-E4CB9318A519}"/>
            </c:ext>
          </c:extLst>
        </c:ser>
        <c:ser>
          <c:idx val="2"/>
          <c:order val="2"/>
          <c:tx>
            <c:strRef>
              <c:f>'QoQ-Average Purchase Price'!$D$3:$D$4</c:f>
              <c:strCache>
                <c:ptCount val="1"/>
                <c:pt idx="0">
                  <c:v>SINHAGAD ROAD</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'QoQ-Average Purchase Price'!$A$5:$A$8</c:f>
              <c:strCache>
                <c:ptCount val="3"/>
                <c:pt idx="0">
                  <c:v>Q2</c:v>
                </c:pt>
                <c:pt idx="1">
                  <c:v>Q3</c:v>
                </c:pt>
                <c:pt idx="2">
                  <c:v>Q4</c:v>
                </c:pt>
              </c:strCache>
            </c:strRef>
          </c:cat>
          <c:val>
            <c:numRef>
              <c:f>'QoQ-Average Purchase Price'!$D$5:$D$8</c:f>
              <c:numCache>
                <c:formatCode>0</c:formatCode>
                <c:ptCount val="3"/>
                <c:pt idx="0">
                  <c:v>27250</c:v>
                </c:pt>
                <c:pt idx="1">
                  <c:v>60875</c:v>
                </c:pt>
              </c:numCache>
            </c:numRef>
          </c:val>
          <c:extLst>
            <c:ext xmlns:c16="http://schemas.microsoft.com/office/drawing/2014/chart" uri="{C3380CC4-5D6E-409C-BE32-E72D297353CC}">
              <c16:uniqueId val="{00000002-BFB6-49EC-B3C1-E4CB9318A519}"/>
            </c:ext>
          </c:extLst>
        </c:ser>
        <c:ser>
          <c:idx val="3"/>
          <c:order val="3"/>
          <c:tx>
            <c:strRef>
              <c:f>'QoQ-Average Purchase Price'!$E$3:$E$4</c:f>
              <c:strCache>
                <c:ptCount val="1"/>
                <c:pt idx="0">
                  <c:v>SOMWAR PETH</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'QoQ-Average Purchase Price'!$A$5:$A$8</c:f>
              <c:strCache>
                <c:ptCount val="3"/>
                <c:pt idx="0">
                  <c:v>Q2</c:v>
                </c:pt>
                <c:pt idx="1">
                  <c:v>Q3</c:v>
                </c:pt>
                <c:pt idx="2">
                  <c:v>Q4</c:v>
                </c:pt>
              </c:strCache>
            </c:strRef>
          </c:cat>
          <c:val>
            <c:numRef>
              <c:f>'QoQ-Average Purchase Price'!$E$5:$E$8</c:f>
              <c:numCache>
                <c:formatCode>0</c:formatCode>
                <c:ptCount val="3"/>
                <c:pt idx="0">
                  <c:v>27500</c:v>
                </c:pt>
                <c:pt idx="1">
                  <c:v>89666.666666666672</c:v>
                </c:pt>
              </c:numCache>
            </c:numRef>
          </c:val>
          <c:extLst>
            <c:ext xmlns:c16="http://schemas.microsoft.com/office/drawing/2014/chart" uri="{C3380CC4-5D6E-409C-BE32-E72D297353CC}">
              <c16:uniqueId val="{00000003-BFB6-49EC-B3C1-E4CB9318A519}"/>
            </c:ext>
          </c:extLst>
        </c:ser>
        <c:ser>
          <c:idx val="4"/>
          <c:order val="4"/>
          <c:tx>
            <c:strRef>
              <c:f>'QoQ-Average Purchase Price'!$F$3:$F$4</c:f>
              <c:strCache>
                <c:ptCount val="1"/>
                <c:pt idx="0">
                  <c:v>UNDRI</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'QoQ-Average Purchase Price'!$A$5:$A$8</c:f>
              <c:strCache>
                <c:ptCount val="3"/>
                <c:pt idx="0">
                  <c:v>Q2</c:v>
                </c:pt>
                <c:pt idx="1">
                  <c:v>Q3</c:v>
                </c:pt>
                <c:pt idx="2">
                  <c:v>Q4</c:v>
                </c:pt>
              </c:strCache>
            </c:strRef>
          </c:cat>
          <c:val>
            <c:numRef>
              <c:f>'QoQ-Average Purchase Price'!$F$5:$F$8</c:f>
              <c:numCache>
                <c:formatCode>0</c:formatCode>
                <c:ptCount val="3"/>
                <c:pt idx="0">
                  <c:v>65071.428571428572</c:v>
                </c:pt>
                <c:pt idx="1">
                  <c:v>77125</c:v>
                </c:pt>
              </c:numCache>
            </c:numRef>
          </c:val>
          <c:extLst>
            <c:ext xmlns:c16="http://schemas.microsoft.com/office/drawing/2014/chart" uri="{C3380CC4-5D6E-409C-BE32-E72D297353CC}">
              <c16:uniqueId val="{00000004-BFB6-49EC-B3C1-E4CB9318A519}"/>
            </c:ext>
          </c:extLst>
        </c:ser>
        <c:ser>
          <c:idx val="5"/>
          <c:order val="5"/>
          <c:tx>
            <c:strRef>
              <c:f>'QoQ-Average Purchase Price'!$G$3:$G$4</c:f>
              <c:strCache>
                <c:ptCount val="1"/>
                <c:pt idx="0">
                  <c:v>WAKAD</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'QoQ-Average Purchase Price'!$A$5:$A$8</c:f>
              <c:strCache>
                <c:ptCount val="3"/>
                <c:pt idx="0">
                  <c:v>Q2</c:v>
                </c:pt>
                <c:pt idx="1">
                  <c:v>Q3</c:v>
                </c:pt>
                <c:pt idx="2">
                  <c:v>Q4</c:v>
                </c:pt>
              </c:strCache>
            </c:strRef>
          </c:cat>
          <c:val>
            <c:numRef>
              <c:f>'QoQ-Average Purchase Price'!$G$5:$G$8</c:f>
              <c:numCache>
                <c:formatCode>0</c:formatCode>
                <c:ptCount val="3"/>
                <c:pt idx="0">
                  <c:v>61827.272727272728</c:v>
                </c:pt>
                <c:pt idx="1">
                  <c:v>53388.372093023259</c:v>
                </c:pt>
                <c:pt idx="2">
                  <c:v>51180</c:v>
                </c:pt>
              </c:numCache>
            </c:numRef>
          </c:val>
          <c:extLst>
            <c:ext xmlns:c16="http://schemas.microsoft.com/office/drawing/2014/chart" uri="{C3380CC4-5D6E-409C-BE32-E72D297353CC}">
              <c16:uniqueId val="{00000005-BFB6-49EC-B3C1-E4CB9318A51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38482864"/>
        <c:axId val="538480344"/>
      </c:areaChart>
      <c:catAx>
        <c:axId val="5384828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38480344"/>
        <c:crosses val="autoZero"/>
        <c:auto val="1"/>
        <c:lblAlgn val="ctr"/>
        <c:lblOffset val="100"/>
        <c:noMultiLvlLbl val="0"/>
      </c:catAx>
      <c:valAx>
        <c:axId val="5384803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8482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Assignment.xlsx]QoQ-Top 5 Brands!PivotTable8</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'QoQ-Top 5 Brands'!$B$3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'QoQ-Top 5 Brands'!$A$4:$A$23</c:f>
              <c:multiLvlStrCache>
                <c:ptCount val="14"/>
                <c:lvl>
                  <c:pt idx="0">
                    <c:v>Q2</c:v>
                  </c:pt>
                  <c:pt idx="1">
                    <c:v>Q3</c:v>
                  </c:pt>
                  <c:pt idx="2">
                    <c:v>Q4</c:v>
                  </c:pt>
                  <c:pt idx="3">
                    <c:v>Q3</c:v>
                  </c:pt>
                  <c:pt idx="4">
                    <c:v>Q4</c:v>
                  </c:pt>
                  <c:pt idx="5">
                    <c:v>Q2</c:v>
                  </c:pt>
                  <c:pt idx="6">
                    <c:v>Q3</c:v>
                  </c:pt>
                  <c:pt idx="7">
                    <c:v>Q4</c:v>
                  </c:pt>
                  <c:pt idx="8">
                    <c:v>Q2</c:v>
                  </c:pt>
                  <c:pt idx="9">
                    <c:v>Q3</c:v>
                  </c:pt>
                  <c:pt idx="10">
                    <c:v>Q4</c:v>
                  </c:pt>
                  <c:pt idx="11">
                    <c:v>Q2</c:v>
                  </c:pt>
                  <c:pt idx="12">
                    <c:v>Q3</c:v>
                  </c:pt>
                  <c:pt idx="13">
                    <c:v>Q4</c:v>
                  </c:pt>
                </c:lvl>
                <c:lvl>
                  <c:pt idx="0">
                    <c:v>Honda</c:v>
                  </c:pt>
                  <c:pt idx="3">
                    <c:v>TVS</c:v>
                  </c:pt>
                  <c:pt idx="5">
                    <c:v>Bajaj</c:v>
                  </c:pt>
                  <c:pt idx="8">
                    <c:v>Hero</c:v>
                  </c:pt>
                  <c:pt idx="11">
                    <c:v>YAMAHA</c:v>
                  </c:pt>
                </c:lvl>
              </c:multiLvlStrCache>
            </c:multiLvlStrRef>
          </c:cat>
          <c:val>
            <c:numRef>
              <c:f>'QoQ-Top 5 Brands'!$B$4:$B$23</c:f>
              <c:numCache>
                <c:formatCode>General</c:formatCode>
                <c:ptCount val="14"/>
                <c:pt idx="0">
                  <c:v>66</c:v>
                </c:pt>
                <c:pt idx="1">
                  <c:v>93</c:v>
                </c:pt>
                <c:pt idx="2">
                  <c:v>101</c:v>
                </c:pt>
                <c:pt idx="3">
                  <c:v>26</c:v>
                </c:pt>
                <c:pt idx="4">
                  <c:v>43</c:v>
                </c:pt>
                <c:pt idx="5">
                  <c:v>15</c:v>
                </c:pt>
                <c:pt idx="6">
                  <c:v>20</c:v>
                </c:pt>
                <c:pt idx="7">
                  <c:v>19</c:v>
                </c:pt>
                <c:pt idx="8">
                  <c:v>3</c:v>
                </c:pt>
                <c:pt idx="9">
                  <c:v>24</c:v>
                </c:pt>
                <c:pt idx="10">
                  <c:v>25</c:v>
                </c:pt>
                <c:pt idx="11">
                  <c:v>11</c:v>
                </c:pt>
                <c:pt idx="12">
                  <c:v>15</c:v>
                </c:pt>
                <c:pt idx="13">
                  <c:v>17</c:v>
                </c:pt>
              </c:numCache>
            </c:numRef>
          </c:val>
          <c:smooth val="0"/>
          <c:extLst>
            <c:ext xmlns:c16="http://schemas.microsoft.com/office/drawing/2014/chart" uri="{C3380CC4-5D6E-409C-BE32-E72D297353CC}">
              <c16:uniqueId val="{00000000-CC12-4812-B795-B2D71D3DF58B}"/>
            </c:ext>
          </c:extLst>
        </c:ser>
        <c:dLbls>
          <c:showLegendKey val="0"/>
          <c:showVal val="0"/>
          <c:showCatName val="0"/>
          <c:showSerName val="0"/>
          <c:showPercent val="0"/>
          <c:showBubbleSize val="0"/>
        </c:dLbls>
        <c:marker val="1"/>
        <c:smooth val="0"/>
        <c:axId val="535316288"/>
        <c:axId val="535316648"/>
      </c:lineChart>
      <c:catAx>
        <c:axId val="535316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5316648"/>
        <c:crosses val="autoZero"/>
        <c:auto val="1"/>
        <c:lblAlgn val="ctr"/>
        <c:lblOffset val="100"/>
        <c:noMultiLvlLbl val="0"/>
      </c:catAx>
      <c:valAx>
        <c:axId val="535316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531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[2WheelR - Data Analytics - Assignment.xlsx]QoQ-Top 5 Models!PivotTable9</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'QoQ-Top 5 Models'!$B$3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'QoQ-Top 5 Models'!$A$4:$A$21</c:f>
              <c:multiLvlStrCache>
                <c:ptCount val="12"/>
                <c:lvl>
                  <c:pt idx="0">
                    <c:v>Q2</c:v>
                  </c:pt>
                  <c:pt idx="1">
                    <c:v>Q3</c:v>
                  </c:pt>
                  <c:pt idx="2">
                    <c:v>Q4</c:v>
                  </c:pt>
                  <c:pt idx="3">
                    <c:v>Q2</c:v>
                  </c:pt>
                  <c:pt idx="4">
                    <c:v>Q3</c:v>
                  </c:pt>
                  <c:pt idx="5">
                    <c:v>Q3</c:v>
                  </c:pt>
                  <c:pt idx="6">
                    <c:v>Q4</c:v>
                  </c:pt>
                  <c:pt idx="7">
                    <c:v>Q2</c:v>
                  </c:pt>
                  <c:pt idx="8">
                    <c:v>Q3</c:v>
                  </c:pt>
                  <c:pt idx="9">
                    <c:v>Q4</c:v>
                  </c:pt>
                  <c:pt idx="10">
                    <c:v>Q3</c:v>
                  </c:pt>
                  <c:pt idx="11">
                    <c:v>Q4</c:v>
                  </c:pt>
                </c:lvl>
                <c:lvl>
                  <c:pt idx="0">
                    <c:v>ACTIVA 110</c:v>
                  </c:pt>
                  <c:pt idx="3">
                    <c:v>ACTIVA</c:v>
                  </c:pt>
                  <c:pt idx="5">
                    <c:v>Jupiter 110cc</c:v>
                  </c:pt>
                  <c:pt idx="7">
                    <c:v>Activa 3G 110cc</c:v>
                  </c:pt>
                  <c:pt idx="10">
                    <c:v>Dio 110cc</c:v>
                  </c:pt>
                </c:lvl>
              </c:multiLvlStrCache>
            </c:multiLvlStrRef>
          </c:cat>
          <c:val>
            <c:numRef>
              <c:f>'QoQ-Top 5 Models'!$B$4:$B$21</c:f>
              <c:numCache>
                <c:formatCode>General</c:formatCode>
                <c:ptCount val="12"/>
                <c:pt idx="0">
                  <c:v>7</c:v>
                </c:pt>
                <c:pt idx="1">
                  <c:v>10</c:v>
                </c:pt>
                <c:pt idx="2">
                  <c:v>25</c:v>
                </c:pt>
                <c:pt idx="3">
                  <c:v>17</c:v>
                </c:pt>
                <c:pt idx="4">
                  <c:v>9</c:v>
                </c:pt>
                <c:pt idx="5">
                  <c:v>4</c:v>
                </c:pt>
                <c:pt idx="6">
                  <c:v>13</c:v>
                </c:pt>
                <c:pt idx="7">
                  <c:v>1</c:v>
                </c:pt>
                <c:pt idx="8">
                  <c:v>4</c:v>
                </c:pt>
                <c:pt idx="9">
                  <c:v>12</c:v>
                </c:pt>
                <c:pt idx="10">
                  <c:v>8</c:v>
                </c:pt>
                <c:pt idx="11">
                  <c:v>7</c:v>
                </c:pt>
              </c:numCache>
            </c:numRef>
          </c:val>
          <c:smooth val="0"/>
          <c:extLst>
            <c:ext xmlns:c16="http://schemas.microsoft.com/office/drawing/2014/chart" uri="{C3380CC4-5D6E-409C-BE32-E72D297353CC}">
              <c16:uniqueId val="{00000000-0F6E-4ED5-BCC5-63226DD90626}"/>
            </c:ext>
          </c:extLst>
        </c:ser>
        <c:dLbls>
          <c:showLegendKey val="0"/>
          <c:showVal val="0"/>
          <c:showCatName val="0"/>
          <c:showSerName val="0"/>
          <c:showPercent val="0"/>
          <c:showBubbleSize val="0"/>
        </c:dLbls>
        <c:marker val="1"/>
        <c:smooth val="0"/>
        <c:axId val="460214208"/>
        <c:axId val="460214928"/>
      </c:lineChart>
      <c:catAx>
        <c:axId val="460214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0214928"/>
        <c:crosses val="autoZero"/>
        <c:auto val="1"/>
        <c:lblAlgn val="ctr"/>
        <c:lblOffset val="100"/>
        <c:noMultiLvlLbl val="0"/>
      </c:catAx>
      <c:valAx>
        <c:axId val="460214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021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71437</xdr:rowOff>
    </xdr:from>
    <xdr:to>
      <xdr:col>9</xdr:col>
      <xdr:colOff>495300</xdr:colOff>
      <xdr:row>14</xdr:row>
      <xdr:rowOff>147637</xdr:rowOff>
    </xdr:to>
    <xdr:graphicFrame macro="">
      <xdr:nvGraphicFramePr>
        <xdr:cNvPr id="2" name="Chart 1">
          <a:extLst>
            <a:ext uri="{FF2B5EF4-FFF2-40B4-BE49-F238E27FC236}">
              <a16:creationId xmlns:a16="http://schemas.microsoft.com/office/drawing/2014/main" id="{81E6C5A7-91B4-49D0-21BD-8080E16B7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238125</xdr:colOff>
      <xdr:row>1</xdr:row>
      <xdr:rowOff>52387</xdr:rowOff>
    </xdr:from>
    <xdr:to>
      <xdr:col>15</xdr:col>
      <xdr:colOff>542925</xdr:colOff>
      <xdr:row>15</xdr:row>
      <xdr:rowOff>128587</xdr:rowOff>
    </xdr:to>
    <xdr:graphicFrame macro="">
      <xdr:nvGraphicFramePr>
        <xdr:cNvPr id="2" name="Chart 1">
          <a:extLst>
            <a:ext uri="{FF2B5EF4-FFF2-40B4-BE49-F238E27FC236}">
              <a16:creationId xmlns:a16="http://schemas.microsoft.com/office/drawing/2014/main" id="{70A303E3-C1DE-F031-9F34-B53EE7E4A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257175</xdr:colOff>
      <xdr:row>1</xdr:row>
      <xdr:rowOff>80962</xdr:rowOff>
    </xdr:from>
    <xdr:to>
      <xdr:col>15</xdr:col>
      <xdr:colOff>561975</xdr:colOff>
      <xdr:row>15</xdr:row>
      <xdr:rowOff>157162</xdr:rowOff>
    </xdr:to>
    <xdr:graphicFrame macro="">
      <xdr:nvGraphicFramePr>
        <xdr:cNvPr id="3" name="Chart 2">
          <a:extLst>
            <a:ext uri="{FF2B5EF4-FFF2-40B4-BE49-F238E27FC236}">
              <a16:creationId xmlns:a16="http://schemas.microsoft.com/office/drawing/2014/main" id="{725EFA9E-632D-9E9B-54BD-C580860E3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14</xdr:row>
      <xdr:rowOff>23812</xdr:rowOff>
    </xdr:from>
    <xdr:to>
      <xdr:col>7</xdr:col>
      <xdr:colOff>342900</xdr:colOff>
      <xdr:row>28</xdr:row>
      <xdr:rowOff>66675</xdr:rowOff>
    </xdr:to>
    <xdr:graphicFrame macro="">
      <xdr:nvGraphicFramePr>
        <xdr:cNvPr id="2" name="Chart 1">
          <a:extLst>
            <a:ext uri="{FF2B5EF4-FFF2-40B4-BE49-F238E27FC236}">
              <a16:creationId xmlns:a16="http://schemas.microsoft.com/office/drawing/2014/main" id="{250BFAE6-7CDA-3133-9F4C-A2051CEE5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285750</xdr:colOff>
      <xdr:row>2</xdr:row>
      <xdr:rowOff>71437</xdr:rowOff>
    </xdr:from>
    <xdr:to>
      <xdr:col>10</xdr:col>
      <xdr:colOff>104775</xdr:colOff>
      <xdr:row>16</xdr:row>
      <xdr:rowOff>147637</xdr:rowOff>
    </xdr:to>
    <xdr:graphicFrame macro="">
      <xdr:nvGraphicFramePr>
        <xdr:cNvPr id="2" name="Chart 1">
          <a:extLst>
            <a:ext uri="{FF2B5EF4-FFF2-40B4-BE49-F238E27FC236}">
              <a16:creationId xmlns:a16="http://schemas.microsoft.com/office/drawing/2014/main" id="{E52D0203-98F2-AB29-69F6-0EA3C04ED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266700</xdr:colOff>
      <xdr:row>2</xdr:row>
      <xdr:rowOff>80962</xdr:rowOff>
    </xdr:from>
    <xdr:to>
      <xdr:col>7</xdr:col>
      <xdr:colOff>1381125</xdr:colOff>
      <xdr:row>16</xdr:row>
      <xdr:rowOff>157162</xdr:rowOff>
    </xdr:to>
    <xdr:graphicFrame macro="">
      <xdr:nvGraphicFramePr>
        <xdr:cNvPr id="2" name="Chart 1">
          <a:extLst>
            <a:ext uri="{FF2B5EF4-FFF2-40B4-BE49-F238E27FC236}">
              <a16:creationId xmlns:a16="http://schemas.microsoft.com/office/drawing/2014/main" id="{8677A1B2-9ECE-72EB-19CF-BDD5DDCA3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180975</xdr:colOff>
      <xdr:row>0</xdr:row>
      <xdr:rowOff>71437</xdr:rowOff>
    </xdr:from>
    <xdr:to>
      <xdr:col>9</xdr:col>
      <xdr:colOff>485775</xdr:colOff>
      <xdr:row>14</xdr:row>
      <xdr:rowOff>147637</xdr:rowOff>
    </xdr:to>
    <xdr:graphicFrame macro="">
      <xdr:nvGraphicFramePr>
        <xdr:cNvPr id="2" name="Chart 1">
          <a:extLst>
            <a:ext uri="{FF2B5EF4-FFF2-40B4-BE49-F238E27FC236}">
              <a16:creationId xmlns:a16="http://schemas.microsoft.com/office/drawing/2014/main" id="{52F1108C-A2BA-4E6D-8EC1-009DC7641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904875</xdr:colOff>
      <xdr:row>8</xdr:row>
      <xdr:rowOff>157162</xdr:rowOff>
    </xdr:from>
    <xdr:to>
      <xdr:col>8</xdr:col>
      <xdr:colOff>1123950</xdr:colOff>
      <xdr:row>23</xdr:row>
      <xdr:rowOff>42862</xdr:rowOff>
    </xdr:to>
    <xdr:graphicFrame macro="">
      <xdr:nvGraphicFramePr>
        <xdr:cNvPr id="2" name="Chart 1">
          <a:extLst>
            <a:ext uri="{FF2B5EF4-FFF2-40B4-BE49-F238E27FC236}">
              <a16:creationId xmlns:a16="http://schemas.microsoft.com/office/drawing/2014/main" id="{F0F2620C-2903-4374-8B70-AEAC4D487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257175</xdr:colOff>
      <xdr:row>1</xdr:row>
      <xdr:rowOff>80962</xdr:rowOff>
    </xdr:from>
    <xdr:to>
      <xdr:col>15</xdr:col>
      <xdr:colOff>561975</xdr:colOff>
      <xdr:row>15</xdr:row>
      <xdr:rowOff>157162</xdr:rowOff>
    </xdr:to>
    <xdr:graphicFrame macro="">
      <xdr:nvGraphicFramePr>
        <xdr:cNvPr id="2" name="Chart 1">
          <a:extLst>
            <a:ext uri="{FF2B5EF4-FFF2-40B4-BE49-F238E27FC236}">
              <a16:creationId xmlns:a16="http://schemas.microsoft.com/office/drawing/2014/main" id="{B1FEFA44-9727-455B-9088-7131B44CF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19050</xdr:colOff>
      <xdr:row>14</xdr:row>
      <xdr:rowOff>23812</xdr:rowOff>
    </xdr:from>
    <xdr:to>
      <xdr:col>7</xdr:col>
      <xdr:colOff>342900</xdr:colOff>
      <xdr:row>28</xdr:row>
      <xdr:rowOff>66675</xdr:rowOff>
    </xdr:to>
    <xdr:graphicFrame macro="">
      <xdr:nvGraphicFramePr>
        <xdr:cNvPr id="2" name="Chart 1">
          <a:extLst>
            <a:ext uri="{FF2B5EF4-FFF2-40B4-BE49-F238E27FC236}">
              <a16:creationId xmlns:a16="http://schemas.microsoft.com/office/drawing/2014/main" id="{CF589B6E-0357-4D33-A2AB-3897AA26C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381000</xdr:colOff>
      <xdr:row>2</xdr:row>
      <xdr:rowOff>138112</xdr:rowOff>
    </xdr:from>
    <xdr:to>
      <xdr:col>10</xdr:col>
      <xdr:colOff>200025</xdr:colOff>
      <xdr:row>17</xdr:row>
      <xdr:rowOff>23812</xdr:rowOff>
    </xdr:to>
    <xdr:graphicFrame macro="">
      <xdr:nvGraphicFramePr>
        <xdr:cNvPr id="2" name="Chart 1">
          <a:extLst>
            <a:ext uri="{FF2B5EF4-FFF2-40B4-BE49-F238E27FC236}">
              <a16:creationId xmlns:a16="http://schemas.microsoft.com/office/drawing/2014/main" id="{8DC49FED-97E5-4C14-92E9-5264D966C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266700</xdr:colOff>
      <xdr:row>2</xdr:row>
      <xdr:rowOff>80962</xdr:rowOff>
    </xdr:from>
    <xdr:to>
      <xdr:col>7</xdr:col>
      <xdr:colOff>1381125</xdr:colOff>
      <xdr:row>16</xdr:row>
      <xdr:rowOff>157162</xdr:rowOff>
    </xdr:to>
    <xdr:graphicFrame macro="">
      <xdr:nvGraphicFramePr>
        <xdr:cNvPr id="2" name="Chart 1">
          <a:extLst>
            <a:ext uri="{FF2B5EF4-FFF2-40B4-BE49-F238E27FC236}">
              <a16:creationId xmlns:a16="http://schemas.microsoft.com/office/drawing/2014/main" id="{8F732910-D623-4564-A2BB-DE7F9AC94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58.393432407407" createdVersion="8" refreshedVersion="8" minRefreshableVersion="3" recordCount="703" xr:uid="{FC68453D-85F1-49DE-B4B9-2652A8671677}">
  <cacheSource type="worksheet">
    <worksheetSource ref="A1:I704" sheet="Apr-Dec Consolidated"/>
  </cacheSource>
  <cacheFields count="11">
    <cacheField name="Purchase Date" numFmtId="0">
      <sharedItems containsSemiMixedTypes="0" containsNonDate="0" containsDate="1" containsString="0" minDate="2024-04-01T00:00:00" maxDate="2025-01-01T00:00:00" count="230">
        <d v="2024-05-26T00:00:00"/>
        <d v="2024-04-03T00:00:00"/>
        <d v="2024-05-22T00:00:00"/>
        <d v="2024-04-11T00:00:00"/>
        <d v="2024-07-23T00:00:00"/>
        <d v="2024-08-09T00:00:00"/>
        <d v="2024-05-07T00:00:00"/>
        <d v="2024-05-11T00:00:00"/>
        <d v="2024-07-08T00:00:00"/>
        <d v="2024-07-29T00:00:00"/>
        <d v="2024-07-01T00:00:00"/>
        <d v="2024-07-26T00:00:00"/>
        <d v="2024-05-25T00:00:00"/>
        <d v="2024-04-08T00:00:00"/>
        <d v="2024-05-18T00:00:00"/>
        <d v="2024-07-13T00:00:00"/>
        <d v="2024-08-11T00:00:00"/>
        <d v="2024-08-13T00:00:00"/>
        <d v="2024-08-16T00:00:00"/>
        <d v="2024-08-21T00:00:00"/>
        <d v="2024-09-01T00:00:00"/>
        <d v="2024-09-03T00:00:00"/>
        <d v="2024-09-04T00:00:00"/>
        <d v="2024-09-06T00:00:00"/>
        <d v="2024-09-12T00:00:00"/>
        <d v="2024-09-19T00:00:00"/>
        <d v="2024-09-22T00:00:00"/>
        <d v="2024-09-23T00:00:00"/>
        <d v="2024-09-25T00:00:00"/>
        <d v="2024-09-30T00:00:00"/>
        <d v="2024-10-06T00:00:00"/>
        <d v="2024-10-08T00:00:00"/>
        <d v="2024-10-10T00:00:00"/>
        <d v="2024-10-16T00:00:00"/>
        <d v="2024-10-30T00:00:00"/>
        <d v="2024-11-07T00:00:00"/>
        <d v="2024-11-09T00:00:00"/>
        <d v="2024-11-14T00:00:00"/>
        <d v="2024-11-17T00:00:00"/>
        <d v="2024-11-21T00:00:00"/>
        <d v="2024-11-30T00:00:00"/>
        <d v="2024-12-01T00:00:00"/>
        <d v="2024-12-07T00:00:00"/>
        <d v="2024-12-15T00:00:00"/>
        <d v="2024-12-17T00:00:00"/>
        <d v="2024-12-30T00:00:00"/>
        <d v="2024-05-01T00:00:00"/>
        <d v="2024-06-05T00:00:00"/>
        <d v="2024-05-02T00:00:00"/>
        <d v="2024-06-23T00:00:00"/>
        <d v="2024-05-14T00:00:00"/>
        <d v="2024-05-20T00:00:00"/>
        <d v="2024-07-15T00:00:00"/>
        <d v="2024-07-21T00:00:00"/>
        <d v="2024-07-22T00:00:00"/>
        <d v="2024-05-04T00:00:00"/>
        <d v="2024-05-05T00:00:00"/>
        <d v="2024-07-16T00:00:00"/>
        <d v="2024-07-09T00:00:00"/>
        <d v="2024-07-12T00:00:00"/>
        <d v="2024-04-24T00:00:00"/>
        <d v="2024-06-22T00:00:00"/>
        <d v="2024-05-10T00:00:00"/>
        <d v="2024-04-09T00:00:00"/>
        <d v="2024-05-12T00:00:00"/>
        <d v="2024-04-14T00:00:00"/>
        <d v="2024-07-06T00:00:00"/>
        <d v="2024-06-16T00:00:00"/>
        <d v="2024-06-21T00:00:00"/>
        <d v="2024-05-15T00:00:00"/>
        <d v="2024-06-13T00:00:00"/>
        <d v="2024-07-03T00:00:00"/>
        <d v="2024-08-14T00:00:00"/>
        <d v="2024-08-19T00:00:00"/>
        <d v="2024-08-27T00:00:00"/>
        <d v="2024-08-28T00:00:00"/>
        <d v="2024-08-29T00:00:00"/>
        <d v="2024-08-31T00:00:00"/>
        <d v="2024-09-10T00:00:00"/>
        <d v="2024-09-14T00:00:00"/>
        <d v="2024-09-26T00:00:00"/>
        <d v="2024-09-28T00:00:00"/>
        <d v="2024-09-29T00:00:00"/>
        <d v="2024-10-02T00:00:00"/>
        <d v="2024-10-04T00:00:00"/>
        <d v="2024-10-13T00:00:00"/>
        <d v="2024-10-15T00:00:00"/>
        <d v="2024-10-20T00:00:00"/>
        <d v="2024-10-25T00:00:00"/>
        <d v="2024-10-27T00:00:00"/>
        <d v="2024-11-02T00:00:00"/>
        <d v="2024-11-04T00:00:00"/>
        <d v="2024-11-05T00:00:00"/>
        <d v="2024-11-12T00:00:00"/>
        <d v="2024-11-13T00:00:00"/>
        <d v="2024-11-15T00:00:00"/>
        <d v="2024-12-03T00:00:00"/>
        <d v="2024-12-05T00:00:00"/>
        <d v="2024-12-20T00:00:00"/>
        <d v="2024-05-03T00:00:00"/>
        <d v="2024-06-11T00:00:00"/>
        <d v="2024-07-07T00:00:00"/>
        <d v="2024-05-16T00:00:00"/>
        <d v="2024-07-18T00:00:00"/>
        <d v="2024-07-20T00:00:00"/>
        <d v="2024-04-12T00:00:00"/>
        <d v="2024-05-27T00:00:00"/>
        <d v="2024-06-02T00:00:00"/>
        <d v="2024-06-10T00:00:00"/>
        <d v="2024-06-24T00:00:00"/>
        <d v="2024-07-19T00:00:00"/>
        <d v="2024-07-27T00:00:00"/>
        <d v="2024-07-28T00:00:00"/>
        <d v="2024-04-10T00:00:00"/>
        <d v="2024-04-25T00:00:00"/>
        <d v="2024-05-06T00:00:00"/>
        <d v="2024-05-23T00:00:00"/>
        <d v="2024-06-08T00:00:00"/>
        <d v="2024-06-27T00:00:00"/>
        <d v="2024-04-30T00:00:00"/>
        <d v="2024-06-12T00:00:00"/>
        <d v="2024-06-30T00:00:00"/>
        <d v="2024-04-02T00:00:00"/>
        <d v="2024-05-31T00:00:00"/>
        <d v="2024-06-28T00:00:00"/>
        <d v="2024-06-26T00:00:00"/>
        <d v="2024-04-06T00:00:00"/>
        <d v="2024-06-07T00:00:00"/>
        <d v="2024-06-15T00:00:00"/>
        <d v="2024-06-14T00:00:00"/>
        <d v="2024-07-02T00:00:00"/>
        <d v="2024-04-21T00:00:00"/>
        <d v="2024-05-21T00:00:00"/>
        <d v="2024-06-18T00:00:00"/>
        <d v="2024-08-02T00:00:00"/>
        <d v="2024-08-03T00:00:00"/>
        <d v="2024-08-04T00:00:00"/>
        <d v="2024-08-10T00:00:00"/>
        <d v="2024-08-15T00:00:00"/>
        <d v="2024-08-17T00:00:00"/>
        <d v="2024-08-18T00:00:00"/>
        <d v="2024-08-20T00:00:00"/>
        <d v="2024-08-22T00:00:00"/>
        <d v="2024-08-24T00:00:00"/>
        <d v="2024-08-26T00:00:00"/>
        <d v="2024-08-30T00:00:00"/>
        <d v="2024-09-05T00:00:00"/>
        <d v="2024-09-08T00:00:00"/>
        <d v="2024-09-09T00:00:00"/>
        <d v="2024-09-11T00:00:00"/>
        <d v="2024-09-15T00:00:00"/>
        <d v="2024-09-17T00:00:00"/>
        <d v="2024-09-20T00:00:00"/>
        <d v="2024-09-21T00:00:00"/>
        <d v="2024-10-01T00:00:00"/>
        <d v="2024-10-11T00:00:00"/>
        <d v="2024-10-12T00:00:00"/>
        <d v="2024-10-14T00:00:00"/>
        <d v="2024-10-17T00:00:00"/>
        <d v="2024-10-18T00:00:00"/>
        <d v="2024-10-19T00:00:00"/>
        <d v="2024-10-22T00:00:00"/>
        <d v="2024-10-24T00:00:00"/>
        <d v="2024-10-29T00:00:00"/>
        <d v="2024-11-01T00:00:00"/>
        <d v="2024-11-08T00:00:00"/>
        <d v="2024-11-10T00:00:00"/>
        <d v="2024-11-16T00:00:00"/>
        <d v="2024-11-19T00:00:00"/>
        <d v="2024-11-22T00:00:00"/>
        <d v="2024-11-23T00:00:00"/>
        <d v="2024-11-25T00:00:00"/>
        <d v="2024-11-27T00:00:00"/>
        <d v="2024-12-08T00:00:00"/>
        <d v="2024-12-09T00:00:00"/>
        <d v="2024-12-11T00:00:00"/>
        <d v="2024-12-13T00:00:00"/>
        <d v="2024-12-14T00:00:00"/>
        <d v="2024-12-16T00:00:00"/>
        <d v="2024-12-19T00:00:00"/>
        <d v="2024-12-22T00:00:00"/>
        <d v="2024-12-23T00:00:00"/>
        <d v="2024-12-26T00:00:00"/>
        <d v="2024-12-28T00:00:00"/>
        <d v="2024-12-29T00:00:00"/>
        <d v="2024-12-31T00:00:00"/>
        <d v="2024-04-01T00:00:00"/>
        <d v="2024-06-06T00:00:00"/>
        <d v="2024-09-27T00:00:00"/>
        <d v="2024-04-26T00:00:00"/>
        <d v="2024-04-07T00:00:00"/>
        <d v="2024-09-24T00:00:00"/>
        <d v="2024-11-03T00:00:00"/>
        <d v="2024-06-20T00:00:00"/>
        <d v="2024-06-04T00:00:00"/>
        <d v="2024-10-31T00:00:00"/>
        <d v="2024-05-13T00:00:00"/>
        <d v="2024-07-04T00:00:00"/>
        <d v="2024-07-10T00:00:00"/>
        <d v="2024-06-01T00:00:00"/>
        <d v="2024-06-29T00:00:00"/>
        <d v="2024-07-30T00:00:00"/>
        <d v="2024-08-07T00:00:00"/>
        <d v="2024-09-02T00:00:00"/>
        <d v="2024-10-21T00:00:00"/>
        <d v="2024-10-26T00:00:00"/>
        <d v="2024-11-11T00:00:00"/>
        <d v="2024-11-24T00:00:00"/>
        <d v="2024-12-02T00:00:00"/>
        <d v="2024-04-13T00:00:00"/>
        <d v="2024-07-31T00:00:00"/>
        <d v="2024-04-16T00:00:00"/>
        <d v="2024-04-19T00:00:00"/>
        <d v="2024-07-17T00:00:00"/>
        <d v="2024-08-05T00:00:00"/>
        <d v="2024-08-25T00:00:00"/>
        <d v="2024-09-07T00:00:00"/>
        <d v="2024-11-28T00:00:00"/>
        <d v="2024-08-06T00:00:00"/>
        <d v="2024-08-08T00:00:00"/>
        <d v="2024-08-12T00:00:00"/>
        <d v="2024-09-16T00:00:00"/>
        <d v="2024-10-05T00:00:00"/>
        <d v="2024-10-07T00:00:00"/>
        <d v="2024-10-09T00:00:00"/>
        <d v="2024-10-23T00:00:00"/>
        <d v="2024-12-18T00:00:00"/>
        <d v="2024-12-27T00:00:00"/>
        <d v="2024-06-25T00:00:00"/>
        <d v="2024-07-14T00:00:00"/>
      </sharedItems>
      <fieldGroup par="10"/>
    </cacheField>
    <cacheField name="Quarter" numFmtId="0">
      <sharedItems count="3">
        <s v="Q2"/>
        <s v="Q3"/>
        <s v="Q4"/>
      </sharedItems>
    </cacheField>
    <cacheField name="VEHICLE NO" numFmtId="0">
      <sharedItems/>
    </cacheField>
    <cacheField name="MAKE" numFmtId="0">
      <sharedItems containsBlank="1" count="129">
        <s v="Adventure 390CC BS6"/>
        <s v="APACHE"/>
        <s v="Aprilia"/>
        <s v="AVIATOR"/>
        <s v="AVIATOR "/>
        <s v="Bajaj"/>
        <s v="BMW"/>
        <s v="bullet"/>
        <s v="BURGMAN"/>
        <s v="CBR 150R 150CC"/>
        <s v="CBZ XTREME"/>
        <s v="CD Delux 100cc"/>
        <s v="CT110"/>
        <s v="DESTINI "/>
        <s v="DIO"/>
        <s v="DIO SELF"/>
        <s v="DISCOVER"/>
        <s v="DOMINAR "/>
        <s v="Dominar 250 BS6"/>
        <s v="DREAM YUGA "/>
        <s v="DREAMYUGA"/>
        <s v="DUET"/>
        <s v="DUKE 125"/>
        <s v="DUKE 250"/>
        <s v="FASCINO"/>
        <s v="Forty Two"/>
        <s v="FZ25 250cc"/>
        <s v="GIXXER"/>
        <s v="GRAZIA"/>
        <s v="Hero"/>
        <s v="HERO XOOM"/>
        <s v="Himalayan 410cc FI ABS"/>
        <s v="Himalayan 410cc FI ABS BS VI"/>
        <s v="Honda"/>
        <s v="hornet"/>
        <s v="HUNTER 350"/>
        <s v="Hunter 350 METRO REBEL"/>
        <s v="Jawa"/>
        <s v="JAWA PERAK"/>
        <s v="JUPITER"/>
        <s v="Jupiter 110cc"/>
        <s v="Jupiter 110CC BS6"/>
        <s v="KARIZMA"/>
        <s v="KTM"/>
        <s v="KTM DUKE"/>
        <s v="LETS"/>
        <s v="MAESTRO"/>
        <s v="Mahindra"/>
        <s v="METEOR"/>
        <s v="Meteor 350cc"/>
        <s v="MT15"/>
        <s v="NEO"/>
        <s v="NS 200"/>
        <s v="ns160"/>
        <s v="OLA"/>
        <s v="PASSION PRO"/>
        <s v="Passion Pro 100cc"/>
        <s v="Piaggio"/>
        <s v="PLATINA"/>
        <s v="PLEASURE"/>
        <s v="YAMAHA"/>
        <s v="RADEO"/>
        <s v="RAY"/>
        <s v="RC 125CC"/>
        <s v="RC 125CC BS6"/>
        <s v="RC 200"/>
        <s v="RC 200CC"/>
        <s v="RC 200CC ABS"/>
        <s v="Royal Enfield"/>
        <s v="SCOOTY PEP PLUS"/>
        <s v="SCOOTY PEP+"/>
        <s v="SP125 Drum"/>
        <s v="Standard 350cc"/>
        <s v="Suzuki"/>
        <s v="SZR"/>
        <s v="TVS"/>
        <s v="UNICORN"/>
        <s v="VESPA"/>
        <s v="VESPA VXL "/>
        <s v="VIKRANT"/>
        <s v="WEGO"/>
        <s v="XTREME"/>
        <m/>
        <s v="R15" u="1"/>
        <s v="APACHE RTR 160" u="1"/>
        <s v="Apache RTR 200 4V" u="1"/>
        <s v="AVENEGER 220" u="1"/>
        <s v="AVENGER 220 CRUISE" u="1"/>
        <s v="AVENGER 220 CRUISE " u="1"/>
        <s v="AVENGER 220 STREET" u="1"/>
        <s v="Avenger Street 160 ABS" u="1"/>
        <s v="BMW G310 GS" u="1"/>
        <s v="CB Hornet 160R" u="1"/>
        <s v="CB Shine 125cc" u="1"/>
        <s v="CB Shine 125cc Drum BS6" u="1"/>
        <s v="CB SHINE SP" u="1"/>
        <s v="CB Twister 110cc" u="1"/>
        <s v="CB Unicorn160 160cc" u="1"/>
        <s v="CLASSIC " u="1"/>
        <s v="CLASSIC 350" u="1"/>
        <s v="Classic 350 EFI" u="1"/>
        <s v="Classic 350cc" u="1"/>
        <s v="Classic 350cc ABS" u="1"/>
        <s v="Classic 350CC ABS Signals Dual Channel" u="1"/>
        <s v="FZS" u="1"/>
        <s v="FZS " u="1"/>
        <s v="FZX" u="1"/>
        <s v="PULSAR" u="1"/>
        <s v="Pulsar 150cc ABS" u="1"/>
        <s v="Pulsar 150cc ABS FI BS6" u="1"/>
        <s v="PULSAR 180" u="1"/>
        <s v="PULSAR 220" u="1"/>
        <s v="Pulsar 220 DTS-I" u="1"/>
        <s v="Pulsar 220cc" u="1"/>
        <s v="Pulsar NS 200cc" u="1"/>
        <s v="PULSAR RS" u="1"/>
        <s v="PULSAR220" u="1"/>
        <s v="SHINE" u="1"/>
        <s v="SHINE " u="1"/>
        <s v="Shine 125cc" u="1"/>
        <s v="SHINE-125" u="1"/>
        <s v="SPLENDOR" u="1"/>
        <s v="SPLENDOR PLUS" u="1"/>
        <s v="YAMAHA FZ" u="1"/>
        <s v="YAMAHA R15" u="1"/>
        <s v="YAMAHA R15 M" u="1"/>
        <s v="YEZDI ROADSTER" u="1"/>
        <s v="YZF R15 V3" u="1"/>
        <s v="YZF R15 V3 150cc" u="1"/>
      </sharedItems>
    </cacheField>
    <cacheField name="Model" numFmtId="0">
      <sharedItems containsBlank="1" count="207">
        <m/>
        <s v="RTR 160"/>
        <s v="RTR 200 4V"/>
        <s v="SXR 125 125CC"/>
        <s v="AVENEGER 220"/>
        <s v="AVENGER 220 CRUISE"/>
        <s v="AVENGER 220 CRUISE "/>
        <s v="AVENGER 220 STREET"/>
        <s v="Avenger Street 160 ABS"/>
        <s v="Discover 125cc"/>
        <s v="Pulsar LS 135cc"/>
        <s v="Pulsar N 250CC"/>
        <s v="Discover 100cc"/>
        <s v="Pulsar 220 DTS-I"/>
        <s v="Discover 150cc"/>
        <s v="Avenger Cruise 220"/>
        <s v="Pulsar 220F"/>
        <s v="Pulsar NS 125cc"/>
        <s v="Dominar 400cc"/>
        <s v="Pulsar NS 200cc"/>
        <s v="Pulsar 125cc Disc BS6"/>
        <s v="Avenger 220cc"/>
        <s v="Pulsar 150 DTSI"/>
        <s v="Pulsar AS 150cc"/>
        <s v="CT110 ES Alloy BS6"/>
        <s v="Pulsar NS 160cc"/>
        <s v="Avenger Street 220"/>
        <s v="Discover F 150cc"/>
        <s v="Pulsar RS 200cc"/>
        <s v="PULSAR"/>
        <s v="Pulsar 150cc ABS"/>
        <s v="Pulsar 150cc ABS FI BS6"/>
        <s v="PULSAR 180"/>
        <s v="PULSAR 220"/>
        <s v="Pulsar 220cc"/>
        <s v="PULSAR RS"/>
        <s v="PULSAR220"/>
        <s v="G310 GS"/>
        <s v="Passion Pro 100cc"/>
        <s v="Duet LX 110cc"/>
        <s v="Splendor Self Drum Cast"/>
        <s v="Maestro Edge 125 125CC"/>
        <s v="XPulse 200T 200cc"/>
        <s v="Pleasure 100cc"/>
        <s v="Splendor Plus 100cc"/>
        <s v="CBZ Xtreme 150cc"/>
        <s v="XPulse 200cc"/>
        <s v="Passion Pro 100cc Disc Alloy"/>
        <s v="Splendor Plus Self Alloy 100cc"/>
        <s v="Splendor Plus 100cc Black and Accent Edition"/>
        <s v="Karizma ZMR 220cc"/>
        <s v="Maestro 125cc"/>
        <s v="Maestro Edge 125CC"/>
        <s v="Maestro Deluxe 110CC"/>
        <s v="XPulse 200 4V"/>
        <s v="Pleasure Plus 110cc"/>
        <s v="Splendor Plus I3s"/>
        <s v="Passion Pro Drum Self Cast"/>
        <s v="Super Splendor 125cc"/>
        <s v="HF Deluxe Self Ally I3s 100CC"/>
        <s v="Pleasure Plus LX 110cc"/>
        <s v="HF Deluxe 100cc"/>
        <s v="Passion Pro I3s Alloy 100cc"/>
        <s v="Passion XPro 110cc"/>
        <s v="Glamour I3s 125cc Disc BS6"/>
        <s v="Karizma XMR Standard"/>
        <s v="SPLENDOR"/>
        <s v="SPLENDOR PLUS"/>
        <s v="ACTIVA"/>
        <s v="ACTIVA "/>
        <s v="ACTIVA  "/>
        <s v="ACTIVA 110"/>
        <s v="ACTIVA 125"/>
        <s v="Activa 125 Alloy"/>
        <s v="ACTIVA 3G"/>
        <s v="Activa 3G 110cc"/>
        <s v="ACTIVA 4G"/>
        <s v="Activa 4G 110cc"/>
        <s v="ACTIVA 5G"/>
        <s v="Activa 5G 110cc Standard"/>
        <s v="ACTIVA 6G"/>
        <s v="Activa 6G STD"/>
        <s v="ACTIVA I"/>
        <s v="Activa I 110cc"/>
        <s v="CB Hornet 160R"/>
        <s v="CB Shine 125cc"/>
        <s v="CB Shine 125cc Drum BS6"/>
        <s v="CB SHINE SP"/>
        <s v="CB Twister 110cc"/>
        <s v="CB Unicorn160 160cc"/>
        <s v="CB350 RS Dual Tone"/>
        <s v="CB Hornet 160R ABS Deluxe"/>
        <s v="Shine 125cc"/>
        <s v="CBR 150R 150CC"/>
        <s v="Dio 110cc"/>
        <s v="CBF Stunner 125cc"/>
        <s v="Activa 5G 110cc Deluxe"/>
        <s v="Dio 110"/>
        <s v="Activa 6G DLX"/>
        <s v="SP125 Disc"/>
        <s v="Activa 6G Standard BS6"/>
        <s v="Dio Self"/>
        <s v="Aviator 110cc"/>
        <s v="Activa 125 Standard"/>
        <s v="H NESS CB350 DLX2 DUALTONE 384cc"/>
        <s v="CB Unicorn 150CC"/>
        <s v="Dream Yuga 110cc"/>
        <s v="CB Hornet 160R ABS Standard"/>
        <s v="CB Trigger 150cc"/>
        <s v="Activa 6G Smart Key"/>
        <s v="Activa 6G Deluxe BS6"/>
        <s v="Grazia 125cc Deluxe"/>
        <s v="Hornet 2.0 Standard"/>
        <s v="CB Hornet 160R Standard"/>
        <s v="Dio BS6"/>
        <s v="Activa 125 Deluxe"/>
        <s v="Grazia 125cc Standard"/>
        <s v="SHINE"/>
        <s v="SHINE "/>
        <s v="SHINE-125"/>
        <s v="42 Bobber 330CC"/>
        <s v="Perak 295"/>
        <s v="Standard 300CC"/>
        <s v="RC 125CC"/>
        <s v="Duke 200CC"/>
        <s v="RC 125CC BS6"/>
        <s v="Gusto 110"/>
        <s v="Vespa LX 125cc"/>
        <s v="Vespa SXL 125cc"/>
        <s v="Vespa SXL 150cc"/>
        <s v="Vespa VXL 125cc"/>
        <s v="Vespa 125cc"/>
        <s v="Vespa ZX 125cc CBS"/>
        <s v="R15"/>
        <s v="CLASSIC "/>
        <s v="CLASSIC 350"/>
        <s v="Classic 350 EFI"/>
        <s v="Classic 350cc"/>
        <s v="Classic 350cc ABS"/>
        <s v="Classic 350CC ABS Signals Dual Channel"/>
        <s v="Classic 350CC ABS Stormstrider SAND"/>
        <s v="Classic 500cc"/>
        <s v="Hunter 350 METRO REBEL"/>
        <s v="Hunter 350 METRO DAPPER"/>
        <s v="Himalayan 410cc"/>
        <s v="Meteor 350cc"/>
        <s v="Classic Signals 350"/>
        <s v="Thunderbird 350cc"/>
        <s v="Scram 411"/>
        <s v="Bullet Electra 350cc"/>
        <s v="Bullet 350cc KS EFI Black"/>
        <s v="ACCESS"/>
        <s v="ACCESS 125"/>
        <s v="Access Fi 125cc Disc alloy bluetooth BS6"/>
        <s v="Access 125cc"/>
        <s v="Gixxer SF 250cc ABS"/>
        <s v="Swish 125cc"/>
        <s v="Lets 110cc"/>
        <s v="Gixxer SF Fi 150cc ABS"/>
        <s v="Radeon Drum"/>
        <s v="Jupiter 110cc"/>
        <s v="Scooty Pep+ 90cc"/>
        <s v="Jupiter 110CC BS6"/>
        <s v="NTorq 125 Disc"/>
        <s v="Apache RTR 160cc"/>
        <s v="Wego 110cc"/>
        <s v="Jupiter 125 125cc Disc"/>
        <s v="Apache RTR 200 4V ABS"/>
        <s v="NTorq 125 Standard"/>
        <s v="Jupiter ZX"/>
        <s v="NTorq 125 Race Edition BS6"/>
        <s v="Jupiter 110cc ZX Disc SBT"/>
        <s v="Scooty Streak 90cc"/>
        <s v="Jupiter Classic 110cc"/>
        <s v="Jupiter Grande 110cc Disc"/>
        <s v="Apache RTR 160cc Rear Disc"/>
        <s v="Apache RR 310"/>
        <s v="Jupiter 125 125cc Drum"/>
        <s v="XL 100 HD i-Touch Start"/>
        <s v="Scooty Zest 110cc"/>
        <s v="Scooty Pep+ 90cc BS6"/>
        <s v="FZS"/>
        <s v="FZS "/>
        <s v="FZX"/>
        <s v="Ray 110cc"/>
        <s v="YZF R15 V3 150cc"/>
        <s v="Fascino 110cc"/>
        <s v="YZF R15 150cc"/>
        <s v="MT 15 150cc BS6"/>
        <s v="FZS 150cc"/>
        <s v="FZ 150cc"/>
        <s v="Fazer 150cc"/>
        <s v="FZ25 250cc"/>
        <s v="MT 15 150cc"/>
        <s v="FZ16 150cc"/>
        <s v="Fascino 125 S DLX Hybrid"/>
        <s v="FZS 25 250cc"/>
        <s v="YZF R15 V3 150cc Dual Channel ABS BS6"/>
        <s v="FZS FI V 3.0 150cc"/>
        <s v="YZF R15 V3 150cc ABS"/>
        <s v="YAMAHA FZ"/>
        <s v="YAMAHA R15"/>
        <s v="YAMAHA R15 M"/>
        <s v="YEZDI ROADSTER"/>
        <s v="YZF R15 V3"/>
        <s v="Activa 110cc" u="1"/>
        <s v="ACCES" u="1"/>
      </sharedItems>
    </cacheField>
    <cacheField name="Purchase Location" numFmtId="0">
      <sharedItems containsBlank="1" count="12">
        <s v="KHARADI"/>
        <s v="RASTA PETH"/>
        <s v="WAKAD"/>
        <s v="UNDRI"/>
        <s v="SINHAGAD ROAD"/>
        <s v="SOMWAR PETH"/>
        <m u="1"/>
        <s v="AVENEGER 220" u="1"/>
        <s v="AVENGER 220 CRUISE" u="1"/>
        <s v="AVENGER 220 CRUISE " u="1"/>
        <s v="AVENGER 220 STREET" u="1"/>
        <s v="Avenger Street 160 ABS" u="1"/>
      </sharedItems>
    </cacheField>
    <cacheField name="PURCHASED FROM" numFmtId="0">
      <sharedItems containsBlank="1"/>
    </cacheField>
    <cacheField name="PURCHASE AMOUNT" numFmtId="0">
      <sharedItems containsSemiMixedTypes="0" containsString="0" containsNumber="1" containsInteger="1" minValue="4000" maxValue="275000"/>
    </cacheField>
    <cacheField name="SELLER NAME" numFmtId="0">
      <sharedItems containsBlank="1"/>
    </cacheField>
    <cacheField name="Days (Purchase Date)" numFmtId="0" databaseField="0">
      <fieldGroup base="0">
        <rangePr groupBy="days" startDate="2024-04-01T00:00:00" endDate="2025-01-01T00:00:00"/>
        <groupItems count="368">
          <s v="&lt;01-04-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Purchase Date)" numFmtId="0" databaseField="0">
      <fieldGroup base="0">
        <rangePr groupBy="months" startDate="2024-04-01T00:00:00" endDate="2025-01-01T00:00:00"/>
        <groupItems count="14">
          <s v="&lt;01-04-2024"/>
          <s v="Jan"/>
          <s v="Feb"/>
          <s v="Mar"/>
          <s v="Apr"/>
          <s v="May"/>
          <s v="Jun"/>
          <s v="Jul"/>
          <s v="Aug"/>
          <s v="Sep"/>
          <s v="Oct"/>
          <s v="Nov"/>
          <s v="Dec"/>
          <s v="&gt;01-0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
  <r>
    <x v="0"/>
    <x v="0"/>
    <s v="MH12TX5747"/>
    <x v="0"/>
    <x v="0"/>
    <x v="0"/>
    <m/>
    <n v="15000"/>
    <m/>
  </r>
  <r>
    <x v="1"/>
    <x v="0"/>
    <s v="MH14HH2582"/>
    <x v="1"/>
    <x v="0"/>
    <x v="1"/>
    <s v="SACHIN"/>
    <n v="59000"/>
    <s v="MANOJ DEVRAM ZANJARE"/>
  </r>
  <r>
    <x v="2"/>
    <x v="0"/>
    <s v="MH14JV0571"/>
    <x v="1"/>
    <x v="0"/>
    <x v="2"/>
    <m/>
    <n v="230000"/>
    <s v="ANURATH LALGE"/>
  </r>
  <r>
    <x v="3"/>
    <x v="0"/>
    <s v="MH12RU6362"/>
    <x v="1"/>
    <x v="1"/>
    <x v="1"/>
    <m/>
    <n v="15000"/>
    <s v="KALYAN ADSULE "/>
  </r>
  <r>
    <x v="4"/>
    <x v="1"/>
    <s v="MH12PG4377"/>
    <x v="1"/>
    <x v="2"/>
    <x v="3"/>
    <m/>
    <n v="50000"/>
    <m/>
  </r>
  <r>
    <x v="5"/>
    <x v="1"/>
    <s v="MH12VD2809"/>
    <x v="2"/>
    <x v="3"/>
    <x v="1"/>
    <m/>
    <n v="14000"/>
    <m/>
  </r>
  <r>
    <x v="6"/>
    <x v="0"/>
    <s v="MH14EB8337"/>
    <x v="3"/>
    <x v="0"/>
    <x v="1"/>
    <s v="SACHIN"/>
    <n v="25000"/>
    <s v="KANTABAI VILAS GAJARE"/>
  </r>
  <r>
    <x v="7"/>
    <x v="0"/>
    <s v="MH14CT3642"/>
    <x v="3"/>
    <x v="0"/>
    <x v="1"/>
    <m/>
    <n v="43000"/>
    <s v="AKASH VIKAS KIRTANE "/>
  </r>
  <r>
    <x v="8"/>
    <x v="1"/>
    <s v="MH14EB8337"/>
    <x v="3"/>
    <x v="0"/>
    <x v="2"/>
    <m/>
    <n v="105000"/>
    <s v="SAMEER NIMKAR"/>
  </r>
  <r>
    <x v="9"/>
    <x v="1"/>
    <s v="MH14FQ9898"/>
    <x v="3"/>
    <x v="0"/>
    <x v="2"/>
    <m/>
    <n v="28500"/>
    <s v="SOHEF SHARIFF"/>
  </r>
  <r>
    <x v="10"/>
    <x v="1"/>
    <s v="MH14GJ9535"/>
    <x v="4"/>
    <x v="0"/>
    <x v="1"/>
    <s v="HARSHAL"/>
    <n v="102000"/>
    <s v="BIMAL MOHAPATRA"/>
  </r>
  <r>
    <x v="11"/>
    <x v="1"/>
    <s v="MH14JN0585"/>
    <x v="5"/>
    <x v="4"/>
    <x v="2"/>
    <m/>
    <n v="100000"/>
    <s v="KHEGARE SANTOSH PANDURANG"/>
  </r>
  <r>
    <x v="12"/>
    <x v="0"/>
    <s v="MH14KV7736"/>
    <x v="5"/>
    <x v="5"/>
    <x v="1"/>
    <s v="HARSHAL"/>
    <n v="70000"/>
    <s v="RAVIKUMAR RAMESHRAO WAGH  "/>
  </r>
  <r>
    <x v="13"/>
    <x v="0"/>
    <s v="MH12TF9335"/>
    <x v="5"/>
    <x v="6"/>
    <x v="2"/>
    <s v="RAVI NANGARE "/>
    <n v="90000"/>
    <s v="AMMIT BORKAR "/>
  </r>
  <r>
    <x v="14"/>
    <x v="0"/>
    <s v="MH12ND6857"/>
    <x v="5"/>
    <x v="7"/>
    <x v="2"/>
    <m/>
    <n v="32800"/>
    <s v="YAKUN IRANI"/>
  </r>
  <r>
    <x v="15"/>
    <x v="1"/>
    <s v="MH12UT7785"/>
    <x v="5"/>
    <x v="8"/>
    <x v="1"/>
    <m/>
    <n v="25000"/>
    <m/>
  </r>
  <r>
    <x v="16"/>
    <x v="1"/>
    <s v="MH12JB4200"/>
    <x v="5"/>
    <x v="9"/>
    <x v="1"/>
    <m/>
    <n v="17500"/>
    <m/>
  </r>
  <r>
    <x v="16"/>
    <x v="1"/>
    <s v="MH12RV6278"/>
    <x v="5"/>
    <x v="8"/>
    <x v="1"/>
    <m/>
    <n v="33000"/>
    <m/>
  </r>
  <r>
    <x v="17"/>
    <x v="1"/>
    <s v="MH12LB4818"/>
    <x v="5"/>
    <x v="10"/>
    <x v="1"/>
    <m/>
    <n v="70000"/>
    <m/>
  </r>
  <r>
    <x v="18"/>
    <x v="1"/>
    <s v="MH12WW6560"/>
    <x v="5"/>
    <x v="11"/>
    <x v="1"/>
    <m/>
    <n v="17500"/>
    <m/>
  </r>
  <r>
    <x v="19"/>
    <x v="1"/>
    <s v="MH14DD9133"/>
    <x v="5"/>
    <x v="12"/>
    <x v="1"/>
    <m/>
    <n v="50000"/>
    <m/>
  </r>
  <r>
    <x v="20"/>
    <x v="1"/>
    <s v="MH14LF7420"/>
    <x v="5"/>
    <x v="13"/>
    <x v="1"/>
    <m/>
    <n v="18300"/>
    <m/>
  </r>
  <r>
    <x v="21"/>
    <x v="1"/>
    <s v="MH14DD2792"/>
    <x v="5"/>
    <x v="14"/>
    <x v="1"/>
    <m/>
    <n v="29500"/>
    <m/>
  </r>
  <r>
    <x v="22"/>
    <x v="1"/>
    <s v="MH12TB6632"/>
    <x v="5"/>
    <x v="15"/>
    <x v="0"/>
    <m/>
    <n v="72000"/>
    <m/>
  </r>
  <r>
    <x v="23"/>
    <x v="1"/>
    <s v="MH05CN3205"/>
    <x v="5"/>
    <x v="16"/>
    <x v="2"/>
    <m/>
    <n v="11500"/>
    <m/>
  </r>
  <r>
    <x v="24"/>
    <x v="1"/>
    <s v="MH14DP5749"/>
    <x v="5"/>
    <x v="12"/>
    <x v="1"/>
    <m/>
    <n v="45000"/>
    <m/>
  </r>
  <r>
    <x v="25"/>
    <x v="1"/>
    <s v="MH14KL6082"/>
    <x v="5"/>
    <x v="17"/>
    <x v="1"/>
    <m/>
    <n v="275000"/>
    <m/>
  </r>
  <r>
    <x v="26"/>
    <x v="1"/>
    <s v="MH14GL2182"/>
    <x v="5"/>
    <x v="18"/>
    <x v="2"/>
    <m/>
    <n v="28000"/>
    <m/>
  </r>
  <r>
    <x v="27"/>
    <x v="1"/>
    <s v="MH12UH0676"/>
    <x v="5"/>
    <x v="17"/>
    <x v="0"/>
    <m/>
    <n v="72000"/>
    <m/>
  </r>
  <r>
    <x v="28"/>
    <x v="1"/>
    <s v="MH12KW7887"/>
    <x v="5"/>
    <x v="19"/>
    <x v="2"/>
    <m/>
    <n v="74500"/>
    <m/>
  </r>
  <r>
    <x v="29"/>
    <x v="1"/>
    <s v="MH12WG0291"/>
    <x v="5"/>
    <x v="20"/>
    <x v="2"/>
    <m/>
    <n v="61000"/>
    <m/>
  </r>
  <r>
    <x v="30"/>
    <x v="2"/>
    <s v="MH12KL7019"/>
    <x v="5"/>
    <x v="21"/>
    <x v="0"/>
    <m/>
    <n v="38400"/>
    <m/>
  </r>
  <r>
    <x v="31"/>
    <x v="2"/>
    <s v="MH14CH7409"/>
    <x v="5"/>
    <x v="22"/>
    <x v="1"/>
    <m/>
    <n v="47000"/>
    <m/>
  </r>
  <r>
    <x v="32"/>
    <x v="2"/>
    <s v="MH11CL5188"/>
    <x v="5"/>
    <x v="18"/>
    <x v="0"/>
    <m/>
    <n v="39000"/>
    <m/>
  </r>
  <r>
    <x v="33"/>
    <x v="2"/>
    <s v="MH14FA5406"/>
    <x v="5"/>
    <x v="22"/>
    <x v="1"/>
    <m/>
    <n v="13000"/>
    <m/>
  </r>
  <r>
    <x v="33"/>
    <x v="2"/>
    <s v="MH12PE3145"/>
    <x v="5"/>
    <x v="10"/>
    <x v="1"/>
    <m/>
    <n v="22500"/>
    <m/>
  </r>
  <r>
    <x v="34"/>
    <x v="2"/>
    <s v="MH46AN9896"/>
    <x v="5"/>
    <x v="23"/>
    <x v="2"/>
    <m/>
    <n v="22000"/>
    <m/>
  </r>
  <r>
    <x v="35"/>
    <x v="2"/>
    <s v="MH12TW3712"/>
    <x v="5"/>
    <x v="24"/>
    <x v="0"/>
    <m/>
    <n v="38200"/>
    <m/>
  </r>
  <r>
    <x v="36"/>
    <x v="2"/>
    <s v="MH14EG2379"/>
    <x v="5"/>
    <x v="13"/>
    <x v="1"/>
    <m/>
    <n v="68000"/>
    <m/>
  </r>
  <r>
    <x v="37"/>
    <x v="2"/>
    <s v="MH14GZ6938"/>
    <x v="5"/>
    <x v="25"/>
    <x v="0"/>
    <m/>
    <n v="43500"/>
    <m/>
  </r>
  <r>
    <x v="38"/>
    <x v="2"/>
    <s v="MH14HV0139"/>
    <x v="5"/>
    <x v="26"/>
    <x v="1"/>
    <m/>
    <n v="58000"/>
    <m/>
  </r>
  <r>
    <x v="39"/>
    <x v="2"/>
    <s v="MH06BF4878"/>
    <x v="5"/>
    <x v="17"/>
    <x v="1"/>
    <m/>
    <n v="53000"/>
    <m/>
  </r>
  <r>
    <x v="40"/>
    <x v="2"/>
    <s v="MH12QK2427"/>
    <x v="5"/>
    <x v="26"/>
    <x v="2"/>
    <m/>
    <n v="58000"/>
    <m/>
  </r>
  <r>
    <x v="41"/>
    <x v="2"/>
    <s v="MH14ES7409"/>
    <x v="5"/>
    <x v="27"/>
    <x v="1"/>
    <m/>
    <n v="75000"/>
    <m/>
  </r>
  <r>
    <x v="41"/>
    <x v="2"/>
    <s v="MH12NZ9933"/>
    <x v="5"/>
    <x v="13"/>
    <x v="1"/>
    <m/>
    <n v="22000"/>
    <m/>
  </r>
  <r>
    <x v="42"/>
    <x v="2"/>
    <s v="MH14JD7082"/>
    <x v="5"/>
    <x v="25"/>
    <x v="1"/>
    <m/>
    <n v="35000"/>
    <m/>
  </r>
  <r>
    <x v="43"/>
    <x v="2"/>
    <s v="MH12UE3845"/>
    <x v="5"/>
    <x v="28"/>
    <x v="1"/>
    <m/>
    <n v="55000"/>
    <m/>
  </r>
  <r>
    <x v="44"/>
    <x v="2"/>
    <s v="MH14CQ1857"/>
    <x v="5"/>
    <x v="12"/>
    <x v="1"/>
    <m/>
    <n v="42000"/>
    <m/>
  </r>
  <r>
    <x v="44"/>
    <x v="2"/>
    <s v="MH14EQ9064"/>
    <x v="5"/>
    <x v="12"/>
    <x v="1"/>
    <m/>
    <n v="23000"/>
    <m/>
  </r>
  <r>
    <x v="45"/>
    <x v="2"/>
    <s v="MH02CU4342"/>
    <x v="5"/>
    <x v="19"/>
    <x v="1"/>
    <m/>
    <n v="22000"/>
    <m/>
  </r>
  <r>
    <x v="46"/>
    <x v="0"/>
    <s v="MH31DH6745"/>
    <x v="5"/>
    <x v="29"/>
    <x v="1"/>
    <s v="HARSHAL"/>
    <n v="17900"/>
    <s v="TUSHAR NIMJE "/>
  </r>
  <r>
    <x v="47"/>
    <x v="0"/>
    <s v="MH12UB6179"/>
    <x v="5"/>
    <x v="30"/>
    <x v="0"/>
    <m/>
    <n v="57000"/>
    <m/>
  </r>
  <r>
    <x v="48"/>
    <x v="0"/>
    <s v="MH12SM4401"/>
    <x v="5"/>
    <x v="31"/>
    <x v="0"/>
    <m/>
    <n v="158000"/>
    <m/>
  </r>
  <r>
    <x v="13"/>
    <x v="0"/>
    <s v="MH12FM7433"/>
    <x v="5"/>
    <x v="32"/>
    <x v="2"/>
    <s v="SACHIN"/>
    <n v="19000"/>
    <s v="NISHANT SINGH"/>
  </r>
  <r>
    <x v="12"/>
    <x v="0"/>
    <s v="MH31DQ4787"/>
    <x v="5"/>
    <x v="32"/>
    <x v="1"/>
    <s v="HARSHAL"/>
    <n v="22000"/>
    <s v="KARTIK KHEDULKAR "/>
  </r>
  <r>
    <x v="13"/>
    <x v="0"/>
    <s v="MH12LR0449"/>
    <x v="5"/>
    <x v="33"/>
    <x v="1"/>
    <s v="SACHIN"/>
    <n v="59000"/>
    <s v="NAVNATH KERU APHALE"/>
  </r>
  <r>
    <x v="2"/>
    <x v="0"/>
    <s v="MH14DY6308"/>
    <x v="5"/>
    <x v="13"/>
    <x v="0"/>
    <m/>
    <n v="60000"/>
    <m/>
  </r>
  <r>
    <x v="49"/>
    <x v="0"/>
    <s v="MH12KV6958"/>
    <x v="5"/>
    <x v="34"/>
    <x v="3"/>
    <m/>
    <n v="30000"/>
    <m/>
  </r>
  <r>
    <x v="50"/>
    <x v="0"/>
    <s v="MH01BL0880"/>
    <x v="5"/>
    <x v="19"/>
    <x v="3"/>
    <m/>
    <n v="11000"/>
    <m/>
  </r>
  <r>
    <x v="51"/>
    <x v="0"/>
    <s v="MH12LG3782"/>
    <x v="5"/>
    <x v="19"/>
    <x v="0"/>
    <m/>
    <n v="75000"/>
    <m/>
  </r>
  <r>
    <x v="6"/>
    <x v="0"/>
    <s v="MH12PF9604"/>
    <x v="5"/>
    <x v="35"/>
    <x v="1"/>
    <m/>
    <n v="99000"/>
    <s v="MR. SANMAY PV "/>
  </r>
  <r>
    <x v="2"/>
    <x v="0"/>
    <s v="MH14JQ6656"/>
    <x v="5"/>
    <x v="35"/>
    <x v="1"/>
    <m/>
    <n v="68000"/>
    <s v="DINKAR DEVACHAND SURWADE "/>
  </r>
  <r>
    <x v="52"/>
    <x v="1"/>
    <s v="MH14JT3053"/>
    <x v="5"/>
    <x v="36"/>
    <x v="2"/>
    <m/>
    <n v="30000"/>
    <s v="VISLAVATH SATISH KUMAR"/>
  </r>
  <r>
    <x v="53"/>
    <x v="1"/>
    <s v="MH12UZ8989"/>
    <x v="5"/>
    <x v="36"/>
    <x v="1"/>
    <m/>
    <n v="27000"/>
    <s v="GAHININATH SHESHERAO SAKRUKAR"/>
  </r>
  <r>
    <x v="54"/>
    <x v="1"/>
    <s v="MH14HV3043"/>
    <x v="5"/>
    <x v="36"/>
    <x v="1"/>
    <m/>
    <n v="18000"/>
    <s v="PAWAN BALU DAGALE"/>
  </r>
  <r>
    <x v="55"/>
    <x v="0"/>
    <s v="MH12TJ4040"/>
    <x v="6"/>
    <x v="0"/>
    <x v="1"/>
    <s v="HARSHAL"/>
    <n v="22800"/>
    <s v="VIJAY DINESH JOSHI "/>
  </r>
  <r>
    <x v="56"/>
    <x v="0"/>
    <s v="MH12RW5015"/>
    <x v="6"/>
    <x v="37"/>
    <x v="1"/>
    <m/>
    <n v="28000"/>
    <s v="MR- KEDAR PATURKAR "/>
  </r>
  <r>
    <x v="57"/>
    <x v="1"/>
    <s v="mh12wf6265"/>
    <x v="7"/>
    <x v="0"/>
    <x v="2"/>
    <m/>
    <n v="130000"/>
    <s v="shivaji bhosale"/>
  </r>
  <r>
    <x v="53"/>
    <x v="1"/>
    <s v="MH12LF7406"/>
    <x v="7"/>
    <x v="0"/>
    <x v="1"/>
    <m/>
    <n v="145000"/>
    <s v="SHASHIKANT DHONDO KULKARNI "/>
  </r>
  <r>
    <x v="54"/>
    <x v="1"/>
    <s v="MH12GC5929"/>
    <x v="7"/>
    <x v="0"/>
    <x v="1"/>
    <m/>
    <n v="142000"/>
    <s v="RAJENDRA DATTATRAYA KANGO"/>
  </r>
  <r>
    <x v="58"/>
    <x v="1"/>
    <s v="MH14KT7109"/>
    <x v="8"/>
    <x v="0"/>
    <x v="2"/>
    <m/>
    <n v="173000"/>
    <s v="PRABHU SAI KRISHNA B"/>
  </r>
  <r>
    <x v="59"/>
    <x v="1"/>
    <s v="MH12LU7337"/>
    <x v="9"/>
    <x v="0"/>
    <x v="4"/>
    <m/>
    <n v="28500"/>
    <m/>
  </r>
  <r>
    <x v="60"/>
    <x v="0"/>
    <s v="MH12GX0069"/>
    <x v="10"/>
    <x v="0"/>
    <x v="2"/>
    <m/>
    <n v="48000"/>
    <s v="RAHUL SURYAKANT WAGHMODE"/>
  </r>
  <r>
    <x v="49"/>
    <x v="0"/>
    <s v="MH12ES6304"/>
    <x v="11"/>
    <x v="0"/>
    <x v="3"/>
    <m/>
    <n v="148000"/>
    <m/>
  </r>
  <r>
    <x v="61"/>
    <x v="0"/>
    <s v="MH14KL6089"/>
    <x v="12"/>
    <x v="0"/>
    <x v="2"/>
    <m/>
    <n v="105000"/>
    <s v="ABHISHEK NAIR"/>
  </r>
  <r>
    <x v="62"/>
    <x v="0"/>
    <s v="MH12UL1178"/>
    <x v="13"/>
    <x v="0"/>
    <x v="1"/>
    <s v="HARSHAL"/>
    <n v="185000"/>
    <s v="VAISHALI ARUN PAWAR"/>
  </r>
  <r>
    <x v="63"/>
    <x v="0"/>
    <s v="MH14CQ1330"/>
    <x v="14"/>
    <x v="0"/>
    <x v="1"/>
    <s v="SACHIN"/>
    <n v="44500"/>
    <s v="HARISH VISHWANATH CHOUDHARY"/>
  </r>
  <r>
    <x v="6"/>
    <x v="0"/>
    <s v="MH31DX0423"/>
    <x v="14"/>
    <x v="0"/>
    <x v="1"/>
    <s v="SACHIN"/>
    <n v="31500"/>
    <s v="MAYURI PRADIP CHARADE"/>
  </r>
  <r>
    <x v="58"/>
    <x v="1"/>
    <s v="MH12NM1312"/>
    <x v="14"/>
    <x v="0"/>
    <x v="1"/>
    <s v="HARSHAL"/>
    <n v="165000"/>
    <s v="SHUBHAM VINAYAK KELKAR"/>
  </r>
  <r>
    <x v="64"/>
    <x v="0"/>
    <s v="MH12NY9233"/>
    <x v="15"/>
    <x v="0"/>
    <x v="1"/>
    <m/>
    <n v="175000"/>
    <s v="SALMA BILAL SAUDAGAR"/>
  </r>
  <r>
    <x v="59"/>
    <x v="1"/>
    <s v="MH14EN9575"/>
    <x v="16"/>
    <x v="0"/>
    <x v="1"/>
    <s v="SACHIN"/>
    <n v="20000"/>
    <s v="SHIVAJI SAMBHAJI TIKALE"/>
  </r>
  <r>
    <x v="2"/>
    <x v="0"/>
    <s v="MH12NV2174"/>
    <x v="17"/>
    <x v="0"/>
    <x v="1"/>
    <s v="HARSHAL"/>
    <n v="22000"/>
    <s v="MR GAURAV "/>
  </r>
  <r>
    <x v="11"/>
    <x v="1"/>
    <s v="MH14JW2856"/>
    <x v="18"/>
    <x v="0"/>
    <x v="4"/>
    <m/>
    <n v="15000"/>
    <m/>
  </r>
  <r>
    <x v="63"/>
    <x v="0"/>
    <s v="MH26AN 4028"/>
    <x v="19"/>
    <x v="0"/>
    <x v="2"/>
    <s v="RAMEEZ"/>
    <n v="43200"/>
    <s v="RAGHUNATH GAJJEWAR"/>
  </r>
  <r>
    <x v="62"/>
    <x v="0"/>
    <s v="MH12LN0139"/>
    <x v="20"/>
    <x v="0"/>
    <x v="1"/>
    <m/>
    <n v="15000"/>
    <s v="DHUMAL SINDHU SANJOG"/>
  </r>
  <r>
    <x v="65"/>
    <x v="0"/>
    <s v="MH14GF9705"/>
    <x v="21"/>
    <x v="0"/>
    <x v="0"/>
    <s v="SACHIN"/>
    <n v="149500"/>
    <s v="ASHABAI BHAGWAN KALUNKE"/>
  </r>
  <r>
    <x v="66"/>
    <x v="1"/>
    <s v="MH14HH8171"/>
    <x v="21"/>
    <x v="0"/>
    <x v="2"/>
    <m/>
    <n v="25000"/>
    <s v="VIPAL DILIP SWAMI"/>
  </r>
  <r>
    <x v="67"/>
    <x v="0"/>
    <s v="MH14JG0776"/>
    <x v="22"/>
    <x v="0"/>
    <x v="1"/>
    <s v="SACHIN"/>
    <n v="107000"/>
    <s v="AMOL ASHOK DESHMUKH"/>
  </r>
  <r>
    <x v="68"/>
    <x v="0"/>
    <s v="MH11DF4448"/>
    <x v="22"/>
    <x v="0"/>
    <x v="2"/>
    <m/>
    <n v="37600"/>
    <s v="HARSHAL KHAMKAR"/>
  </r>
  <r>
    <x v="59"/>
    <x v="1"/>
    <s v="MH14GK5166"/>
    <x v="23"/>
    <x v="0"/>
    <x v="2"/>
    <m/>
    <n v="25000"/>
    <s v="SHUBHAM BANSAL"/>
  </r>
  <r>
    <x v="50"/>
    <x v="0"/>
    <s v="MH12PR1537"/>
    <x v="24"/>
    <x v="0"/>
    <x v="1"/>
    <m/>
    <n v="22000"/>
    <s v="NAZIYA JAMEER SHAIKH "/>
  </r>
  <r>
    <x v="69"/>
    <x v="0"/>
    <s v="MH12SP7786"/>
    <x v="25"/>
    <x v="0"/>
    <x v="1"/>
    <m/>
    <n v="36500"/>
    <s v="SUFIYAN ANSARI "/>
  </r>
  <r>
    <x v="70"/>
    <x v="0"/>
    <s v="MH12QC7829"/>
    <x v="26"/>
    <x v="0"/>
    <x v="4"/>
    <m/>
    <n v="20000"/>
    <m/>
  </r>
  <r>
    <x v="71"/>
    <x v="1"/>
    <s v="MH14FH0328"/>
    <x v="27"/>
    <x v="0"/>
    <x v="1"/>
    <s v="SACHIN"/>
    <n v="32000"/>
    <s v="AKASH MANDAGE"/>
  </r>
  <r>
    <x v="10"/>
    <x v="1"/>
    <s v="MH14GT7104"/>
    <x v="28"/>
    <x v="0"/>
    <x v="1"/>
    <s v="SACHIN"/>
    <n v="14000"/>
    <s v="SHIVRAJ CHANGUDE"/>
  </r>
  <r>
    <x v="5"/>
    <x v="1"/>
    <s v="MH05DC8829"/>
    <x v="29"/>
    <x v="38"/>
    <x v="1"/>
    <m/>
    <n v="50000"/>
    <m/>
  </r>
  <r>
    <x v="17"/>
    <x v="1"/>
    <s v="MH14HE3370"/>
    <x v="29"/>
    <x v="39"/>
    <x v="1"/>
    <m/>
    <n v="28000"/>
    <m/>
  </r>
  <r>
    <x v="72"/>
    <x v="1"/>
    <s v="MH14JN7241"/>
    <x v="29"/>
    <x v="40"/>
    <x v="1"/>
    <m/>
    <n v="19000"/>
    <m/>
  </r>
  <r>
    <x v="18"/>
    <x v="1"/>
    <s v="MH12SV2592"/>
    <x v="29"/>
    <x v="41"/>
    <x v="2"/>
    <m/>
    <n v="58000"/>
    <m/>
  </r>
  <r>
    <x v="73"/>
    <x v="1"/>
    <s v="MH14HR7054"/>
    <x v="29"/>
    <x v="42"/>
    <x v="2"/>
    <m/>
    <n v="75000"/>
    <m/>
  </r>
  <r>
    <x v="19"/>
    <x v="1"/>
    <s v="MH14EV2798"/>
    <x v="29"/>
    <x v="43"/>
    <x v="1"/>
    <m/>
    <n v="14000"/>
    <m/>
  </r>
  <r>
    <x v="19"/>
    <x v="1"/>
    <s v="MH14GX6878"/>
    <x v="29"/>
    <x v="44"/>
    <x v="2"/>
    <m/>
    <n v="116500"/>
    <m/>
  </r>
  <r>
    <x v="74"/>
    <x v="1"/>
    <s v="MH34BT9781"/>
    <x v="29"/>
    <x v="41"/>
    <x v="2"/>
    <m/>
    <n v="25000"/>
    <m/>
  </r>
  <r>
    <x v="74"/>
    <x v="1"/>
    <s v="MH14FQ0082"/>
    <x v="29"/>
    <x v="39"/>
    <x v="1"/>
    <m/>
    <n v="33000"/>
    <m/>
  </r>
  <r>
    <x v="74"/>
    <x v="1"/>
    <s v="MH14DK2243"/>
    <x v="29"/>
    <x v="45"/>
    <x v="1"/>
    <m/>
    <n v="150000"/>
    <m/>
  </r>
  <r>
    <x v="75"/>
    <x v="1"/>
    <s v="MH05CL9630"/>
    <x v="29"/>
    <x v="38"/>
    <x v="0"/>
    <m/>
    <n v="152000"/>
    <m/>
  </r>
  <r>
    <x v="76"/>
    <x v="1"/>
    <s v="MH14JF6051"/>
    <x v="29"/>
    <x v="46"/>
    <x v="2"/>
    <m/>
    <n v="28000"/>
    <m/>
  </r>
  <r>
    <x v="77"/>
    <x v="1"/>
    <s v="MH32T1734"/>
    <x v="29"/>
    <x v="47"/>
    <x v="2"/>
    <m/>
    <n v="34000"/>
    <m/>
  </r>
  <r>
    <x v="77"/>
    <x v="1"/>
    <s v="MH12TJ6775"/>
    <x v="29"/>
    <x v="48"/>
    <x v="1"/>
    <m/>
    <n v="59000"/>
    <m/>
  </r>
  <r>
    <x v="21"/>
    <x v="1"/>
    <s v="MH12UL0877"/>
    <x v="29"/>
    <x v="49"/>
    <x v="1"/>
    <m/>
    <n v="24215"/>
    <m/>
  </r>
  <r>
    <x v="78"/>
    <x v="1"/>
    <s v="MH27CP8170"/>
    <x v="29"/>
    <x v="44"/>
    <x v="1"/>
    <m/>
    <n v="110000"/>
    <m/>
  </r>
  <r>
    <x v="24"/>
    <x v="1"/>
    <s v="MH14FA4222"/>
    <x v="29"/>
    <x v="50"/>
    <x v="1"/>
    <m/>
    <n v="60000"/>
    <m/>
  </r>
  <r>
    <x v="24"/>
    <x v="1"/>
    <s v="MH14EG1648"/>
    <x v="29"/>
    <x v="51"/>
    <x v="1"/>
    <m/>
    <n v="105000"/>
    <m/>
  </r>
  <r>
    <x v="79"/>
    <x v="1"/>
    <s v="MH14CE1324"/>
    <x v="29"/>
    <x v="43"/>
    <x v="1"/>
    <m/>
    <n v="17500"/>
    <m/>
  </r>
  <r>
    <x v="79"/>
    <x v="1"/>
    <s v="MH12HG7041"/>
    <x v="29"/>
    <x v="38"/>
    <x v="1"/>
    <m/>
    <n v="140000"/>
    <m/>
  </r>
  <r>
    <x v="80"/>
    <x v="1"/>
    <s v="MH14JS7686"/>
    <x v="29"/>
    <x v="49"/>
    <x v="1"/>
    <m/>
    <n v="15000"/>
    <m/>
  </r>
  <r>
    <x v="81"/>
    <x v="1"/>
    <s v="MH12GY4153"/>
    <x v="29"/>
    <x v="38"/>
    <x v="1"/>
    <m/>
    <n v="28000"/>
    <m/>
  </r>
  <r>
    <x v="82"/>
    <x v="1"/>
    <s v="MH50T6476"/>
    <x v="29"/>
    <x v="40"/>
    <x v="1"/>
    <m/>
    <n v="24215"/>
    <m/>
  </r>
  <r>
    <x v="83"/>
    <x v="2"/>
    <s v="MH14HZ9911"/>
    <x v="29"/>
    <x v="52"/>
    <x v="1"/>
    <m/>
    <n v="43500"/>
    <m/>
  </r>
  <r>
    <x v="84"/>
    <x v="2"/>
    <s v="MH14EG1648"/>
    <x v="29"/>
    <x v="53"/>
    <x v="0"/>
    <m/>
    <n v="26500"/>
    <m/>
  </r>
  <r>
    <x v="85"/>
    <x v="2"/>
    <s v="MH12UG3563"/>
    <x v="29"/>
    <x v="54"/>
    <x v="1"/>
    <m/>
    <n v="20600"/>
    <m/>
  </r>
  <r>
    <x v="86"/>
    <x v="2"/>
    <s v="MH14JY6299"/>
    <x v="29"/>
    <x v="55"/>
    <x v="1"/>
    <m/>
    <n v="150200"/>
    <m/>
  </r>
  <r>
    <x v="86"/>
    <x v="2"/>
    <s v="MH14JS2644"/>
    <x v="29"/>
    <x v="56"/>
    <x v="1"/>
    <m/>
    <n v="132000"/>
    <m/>
  </r>
  <r>
    <x v="87"/>
    <x v="2"/>
    <s v="MH12RC0290"/>
    <x v="29"/>
    <x v="40"/>
    <x v="0"/>
    <m/>
    <n v="38300"/>
    <m/>
  </r>
  <r>
    <x v="88"/>
    <x v="2"/>
    <s v="MH14EF6132"/>
    <x v="29"/>
    <x v="43"/>
    <x v="1"/>
    <m/>
    <n v="37300"/>
    <m/>
  </r>
  <r>
    <x v="88"/>
    <x v="2"/>
    <s v="MH14FY3359"/>
    <x v="29"/>
    <x v="57"/>
    <x v="1"/>
    <m/>
    <n v="20600"/>
    <m/>
  </r>
  <r>
    <x v="89"/>
    <x v="2"/>
    <s v="MH12CW0297"/>
    <x v="29"/>
    <x v="58"/>
    <x v="0"/>
    <m/>
    <n v="51000"/>
    <m/>
  </r>
  <r>
    <x v="90"/>
    <x v="2"/>
    <s v="MH12UR0717"/>
    <x v="29"/>
    <x v="59"/>
    <x v="1"/>
    <m/>
    <n v="24000"/>
    <m/>
  </r>
  <r>
    <x v="91"/>
    <x v="2"/>
    <s v="MH12HQ3820"/>
    <x v="29"/>
    <x v="38"/>
    <x v="1"/>
    <m/>
    <n v="62000"/>
    <m/>
  </r>
  <r>
    <x v="92"/>
    <x v="2"/>
    <s v="MH14JY0236"/>
    <x v="29"/>
    <x v="44"/>
    <x v="1"/>
    <m/>
    <n v="31000"/>
    <m/>
  </r>
  <r>
    <x v="36"/>
    <x v="2"/>
    <s v="MH14LK3044"/>
    <x v="29"/>
    <x v="60"/>
    <x v="1"/>
    <m/>
    <n v="35000"/>
    <m/>
  </r>
  <r>
    <x v="93"/>
    <x v="2"/>
    <s v="MH14LK8079"/>
    <x v="29"/>
    <x v="55"/>
    <x v="1"/>
    <m/>
    <n v="68000"/>
    <m/>
  </r>
  <r>
    <x v="94"/>
    <x v="2"/>
    <s v="MH12TT9356"/>
    <x v="29"/>
    <x v="49"/>
    <x v="1"/>
    <m/>
    <n v="37000"/>
    <m/>
  </r>
  <r>
    <x v="37"/>
    <x v="2"/>
    <s v="MH14KE0995"/>
    <x v="29"/>
    <x v="49"/>
    <x v="2"/>
    <m/>
    <n v="26000"/>
    <m/>
  </r>
  <r>
    <x v="37"/>
    <x v="2"/>
    <s v="MH12GE0358"/>
    <x v="29"/>
    <x v="44"/>
    <x v="1"/>
    <m/>
    <n v="55000"/>
    <m/>
  </r>
  <r>
    <x v="95"/>
    <x v="2"/>
    <s v="MH14EA8852"/>
    <x v="29"/>
    <x v="61"/>
    <x v="2"/>
    <m/>
    <n v="14000"/>
    <m/>
  </r>
  <r>
    <x v="41"/>
    <x v="2"/>
    <s v="MH14GR3605"/>
    <x v="29"/>
    <x v="62"/>
    <x v="1"/>
    <m/>
    <n v="56600"/>
    <m/>
  </r>
  <r>
    <x v="41"/>
    <x v="2"/>
    <s v="MH18AQ7064"/>
    <x v="29"/>
    <x v="63"/>
    <x v="1"/>
    <m/>
    <n v="81000"/>
    <m/>
  </r>
  <r>
    <x v="41"/>
    <x v="2"/>
    <s v="MH14HF2576"/>
    <x v="29"/>
    <x v="39"/>
    <x v="1"/>
    <m/>
    <n v="30000"/>
    <m/>
  </r>
  <r>
    <x v="96"/>
    <x v="2"/>
    <s v="MH14KL1285"/>
    <x v="29"/>
    <x v="64"/>
    <x v="2"/>
    <m/>
    <n v="50000"/>
    <m/>
  </r>
  <r>
    <x v="97"/>
    <x v="2"/>
    <s v="MH12VY6100"/>
    <x v="29"/>
    <x v="65"/>
    <x v="1"/>
    <m/>
    <n v="120000"/>
    <m/>
  </r>
  <r>
    <x v="44"/>
    <x v="2"/>
    <s v="MH14HB6274"/>
    <x v="29"/>
    <x v="38"/>
    <x v="1"/>
    <m/>
    <n v="30000"/>
    <m/>
  </r>
  <r>
    <x v="98"/>
    <x v="2"/>
    <s v="MH14JS7229"/>
    <x v="29"/>
    <x v="59"/>
    <x v="1"/>
    <m/>
    <n v="29200"/>
    <m/>
  </r>
  <r>
    <x v="99"/>
    <x v="0"/>
    <s v="MH14KE1650"/>
    <x v="29"/>
    <x v="66"/>
    <x v="1"/>
    <s v="SACHIN"/>
    <n v="51000"/>
    <s v="SANDEEP NARAYAN KAMBLE"/>
  </r>
  <r>
    <x v="100"/>
    <x v="0"/>
    <s v="MH12VX8797"/>
    <x v="29"/>
    <x v="66"/>
    <x v="1"/>
    <m/>
    <n v="17000"/>
    <s v="JANHAVI KISHOR KSHIRSAGAR"/>
  </r>
  <r>
    <x v="67"/>
    <x v="0"/>
    <s v="MH14KG3797"/>
    <x v="29"/>
    <x v="66"/>
    <x v="1"/>
    <s v="SACHIN"/>
    <n v="59000"/>
    <s v="YOGESH BALJITSINGH YADAV"/>
  </r>
  <r>
    <x v="101"/>
    <x v="1"/>
    <s v="MH12TW6532"/>
    <x v="29"/>
    <x v="67"/>
    <x v="1"/>
    <s v="HARSHAL"/>
    <n v="75000"/>
    <s v="SUNIL BHAGWAN KONALE"/>
  </r>
  <r>
    <x v="102"/>
    <x v="0"/>
    <s v="MH14KX3078"/>
    <x v="30"/>
    <x v="0"/>
    <x v="2"/>
    <m/>
    <n v="19000"/>
    <s v="CHANDRAKANT JADHAV"/>
  </r>
  <r>
    <x v="103"/>
    <x v="1"/>
    <s v="MH03ED8254"/>
    <x v="31"/>
    <x v="0"/>
    <x v="0"/>
    <m/>
    <n v="40000"/>
    <m/>
  </r>
  <r>
    <x v="104"/>
    <x v="1"/>
    <s v="MH12SW8187"/>
    <x v="31"/>
    <x v="0"/>
    <x v="1"/>
    <m/>
    <n v="20500"/>
    <s v="ANIL SHINDE"/>
  </r>
  <r>
    <x v="61"/>
    <x v="0"/>
    <s v="MH12VP3616"/>
    <x v="32"/>
    <x v="0"/>
    <x v="0"/>
    <m/>
    <n v="66000"/>
    <m/>
  </r>
  <r>
    <x v="1"/>
    <x v="0"/>
    <s v="MH14DL9446"/>
    <x v="33"/>
    <x v="68"/>
    <x v="0"/>
    <s v="SACHIN"/>
    <n v="27000"/>
    <s v="HERAMB THERMOPLASTICS PVT LTD"/>
  </r>
  <r>
    <x v="105"/>
    <x v="0"/>
    <s v="MH14ET2734"/>
    <x v="33"/>
    <x v="68"/>
    <x v="2"/>
    <s v="SACHIN"/>
    <n v="43200"/>
    <s v="SAINATH GABAJI BANKAR"/>
  </r>
  <r>
    <x v="105"/>
    <x v="0"/>
    <s v="MH14DV3427"/>
    <x v="33"/>
    <x v="68"/>
    <x v="1"/>
    <s v="SACHIN"/>
    <n v="30500"/>
    <s v="SUNIL DOULATRAO KAKADE"/>
  </r>
  <r>
    <x v="65"/>
    <x v="0"/>
    <s v="MH14EV9763"/>
    <x v="33"/>
    <x v="68"/>
    <x v="0"/>
    <s v="SACHIN"/>
    <n v="30200"/>
    <s v="NANASAHEB LAXMAN PATIL"/>
  </r>
  <r>
    <x v="65"/>
    <x v="0"/>
    <s v="MH14BY5972"/>
    <x v="33"/>
    <x v="68"/>
    <x v="0"/>
    <s v="SACHIN"/>
    <n v="21500"/>
    <s v="ANILKUMAR PADMANABHAN ACHARI"/>
  </r>
  <r>
    <x v="13"/>
    <x v="0"/>
    <s v="MH12BY5878"/>
    <x v="33"/>
    <x v="68"/>
    <x v="2"/>
    <s v="DP"/>
    <n v="18500"/>
    <s v="SOHANA ROBIN ANDREWS "/>
  </r>
  <r>
    <x v="55"/>
    <x v="0"/>
    <s v="MH17AQ0855"/>
    <x v="33"/>
    <x v="68"/>
    <x v="1"/>
    <m/>
    <n v="185000"/>
    <s v="POOJA SUDESH KULKARNI "/>
  </r>
  <r>
    <x v="62"/>
    <x v="0"/>
    <s v="MH14CY6284"/>
    <x v="33"/>
    <x v="68"/>
    <x v="1"/>
    <s v="SACHIN"/>
    <n v="26500"/>
    <s v="RAJASHRI SATYAWAN DHURI"/>
  </r>
  <r>
    <x v="50"/>
    <x v="0"/>
    <s v="MH14AR8020"/>
    <x v="33"/>
    <x v="68"/>
    <x v="1"/>
    <s v="SACHIN"/>
    <n v="135000"/>
    <s v="NIRANJAN DEEPAK RANADE"/>
  </r>
  <r>
    <x v="2"/>
    <x v="0"/>
    <s v="MH14ES6568"/>
    <x v="33"/>
    <x v="68"/>
    <x v="2"/>
    <m/>
    <n v="44500"/>
    <s v="ATUL MALVIYA"/>
  </r>
  <r>
    <x v="106"/>
    <x v="0"/>
    <s v="MH14DG7616"/>
    <x v="33"/>
    <x v="68"/>
    <x v="1"/>
    <s v="SACHIN"/>
    <n v="23000"/>
    <s v="PRATAP RANGLAL MOTIRAYE"/>
  </r>
  <r>
    <x v="107"/>
    <x v="0"/>
    <s v="MH14DD3607"/>
    <x v="33"/>
    <x v="68"/>
    <x v="1"/>
    <s v="SACHIN"/>
    <n v="26000"/>
    <s v="SADANAND ANGARA PUJARI"/>
  </r>
  <r>
    <x v="47"/>
    <x v="0"/>
    <s v="MH12LM6537"/>
    <x v="33"/>
    <x v="68"/>
    <x v="1"/>
    <s v="HARSHAL"/>
    <n v="35000"/>
    <s v="SUNITA GUPTA"/>
  </r>
  <r>
    <x v="108"/>
    <x v="0"/>
    <s v="MH14ES0399"/>
    <x v="33"/>
    <x v="68"/>
    <x v="1"/>
    <s v="SACHIN"/>
    <n v="45000"/>
    <s v="SATISHLAL POPATLAL KATARIYA"/>
  </r>
  <r>
    <x v="70"/>
    <x v="0"/>
    <s v="MH13BC6086"/>
    <x v="33"/>
    <x v="68"/>
    <x v="1"/>
    <s v="HARSHAL"/>
    <n v="35000"/>
    <s v="KALE SAURABH GAJANAN "/>
  </r>
  <r>
    <x v="68"/>
    <x v="0"/>
    <s v="MH14BQ6008"/>
    <x v="33"/>
    <x v="68"/>
    <x v="2"/>
    <m/>
    <n v="115000"/>
    <s v="SONUNE BHIKA"/>
  </r>
  <r>
    <x v="109"/>
    <x v="0"/>
    <s v="MH14CQ4712"/>
    <x v="33"/>
    <x v="68"/>
    <x v="1"/>
    <s v="SACHIN"/>
    <n v="23500"/>
    <s v="ANIL RAMDAS SALUNKHE"/>
  </r>
  <r>
    <x v="8"/>
    <x v="1"/>
    <s v="MH14JF7514"/>
    <x v="33"/>
    <x v="68"/>
    <x v="1"/>
    <s v="SACHIN"/>
    <n v="14000"/>
    <s v="PARVEEN SHAIKH"/>
  </r>
  <r>
    <x v="59"/>
    <x v="1"/>
    <s v="MH14BZ9443"/>
    <x v="33"/>
    <x v="68"/>
    <x v="1"/>
    <s v="SACHIN"/>
    <n v="65000"/>
    <s v="ROSHNI MIRAJKAR"/>
  </r>
  <r>
    <x v="52"/>
    <x v="1"/>
    <s v="MH12MT7658"/>
    <x v="33"/>
    <x v="68"/>
    <x v="2"/>
    <m/>
    <n v="113000"/>
    <s v="NITYANAND SHANKAR"/>
  </r>
  <r>
    <x v="110"/>
    <x v="1"/>
    <s v="MH14JB4920"/>
    <x v="33"/>
    <x v="68"/>
    <x v="1"/>
    <s v="SACHIN"/>
    <n v="53500"/>
    <s v="RAJENDRA GALDHAR"/>
  </r>
  <r>
    <x v="53"/>
    <x v="1"/>
    <s v="MH12MU1659"/>
    <x v="33"/>
    <x v="68"/>
    <x v="1"/>
    <m/>
    <n v="36000"/>
    <s v="BHUSHAN ASHOK PAWAR"/>
  </r>
  <r>
    <x v="4"/>
    <x v="1"/>
    <s v="MH14DU7419"/>
    <x v="33"/>
    <x v="68"/>
    <x v="1"/>
    <s v="HARSHAL"/>
    <n v="13500"/>
    <m/>
  </r>
  <r>
    <x v="4"/>
    <x v="1"/>
    <s v="MH12KK3348"/>
    <x v="33"/>
    <x v="68"/>
    <x v="1"/>
    <s v="HARSHAL"/>
    <n v="14000"/>
    <m/>
  </r>
  <r>
    <x v="111"/>
    <x v="1"/>
    <s v="MH14CY1202"/>
    <x v="33"/>
    <x v="68"/>
    <x v="1"/>
    <s v="HARSHAL"/>
    <n v="43000"/>
    <m/>
  </r>
  <r>
    <x v="112"/>
    <x v="1"/>
    <s v="MH12MJ7240"/>
    <x v="33"/>
    <x v="68"/>
    <x v="1"/>
    <m/>
    <n v="72000"/>
    <s v="ABHISHEK SUDHIR KADAM"/>
  </r>
  <r>
    <x v="113"/>
    <x v="0"/>
    <s v="MH12HH0889"/>
    <x v="33"/>
    <x v="69"/>
    <x v="0"/>
    <m/>
    <n v="46000"/>
    <s v="ANUSAYA MAYAPPA DEVMANE "/>
  </r>
  <r>
    <x v="47"/>
    <x v="0"/>
    <s v="MH12KV0651"/>
    <x v="33"/>
    <x v="70"/>
    <x v="1"/>
    <s v="HARSHAL"/>
    <n v="72000"/>
    <s v="CHHAYA ASHOK SHINDE"/>
  </r>
  <r>
    <x v="114"/>
    <x v="0"/>
    <s v="MH12LH4938"/>
    <x v="33"/>
    <x v="71"/>
    <x v="0"/>
    <m/>
    <n v="27000"/>
    <s v="SWANANDI JOSHI"/>
  </r>
  <r>
    <x v="48"/>
    <x v="0"/>
    <s v="MH12KK6144"/>
    <x v="33"/>
    <x v="71"/>
    <x v="1"/>
    <s v="HARSHAL"/>
    <n v="9500"/>
    <s v="MAYA MAHADEV KANADE"/>
  </r>
  <r>
    <x v="115"/>
    <x v="0"/>
    <s v="MH12JH9402"/>
    <x v="33"/>
    <x v="71"/>
    <x v="1"/>
    <s v="HARSHAL"/>
    <n v="53000"/>
    <s v="PAWAR ROHIT DANIEL "/>
  </r>
  <r>
    <x v="116"/>
    <x v="0"/>
    <s v="MH14DV3427"/>
    <x v="33"/>
    <x v="71"/>
    <x v="1"/>
    <m/>
    <n v="95000"/>
    <s v="SURESH BABAN SWAMI"/>
  </r>
  <r>
    <x v="102"/>
    <x v="0"/>
    <s v="MH14LH0428"/>
    <x v="33"/>
    <x v="71"/>
    <x v="0"/>
    <m/>
    <n v="27000"/>
    <m/>
  </r>
  <r>
    <x v="117"/>
    <x v="0"/>
    <s v="MH37P3882"/>
    <x v="33"/>
    <x v="71"/>
    <x v="0"/>
    <m/>
    <n v="40600"/>
    <m/>
  </r>
  <r>
    <x v="118"/>
    <x v="0"/>
    <s v="MH12JV1636"/>
    <x v="33"/>
    <x v="71"/>
    <x v="0"/>
    <m/>
    <n v="23500"/>
    <m/>
  </r>
  <r>
    <x v="119"/>
    <x v="0"/>
    <s v="MH12RU1885"/>
    <x v="33"/>
    <x v="72"/>
    <x v="2"/>
    <m/>
    <n v="38000"/>
    <s v="BALASAHEB NAMDEV SHENDGE "/>
  </r>
  <r>
    <x v="120"/>
    <x v="0"/>
    <s v="MH12NG0699"/>
    <x v="33"/>
    <x v="72"/>
    <x v="1"/>
    <s v="HARSHAL"/>
    <n v="77000"/>
    <s v="RAKESH BHAUSHAEB KUNJII"/>
  </r>
  <r>
    <x v="118"/>
    <x v="0"/>
    <s v="MH12RB7700"/>
    <x v="33"/>
    <x v="72"/>
    <x v="1"/>
    <s v="HARSHAL"/>
    <n v="53000"/>
    <s v="MOHAMAD YUSUF SHAKIL BIJAPURE"/>
  </r>
  <r>
    <x v="121"/>
    <x v="0"/>
    <s v="MH12NG3425"/>
    <x v="33"/>
    <x v="72"/>
    <x v="1"/>
    <s v="HARSHAL"/>
    <n v="150000"/>
    <s v="EDWIN ANDREW BHOSALE "/>
  </r>
  <r>
    <x v="103"/>
    <x v="1"/>
    <s v="MH12PL0703"/>
    <x v="33"/>
    <x v="72"/>
    <x v="1"/>
    <s v="HARSHAL"/>
    <n v="40000"/>
    <s v="RAVINDRA NAMDEV WAGHMARE"/>
  </r>
  <r>
    <x v="104"/>
    <x v="1"/>
    <s v="MH12QL2281"/>
    <x v="33"/>
    <x v="72"/>
    <x v="1"/>
    <m/>
    <n v="173000"/>
    <s v="ANIL SHINDE"/>
  </r>
  <r>
    <x v="53"/>
    <x v="1"/>
    <s v="MH14HA2539"/>
    <x v="33"/>
    <x v="72"/>
    <x v="1"/>
    <s v="SACHIN"/>
    <n v="35000"/>
    <s v="LALITA SANJAY LASHKAR"/>
  </r>
  <r>
    <x v="9"/>
    <x v="1"/>
    <s v="MH14GG5427"/>
    <x v="33"/>
    <x v="72"/>
    <x v="1"/>
    <s v="SACHIN"/>
    <n v="85000"/>
    <s v="BIRBALRAM DEVARAM KUMAVAT"/>
  </r>
  <r>
    <x v="10"/>
    <x v="1"/>
    <s v="MH12ME1602"/>
    <x v="33"/>
    <x v="73"/>
    <x v="0"/>
    <m/>
    <n v="165000"/>
    <m/>
  </r>
  <r>
    <x v="71"/>
    <x v="1"/>
    <s v="MH12FR1627"/>
    <x v="33"/>
    <x v="73"/>
    <x v="1"/>
    <m/>
    <n v="25000"/>
    <s v="JOSHI ARVIND "/>
  </r>
  <r>
    <x v="122"/>
    <x v="0"/>
    <s v="MH12MD0026"/>
    <x v="33"/>
    <x v="74"/>
    <x v="2"/>
    <m/>
    <n v="22000"/>
    <s v="MAYUR SUNIL GHOLAP"/>
  </r>
  <r>
    <x v="64"/>
    <x v="0"/>
    <s v="MH12MN7610"/>
    <x v="33"/>
    <x v="74"/>
    <x v="1"/>
    <s v="HARSHAL"/>
    <n v="13000"/>
    <s v="AISHWARYA ANANT JOSHI"/>
  </r>
  <r>
    <x v="50"/>
    <x v="0"/>
    <s v="MH14FW5202"/>
    <x v="33"/>
    <x v="74"/>
    <x v="1"/>
    <s v="SACHIN"/>
    <n v="25000"/>
    <s v="PRATIBHA SRIRANG LAMA"/>
  </r>
  <r>
    <x v="106"/>
    <x v="0"/>
    <s v="MH12PB1833"/>
    <x v="33"/>
    <x v="74"/>
    <x v="1"/>
    <m/>
    <n v="11500"/>
    <s v="KRISHNA MALPOTE"/>
  </r>
  <r>
    <x v="123"/>
    <x v="0"/>
    <s v="MH12MZ2846"/>
    <x v="33"/>
    <x v="74"/>
    <x v="1"/>
    <s v="HARSHAL"/>
    <n v="75000"/>
    <s v="LANKA DATTATRAY DAREKAR"/>
  </r>
  <r>
    <x v="7"/>
    <x v="0"/>
    <s v="MH12NQ6984"/>
    <x v="33"/>
    <x v="74"/>
    <x v="1"/>
    <m/>
    <n v="58000"/>
    <s v="HERSHINI HEMANTKUMAR GADARIA"/>
  </r>
  <r>
    <x v="107"/>
    <x v="0"/>
    <s v="MH49Z8839"/>
    <x v="33"/>
    <x v="74"/>
    <x v="1"/>
    <s v="SACHIN"/>
    <n v="47500"/>
    <s v="HARSHAL VIJAY UMALE"/>
  </r>
  <r>
    <x v="120"/>
    <x v="0"/>
    <s v="MH12NT4011"/>
    <x v="33"/>
    <x v="74"/>
    <x v="1"/>
    <s v="HARSHAL"/>
    <n v="21500"/>
    <s v="TANSOOR AALAM ANSARI"/>
  </r>
  <r>
    <x v="118"/>
    <x v="0"/>
    <s v="MH31EV4665"/>
    <x v="33"/>
    <x v="74"/>
    <x v="1"/>
    <s v="HARSHAL"/>
    <n v="81000"/>
    <s v="ANUSHREE V KHARE "/>
  </r>
  <r>
    <x v="10"/>
    <x v="1"/>
    <s v="MH12NF1990"/>
    <x v="33"/>
    <x v="74"/>
    <x v="1"/>
    <s v="HARSHAL"/>
    <n v="28500"/>
    <s v="JOHN NAIK "/>
  </r>
  <r>
    <x v="124"/>
    <x v="0"/>
    <s v="MH12LU5349"/>
    <x v="33"/>
    <x v="75"/>
    <x v="0"/>
    <m/>
    <n v="55000"/>
    <m/>
  </r>
  <r>
    <x v="123"/>
    <x v="0"/>
    <s v="MH12PG1638"/>
    <x v="33"/>
    <x v="76"/>
    <x v="1"/>
    <s v="HARSHAL"/>
    <n v="165000"/>
    <s v="MAHESH GANPAT JADHAV"/>
  </r>
  <r>
    <x v="124"/>
    <x v="0"/>
    <s v="MH14GG2416"/>
    <x v="33"/>
    <x v="76"/>
    <x v="2"/>
    <m/>
    <n v="30000"/>
    <s v="SRISHTI KHATRI"/>
  </r>
  <r>
    <x v="125"/>
    <x v="0"/>
    <s v="MH12QB6884"/>
    <x v="33"/>
    <x v="77"/>
    <x v="3"/>
    <m/>
    <n v="30000"/>
    <m/>
  </r>
  <r>
    <x v="126"/>
    <x v="0"/>
    <s v="MH12QH8027"/>
    <x v="33"/>
    <x v="78"/>
    <x v="2"/>
    <m/>
    <n v="36000"/>
    <s v="VIJAY ANNASAHEB NALWADE"/>
  </r>
  <r>
    <x v="113"/>
    <x v="0"/>
    <s v="MH12QL3092"/>
    <x v="33"/>
    <x v="78"/>
    <x v="1"/>
    <m/>
    <n v="69000"/>
    <s v="SANJAY ROHIDAS GAIKWAD"/>
  </r>
  <r>
    <x v="7"/>
    <x v="0"/>
    <s v="MH12RL6254"/>
    <x v="33"/>
    <x v="78"/>
    <x v="1"/>
    <m/>
    <n v="22000"/>
    <s v="NEHA GANESH DIWANE"/>
  </r>
  <r>
    <x v="127"/>
    <x v="0"/>
    <s v="MH12RZ5264"/>
    <x v="33"/>
    <x v="78"/>
    <x v="1"/>
    <s v="HARSHAL"/>
    <n v="116500"/>
    <s v="JALANILA RAMU "/>
  </r>
  <r>
    <x v="128"/>
    <x v="0"/>
    <s v="MH14HB5055"/>
    <x v="33"/>
    <x v="78"/>
    <x v="1"/>
    <s v="SACHIN"/>
    <n v="142800"/>
    <s v="TANAJI LALASAHEB BHAGAT"/>
  </r>
  <r>
    <x v="129"/>
    <x v="0"/>
    <s v="MH12SC2816"/>
    <x v="33"/>
    <x v="79"/>
    <x v="0"/>
    <m/>
    <n v="45000"/>
    <m/>
  </r>
  <r>
    <x v="130"/>
    <x v="1"/>
    <s v="MH12SP4046"/>
    <x v="33"/>
    <x v="79"/>
    <x v="0"/>
    <m/>
    <n v="65000"/>
    <m/>
  </r>
  <r>
    <x v="71"/>
    <x v="1"/>
    <s v="MH12WG0952"/>
    <x v="33"/>
    <x v="79"/>
    <x v="1"/>
    <m/>
    <n v="85000"/>
    <s v="SIDDHESH MUKUND CHAVHAN"/>
  </r>
  <r>
    <x v="131"/>
    <x v="0"/>
    <s v="MH12SS6102"/>
    <x v="33"/>
    <x v="80"/>
    <x v="2"/>
    <m/>
    <n v="18000"/>
    <s v="ARCHANA ASHOK GAIKWAD "/>
  </r>
  <r>
    <x v="132"/>
    <x v="0"/>
    <s v="MH12SS6102"/>
    <x v="33"/>
    <x v="80"/>
    <x v="1"/>
    <s v="HARSHAL"/>
    <n v="70000"/>
    <s v="ARCHANA ASHOK GAIKWAD "/>
  </r>
  <r>
    <x v="127"/>
    <x v="0"/>
    <s v="MH12TL2164"/>
    <x v="33"/>
    <x v="80"/>
    <x v="1"/>
    <s v="HARSHAL"/>
    <n v="200000"/>
    <s v="DHANASHREE DEVIDAS SONAWANE"/>
  </r>
  <r>
    <x v="121"/>
    <x v="0"/>
    <s v="MH14JD7411"/>
    <x v="33"/>
    <x v="81"/>
    <x v="4"/>
    <m/>
    <n v="45000"/>
    <m/>
  </r>
  <r>
    <x v="68"/>
    <x v="0"/>
    <s v="MH14HA5687"/>
    <x v="33"/>
    <x v="82"/>
    <x v="1"/>
    <s v="SACHIN"/>
    <n v="63000"/>
    <s v="NILESH BHARGAV SHEMBEKAR"/>
  </r>
  <r>
    <x v="59"/>
    <x v="1"/>
    <s v="MH12MJ8311"/>
    <x v="33"/>
    <x v="83"/>
    <x v="0"/>
    <m/>
    <n v="142000"/>
    <m/>
  </r>
  <r>
    <x v="10"/>
    <x v="1"/>
    <s v="MH12RS9621"/>
    <x v="33"/>
    <x v="84"/>
    <x v="1"/>
    <s v="HARSHAL"/>
    <n v="53500"/>
    <s v="XAVIER JOHN NAIK "/>
  </r>
  <r>
    <x v="71"/>
    <x v="1"/>
    <s v="MH12WC5324"/>
    <x v="33"/>
    <x v="84"/>
    <x v="1"/>
    <m/>
    <n v="42000"/>
    <s v="VIJAY BABAN WANJALE"/>
  </r>
  <r>
    <x v="132"/>
    <x v="0"/>
    <s v="MH12NZ6603"/>
    <x v="33"/>
    <x v="85"/>
    <x v="3"/>
    <m/>
    <n v="21000"/>
    <m/>
  </r>
  <r>
    <x v="2"/>
    <x v="0"/>
    <s v="MH12TL5421"/>
    <x v="33"/>
    <x v="86"/>
    <x v="3"/>
    <m/>
    <n v="15500"/>
    <m/>
  </r>
  <r>
    <x v="114"/>
    <x v="0"/>
    <s v="MH12PG1332"/>
    <x v="33"/>
    <x v="87"/>
    <x v="1"/>
    <m/>
    <n v="13000"/>
    <s v="PANDURANG PUNAJI "/>
  </r>
  <r>
    <x v="133"/>
    <x v="0"/>
    <s v="MH12NM2162"/>
    <x v="33"/>
    <x v="88"/>
    <x v="0"/>
    <m/>
    <n v="17000"/>
    <m/>
  </r>
  <r>
    <x v="10"/>
    <x v="1"/>
    <s v="MH30BT6610"/>
    <x v="33"/>
    <x v="89"/>
    <x v="0"/>
    <m/>
    <n v="9100"/>
    <m/>
  </r>
  <r>
    <x v="71"/>
    <x v="1"/>
    <s v="MH12TB6650"/>
    <x v="33"/>
    <x v="89"/>
    <x v="1"/>
    <m/>
    <n v="13000"/>
    <s v="MR MOHAMMAD HANZALA SHAIKH "/>
  </r>
  <r>
    <x v="134"/>
    <x v="1"/>
    <s v="MH12UH9147"/>
    <x v="33"/>
    <x v="90"/>
    <x v="2"/>
    <m/>
    <n v="65000"/>
    <m/>
  </r>
  <r>
    <x v="135"/>
    <x v="1"/>
    <s v="MH12RD1033"/>
    <x v="33"/>
    <x v="91"/>
    <x v="1"/>
    <m/>
    <n v="28000"/>
    <m/>
  </r>
  <r>
    <x v="136"/>
    <x v="1"/>
    <s v="MH12LB0462"/>
    <x v="33"/>
    <x v="92"/>
    <x v="1"/>
    <m/>
    <n v="31000"/>
    <m/>
  </r>
  <r>
    <x v="137"/>
    <x v="1"/>
    <s v="MH12LZ3650"/>
    <x v="33"/>
    <x v="75"/>
    <x v="1"/>
    <m/>
    <n v="28000"/>
    <m/>
  </r>
  <r>
    <x v="16"/>
    <x v="1"/>
    <s v="MH14CZ3490"/>
    <x v="33"/>
    <x v="71"/>
    <x v="1"/>
    <m/>
    <n v="52800"/>
    <m/>
  </r>
  <r>
    <x v="16"/>
    <x v="1"/>
    <s v="MH12LY1113"/>
    <x v="33"/>
    <x v="92"/>
    <x v="0"/>
    <m/>
    <n v="75000"/>
    <m/>
  </r>
  <r>
    <x v="16"/>
    <x v="1"/>
    <s v="MH12JW0845"/>
    <x v="33"/>
    <x v="93"/>
    <x v="1"/>
    <m/>
    <n v="14000"/>
    <m/>
  </r>
  <r>
    <x v="17"/>
    <x v="1"/>
    <s v="MH14KK9490"/>
    <x v="33"/>
    <x v="86"/>
    <x v="2"/>
    <m/>
    <n v="27200"/>
    <m/>
  </r>
  <r>
    <x v="17"/>
    <x v="1"/>
    <s v="MH14DS5381"/>
    <x v="33"/>
    <x v="94"/>
    <x v="1"/>
    <m/>
    <n v="116500"/>
    <m/>
  </r>
  <r>
    <x v="17"/>
    <x v="1"/>
    <s v="MH14HV9524"/>
    <x v="33"/>
    <x v="79"/>
    <x v="1"/>
    <m/>
    <n v="150000"/>
    <m/>
  </r>
  <r>
    <x v="17"/>
    <x v="1"/>
    <s v="MH14GG6350"/>
    <x v="33"/>
    <x v="77"/>
    <x v="1"/>
    <m/>
    <n v="41800"/>
    <m/>
  </r>
  <r>
    <x v="17"/>
    <x v="1"/>
    <s v="MH14CA4288"/>
    <x v="33"/>
    <x v="95"/>
    <x v="1"/>
    <m/>
    <n v="35000"/>
    <m/>
  </r>
  <r>
    <x v="72"/>
    <x v="1"/>
    <s v="MH12SN1396"/>
    <x v="33"/>
    <x v="96"/>
    <x v="0"/>
    <m/>
    <n v="36000"/>
    <m/>
  </r>
  <r>
    <x v="138"/>
    <x v="1"/>
    <s v="MH14GQ2598"/>
    <x v="33"/>
    <x v="97"/>
    <x v="0"/>
    <m/>
    <n v="50000"/>
    <m/>
  </r>
  <r>
    <x v="138"/>
    <x v="1"/>
    <s v="MH14EV8800"/>
    <x v="33"/>
    <x v="93"/>
    <x v="1"/>
    <m/>
    <n v="25000"/>
    <m/>
  </r>
  <r>
    <x v="139"/>
    <x v="1"/>
    <s v="MH12LE0124"/>
    <x v="33"/>
    <x v="71"/>
    <x v="1"/>
    <m/>
    <n v="36000"/>
    <m/>
  </r>
  <r>
    <x v="140"/>
    <x v="1"/>
    <s v="MH14GE1095"/>
    <x v="33"/>
    <x v="77"/>
    <x v="1"/>
    <m/>
    <n v="33000"/>
    <m/>
  </r>
  <r>
    <x v="140"/>
    <x v="1"/>
    <s v="MH14JT1191"/>
    <x v="33"/>
    <x v="98"/>
    <x v="1"/>
    <m/>
    <n v="40000"/>
    <m/>
  </r>
  <r>
    <x v="140"/>
    <x v="1"/>
    <s v="MH14KE3176"/>
    <x v="33"/>
    <x v="99"/>
    <x v="1"/>
    <m/>
    <n v="28000"/>
    <m/>
  </r>
  <r>
    <x v="73"/>
    <x v="1"/>
    <s v="MH50D0138"/>
    <x v="33"/>
    <x v="95"/>
    <x v="2"/>
    <m/>
    <n v="65000"/>
    <m/>
  </r>
  <r>
    <x v="73"/>
    <x v="1"/>
    <s v="MH12UB3220"/>
    <x v="33"/>
    <x v="100"/>
    <x v="0"/>
    <m/>
    <n v="11000"/>
    <m/>
  </r>
  <r>
    <x v="141"/>
    <x v="1"/>
    <s v="MH12UP1934"/>
    <x v="33"/>
    <x v="101"/>
    <x v="1"/>
    <m/>
    <n v="50000"/>
    <m/>
  </r>
  <r>
    <x v="142"/>
    <x v="1"/>
    <s v="MH14GE5827"/>
    <x v="33"/>
    <x v="77"/>
    <x v="1"/>
    <m/>
    <n v="81000"/>
    <m/>
  </r>
  <r>
    <x v="142"/>
    <x v="1"/>
    <s v="MH14GX9944"/>
    <x v="33"/>
    <x v="79"/>
    <x v="1"/>
    <m/>
    <n v="57500"/>
    <m/>
  </r>
  <r>
    <x v="143"/>
    <x v="1"/>
    <s v="MH14DD0205"/>
    <x v="33"/>
    <x v="102"/>
    <x v="1"/>
    <m/>
    <n v="26500"/>
    <m/>
  </r>
  <r>
    <x v="143"/>
    <x v="1"/>
    <s v="MH12RS8396"/>
    <x v="33"/>
    <x v="79"/>
    <x v="1"/>
    <m/>
    <n v="40000"/>
    <m/>
  </r>
  <r>
    <x v="144"/>
    <x v="1"/>
    <s v="MH12KV8579"/>
    <x v="33"/>
    <x v="102"/>
    <x v="4"/>
    <m/>
    <n v="10000"/>
    <m/>
  </r>
  <r>
    <x v="74"/>
    <x v="1"/>
    <s v="MH12HR2915"/>
    <x v="33"/>
    <x v="71"/>
    <x v="1"/>
    <m/>
    <n v="50000"/>
    <m/>
  </r>
  <r>
    <x v="74"/>
    <x v="1"/>
    <s v="MH14CE3075"/>
    <x v="33"/>
    <x v="71"/>
    <x v="1"/>
    <m/>
    <n v="166000"/>
    <m/>
  </r>
  <r>
    <x v="145"/>
    <x v="1"/>
    <s v="MH12PE3307"/>
    <x v="33"/>
    <x v="77"/>
    <x v="1"/>
    <m/>
    <n v="20000"/>
    <m/>
  </r>
  <r>
    <x v="145"/>
    <x v="1"/>
    <s v="MH12RS4633"/>
    <x v="33"/>
    <x v="94"/>
    <x v="1"/>
    <m/>
    <n v="100000"/>
    <m/>
  </r>
  <r>
    <x v="145"/>
    <x v="1"/>
    <s v="MH12TT6120"/>
    <x v="33"/>
    <x v="81"/>
    <x v="0"/>
    <m/>
    <n v="17000"/>
    <m/>
  </r>
  <r>
    <x v="77"/>
    <x v="1"/>
    <s v="MH12TE3959"/>
    <x v="33"/>
    <x v="94"/>
    <x v="1"/>
    <m/>
    <n v="48000"/>
    <m/>
  </r>
  <r>
    <x v="20"/>
    <x v="1"/>
    <s v="MH22AE5820"/>
    <x v="33"/>
    <x v="83"/>
    <x v="2"/>
    <m/>
    <n v="52100"/>
    <m/>
  </r>
  <r>
    <x v="21"/>
    <x v="1"/>
    <s v="MH14EL4441"/>
    <x v="33"/>
    <x v="71"/>
    <x v="1"/>
    <m/>
    <n v="47000"/>
    <m/>
  </r>
  <r>
    <x v="21"/>
    <x v="1"/>
    <s v="MH42X0842"/>
    <x v="33"/>
    <x v="94"/>
    <x v="1"/>
    <m/>
    <n v="275000"/>
    <m/>
  </r>
  <r>
    <x v="21"/>
    <x v="1"/>
    <s v="MH14GQ5183"/>
    <x v="33"/>
    <x v="103"/>
    <x v="1"/>
    <m/>
    <n v="34000"/>
    <m/>
  </r>
  <r>
    <x v="21"/>
    <x v="1"/>
    <s v="MH14EE8653"/>
    <x v="33"/>
    <x v="94"/>
    <x v="1"/>
    <m/>
    <n v="83000"/>
    <m/>
  </r>
  <r>
    <x v="21"/>
    <x v="1"/>
    <s v="MH14DP4928"/>
    <x v="33"/>
    <x v="94"/>
    <x v="1"/>
    <m/>
    <n v="35000"/>
    <m/>
  </r>
  <r>
    <x v="22"/>
    <x v="1"/>
    <s v="MH16DJ4351"/>
    <x v="33"/>
    <x v="99"/>
    <x v="0"/>
    <m/>
    <n v="15100"/>
    <m/>
  </r>
  <r>
    <x v="146"/>
    <x v="1"/>
    <s v="MH15EK0091"/>
    <x v="33"/>
    <x v="88"/>
    <x v="1"/>
    <m/>
    <n v="18800"/>
    <m/>
  </r>
  <r>
    <x v="23"/>
    <x v="1"/>
    <s v="MH25AV4851"/>
    <x v="33"/>
    <x v="89"/>
    <x v="0"/>
    <m/>
    <n v="24000"/>
    <m/>
  </r>
  <r>
    <x v="23"/>
    <x v="1"/>
    <s v="MH04FM1042"/>
    <x v="33"/>
    <x v="71"/>
    <x v="1"/>
    <m/>
    <n v="23000"/>
    <m/>
  </r>
  <r>
    <x v="147"/>
    <x v="1"/>
    <s v="MH12TQ9971"/>
    <x v="33"/>
    <x v="104"/>
    <x v="1"/>
    <m/>
    <n v="90000"/>
    <m/>
  </r>
  <r>
    <x v="147"/>
    <x v="1"/>
    <s v="MH11CM3630"/>
    <x v="33"/>
    <x v="103"/>
    <x v="0"/>
    <m/>
    <n v="23000"/>
    <m/>
  </r>
  <r>
    <x v="147"/>
    <x v="1"/>
    <s v="MH27BJ9262"/>
    <x v="33"/>
    <x v="105"/>
    <x v="1"/>
    <m/>
    <n v="61000"/>
    <m/>
  </r>
  <r>
    <x v="148"/>
    <x v="1"/>
    <s v="MH14KH2182"/>
    <x v="33"/>
    <x v="98"/>
    <x v="2"/>
    <m/>
    <n v="20000"/>
    <m/>
  </r>
  <r>
    <x v="78"/>
    <x v="1"/>
    <s v="MH12JT6442"/>
    <x v="33"/>
    <x v="106"/>
    <x v="1"/>
    <m/>
    <n v="34000"/>
    <m/>
  </r>
  <r>
    <x v="149"/>
    <x v="1"/>
    <s v="MH12LU7587"/>
    <x v="33"/>
    <x v="75"/>
    <x v="2"/>
    <m/>
    <n v="28000"/>
    <m/>
  </r>
  <r>
    <x v="24"/>
    <x v="1"/>
    <s v="MH46BG2261"/>
    <x v="33"/>
    <x v="94"/>
    <x v="1"/>
    <m/>
    <n v="40000"/>
    <m/>
  </r>
  <r>
    <x v="24"/>
    <x v="1"/>
    <s v="MH14CA9578"/>
    <x v="33"/>
    <x v="71"/>
    <x v="1"/>
    <m/>
    <n v="26000"/>
    <m/>
  </r>
  <r>
    <x v="150"/>
    <x v="1"/>
    <s v="MH14HS5545"/>
    <x v="33"/>
    <x v="103"/>
    <x v="1"/>
    <m/>
    <n v="120000"/>
    <m/>
  </r>
  <r>
    <x v="150"/>
    <x v="1"/>
    <s v="MH14DQ7410"/>
    <x v="33"/>
    <x v="71"/>
    <x v="1"/>
    <m/>
    <n v="60000"/>
    <m/>
  </r>
  <r>
    <x v="150"/>
    <x v="1"/>
    <s v="MH14FP1306"/>
    <x v="33"/>
    <x v="107"/>
    <x v="1"/>
    <m/>
    <n v="50000"/>
    <m/>
  </r>
  <r>
    <x v="150"/>
    <x v="1"/>
    <s v="MH14EV3279"/>
    <x v="33"/>
    <x v="71"/>
    <x v="1"/>
    <m/>
    <n v="150000"/>
    <m/>
  </r>
  <r>
    <x v="150"/>
    <x v="1"/>
    <s v="MH14FA3254"/>
    <x v="33"/>
    <x v="92"/>
    <x v="2"/>
    <m/>
    <n v="37500"/>
    <m/>
  </r>
  <r>
    <x v="151"/>
    <x v="1"/>
    <s v="MH14EW5162"/>
    <x v="33"/>
    <x v="108"/>
    <x v="1"/>
    <m/>
    <n v="60000"/>
    <m/>
  </r>
  <r>
    <x v="151"/>
    <x v="1"/>
    <s v="MH14FK5167"/>
    <x v="33"/>
    <x v="75"/>
    <x v="1"/>
    <m/>
    <n v="28000"/>
    <m/>
  </r>
  <r>
    <x v="25"/>
    <x v="1"/>
    <s v="MH12VR3843"/>
    <x v="33"/>
    <x v="109"/>
    <x v="1"/>
    <m/>
    <n v="90000"/>
    <m/>
  </r>
  <r>
    <x v="25"/>
    <x v="1"/>
    <s v="MH14HL2412"/>
    <x v="33"/>
    <x v="79"/>
    <x v="0"/>
    <m/>
    <n v="145000"/>
    <m/>
  </r>
  <r>
    <x v="25"/>
    <x v="1"/>
    <s v="MH12UB0633"/>
    <x v="33"/>
    <x v="110"/>
    <x v="0"/>
    <m/>
    <n v="23000"/>
    <m/>
  </r>
  <r>
    <x v="152"/>
    <x v="1"/>
    <s v="MH12QC2472"/>
    <x v="33"/>
    <x v="111"/>
    <x v="0"/>
    <m/>
    <n v="35000"/>
    <m/>
  </r>
  <r>
    <x v="152"/>
    <x v="1"/>
    <s v="MH14KV1024"/>
    <x v="33"/>
    <x v="99"/>
    <x v="1"/>
    <m/>
    <n v="56500"/>
    <m/>
  </r>
  <r>
    <x v="153"/>
    <x v="1"/>
    <s v="MH12JR5660"/>
    <x v="33"/>
    <x v="71"/>
    <x v="1"/>
    <m/>
    <n v="60000"/>
    <m/>
  </r>
  <r>
    <x v="26"/>
    <x v="1"/>
    <s v="MH12HM4618"/>
    <x v="33"/>
    <x v="102"/>
    <x v="1"/>
    <m/>
    <n v="60000"/>
    <m/>
  </r>
  <r>
    <x v="26"/>
    <x v="1"/>
    <s v="MH12NR8959"/>
    <x v="33"/>
    <x v="75"/>
    <x v="1"/>
    <m/>
    <n v="23000"/>
    <m/>
  </r>
  <r>
    <x v="27"/>
    <x v="1"/>
    <s v="MH14GX5429"/>
    <x v="33"/>
    <x v="79"/>
    <x v="1"/>
    <m/>
    <n v="60000"/>
    <m/>
  </r>
  <r>
    <x v="28"/>
    <x v="1"/>
    <s v="MH14FE0135"/>
    <x v="33"/>
    <x v="73"/>
    <x v="1"/>
    <m/>
    <n v="19000"/>
    <m/>
  </r>
  <r>
    <x v="80"/>
    <x v="1"/>
    <s v="MH12WT3107"/>
    <x v="33"/>
    <x v="94"/>
    <x v="0"/>
    <m/>
    <n v="60000"/>
    <m/>
  </r>
  <r>
    <x v="82"/>
    <x v="1"/>
    <s v="MH12SV5482"/>
    <x v="33"/>
    <x v="98"/>
    <x v="3"/>
    <m/>
    <n v="28500"/>
    <m/>
  </r>
  <r>
    <x v="154"/>
    <x v="2"/>
    <s v="MH14EW2475"/>
    <x v="33"/>
    <x v="75"/>
    <x v="1"/>
    <m/>
    <n v="28300"/>
    <m/>
  </r>
  <r>
    <x v="30"/>
    <x v="2"/>
    <s v="MH12LB0348"/>
    <x v="33"/>
    <x v="71"/>
    <x v="1"/>
    <m/>
    <n v="30000"/>
    <m/>
  </r>
  <r>
    <x v="31"/>
    <x v="2"/>
    <s v="MH14JF7090"/>
    <x v="33"/>
    <x v="112"/>
    <x v="1"/>
    <m/>
    <n v="81000"/>
    <m/>
  </r>
  <r>
    <x v="31"/>
    <x v="2"/>
    <s v="MH14GQ6128"/>
    <x v="33"/>
    <x v="77"/>
    <x v="1"/>
    <m/>
    <n v="31000"/>
    <m/>
  </r>
  <r>
    <x v="31"/>
    <x v="2"/>
    <s v="MH14JC0120"/>
    <x v="33"/>
    <x v="79"/>
    <x v="1"/>
    <m/>
    <n v="15000"/>
    <m/>
  </r>
  <r>
    <x v="31"/>
    <x v="2"/>
    <s v="MH14EQ4602"/>
    <x v="33"/>
    <x v="71"/>
    <x v="1"/>
    <m/>
    <n v="29000"/>
    <m/>
  </r>
  <r>
    <x v="155"/>
    <x v="2"/>
    <s v="MH12LN8782"/>
    <x v="33"/>
    <x v="71"/>
    <x v="2"/>
    <m/>
    <n v="53500"/>
    <m/>
  </r>
  <r>
    <x v="155"/>
    <x v="2"/>
    <s v="MH12PB7166"/>
    <x v="33"/>
    <x v="113"/>
    <x v="0"/>
    <m/>
    <n v="65500"/>
    <m/>
  </r>
  <r>
    <x v="156"/>
    <x v="2"/>
    <s v="MH14HF2426"/>
    <x v="33"/>
    <x v="85"/>
    <x v="1"/>
    <m/>
    <n v="28000"/>
    <m/>
  </r>
  <r>
    <x v="156"/>
    <x v="2"/>
    <s v="MH12KX2399"/>
    <x v="33"/>
    <x v="92"/>
    <x v="0"/>
    <m/>
    <n v="10000"/>
    <m/>
  </r>
  <r>
    <x v="156"/>
    <x v="2"/>
    <s v="MH14EZ3860"/>
    <x v="33"/>
    <x v="75"/>
    <x v="1"/>
    <m/>
    <n v="28500"/>
    <m/>
  </r>
  <r>
    <x v="157"/>
    <x v="2"/>
    <s v="MH12CU2136"/>
    <x v="33"/>
    <x v="71"/>
    <x v="1"/>
    <m/>
    <n v="46000"/>
    <m/>
  </r>
  <r>
    <x v="86"/>
    <x v="2"/>
    <s v="MH12GY6778"/>
    <x v="33"/>
    <x v="94"/>
    <x v="1"/>
    <m/>
    <n v="15000"/>
    <m/>
  </r>
  <r>
    <x v="86"/>
    <x v="2"/>
    <s v="MH14ES5989"/>
    <x v="33"/>
    <x v="83"/>
    <x v="1"/>
    <m/>
    <n v="20600"/>
    <m/>
  </r>
  <r>
    <x v="86"/>
    <x v="2"/>
    <s v="MH14GT8151"/>
    <x v="33"/>
    <x v="77"/>
    <x v="1"/>
    <m/>
    <n v="28000"/>
    <m/>
  </r>
  <r>
    <x v="86"/>
    <x v="2"/>
    <s v="MH07M2795"/>
    <x v="33"/>
    <x v="71"/>
    <x v="1"/>
    <m/>
    <n v="29500"/>
    <m/>
  </r>
  <r>
    <x v="86"/>
    <x v="2"/>
    <s v="MH14EB0233"/>
    <x v="33"/>
    <x v="71"/>
    <x v="1"/>
    <m/>
    <n v="24500"/>
    <m/>
  </r>
  <r>
    <x v="86"/>
    <x v="2"/>
    <s v="MH14FK6342"/>
    <x v="33"/>
    <x v="75"/>
    <x v="1"/>
    <m/>
    <n v="150000"/>
    <m/>
  </r>
  <r>
    <x v="33"/>
    <x v="2"/>
    <s v="MH12HX4095"/>
    <x v="33"/>
    <x v="71"/>
    <x v="1"/>
    <m/>
    <n v="28500"/>
    <m/>
  </r>
  <r>
    <x v="33"/>
    <x v="2"/>
    <s v="MH12RS9148"/>
    <x v="33"/>
    <x v="79"/>
    <x v="1"/>
    <m/>
    <n v="38500"/>
    <m/>
  </r>
  <r>
    <x v="33"/>
    <x v="2"/>
    <s v="MH12QP9497"/>
    <x v="33"/>
    <x v="113"/>
    <x v="1"/>
    <m/>
    <n v="25000"/>
    <m/>
  </r>
  <r>
    <x v="33"/>
    <x v="2"/>
    <s v="MH12UR1272"/>
    <x v="33"/>
    <x v="90"/>
    <x v="1"/>
    <m/>
    <n v="91300"/>
    <m/>
  </r>
  <r>
    <x v="158"/>
    <x v="2"/>
    <s v="MH14DC5264"/>
    <x v="33"/>
    <x v="71"/>
    <x v="1"/>
    <m/>
    <n v="43500"/>
    <m/>
  </r>
  <r>
    <x v="158"/>
    <x v="2"/>
    <s v="MH14CY1986"/>
    <x v="33"/>
    <x v="94"/>
    <x v="1"/>
    <m/>
    <n v="5800"/>
    <m/>
  </r>
  <r>
    <x v="158"/>
    <x v="2"/>
    <s v="MH14DB1748"/>
    <x v="33"/>
    <x v="71"/>
    <x v="1"/>
    <m/>
    <n v="35000"/>
    <m/>
  </r>
  <r>
    <x v="158"/>
    <x v="2"/>
    <s v="MH14CF6236"/>
    <x v="33"/>
    <x v="71"/>
    <x v="1"/>
    <m/>
    <n v="28500"/>
    <m/>
  </r>
  <r>
    <x v="159"/>
    <x v="2"/>
    <s v="MH27CK9741"/>
    <x v="33"/>
    <x v="83"/>
    <x v="2"/>
    <m/>
    <n v="38500"/>
    <m/>
  </r>
  <r>
    <x v="160"/>
    <x v="2"/>
    <s v="MH14GR1070"/>
    <x v="33"/>
    <x v="77"/>
    <x v="1"/>
    <m/>
    <n v="27100"/>
    <m/>
  </r>
  <r>
    <x v="160"/>
    <x v="2"/>
    <s v="MH12PP7097"/>
    <x v="33"/>
    <x v="103"/>
    <x v="1"/>
    <m/>
    <n v="28000"/>
    <m/>
  </r>
  <r>
    <x v="87"/>
    <x v="2"/>
    <s v="MH12LU9941"/>
    <x v="33"/>
    <x v="75"/>
    <x v="1"/>
    <m/>
    <n v="37000"/>
    <m/>
  </r>
  <r>
    <x v="87"/>
    <x v="2"/>
    <s v="MH14ER7677"/>
    <x v="33"/>
    <x v="71"/>
    <x v="1"/>
    <m/>
    <n v="20600"/>
    <m/>
  </r>
  <r>
    <x v="87"/>
    <x v="2"/>
    <s v="MH14HL9007"/>
    <x v="33"/>
    <x v="79"/>
    <x v="1"/>
    <m/>
    <n v="193000"/>
    <m/>
  </r>
  <r>
    <x v="161"/>
    <x v="2"/>
    <s v="MH14HB6074"/>
    <x v="33"/>
    <x v="79"/>
    <x v="1"/>
    <m/>
    <n v="150000"/>
    <m/>
  </r>
  <r>
    <x v="162"/>
    <x v="2"/>
    <s v="MH12KB4237"/>
    <x v="33"/>
    <x v="101"/>
    <x v="1"/>
    <m/>
    <n v="28300"/>
    <m/>
  </r>
  <r>
    <x v="162"/>
    <x v="2"/>
    <s v="MH14GL1100"/>
    <x v="33"/>
    <x v="77"/>
    <x v="1"/>
    <m/>
    <n v="15000"/>
    <m/>
  </r>
  <r>
    <x v="162"/>
    <x v="2"/>
    <s v="MH12MQ4347"/>
    <x v="33"/>
    <x v="75"/>
    <x v="1"/>
    <m/>
    <n v="42500"/>
    <m/>
  </r>
  <r>
    <x v="162"/>
    <x v="2"/>
    <s v="MH12GG4540"/>
    <x v="33"/>
    <x v="92"/>
    <x v="1"/>
    <m/>
    <n v="39000"/>
    <m/>
  </r>
  <r>
    <x v="88"/>
    <x v="2"/>
    <s v="MH14BZ8257"/>
    <x v="33"/>
    <x v="71"/>
    <x v="1"/>
    <m/>
    <n v="27000"/>
    <m/>
  </r>
  <r>
    <x v="88"/>
    <x v="2"/>
    <s v="MH14FJ9708"/>
    <x v="33"/>
    <x v="83"/>
    <x v="1"/>
    <m/>
    <n v="38500"/>
    <m/>
  </r>
  <r>
    <x v="88"/>
    <x v="2"/>
    <s v="MH14GR2005"/>
    <x v="33"/>
    <x v="103"/>
    <x v="1"/>
    <m/>
    <n v="15000"/>
    <m/>
  </r>
  <r>
    <x v="88"/>
    <x v="2"/>
    <s v="MH14HL2549"/>
    <x v="33"/>
    <x v="79"/>
    <x v="1"/>
    <m/>
    <n v="34000"/>
    <m/>
  </r>
  <r>
    <x v="88"/>
    <x v="2"/>
    <s v="MH14ED9765"/>
    <x v="33"/>
    <x v="71"/>
    <x v="1"/>
    <m/>
    <n v="81000"/>
    <m/>
  </r>
  <r>
    <x v="88"/>
    <x v="2"/>
    <s v="MH14ER4783"/>
    <x v="33"/>
    <x v="71"/>
    <x v="1"/>
    <m/>
    <n v="20000"/>
    <m/>
  </r>
  <r>
    <x v="88"/>
    <x v="2"/>
    <s v="MH14GB2465"/>
    <x v="33"/>
    <x v="94"/>
    <x v="1"/>
    <m/>
    <n v="65500"/>
    <m/>
  </r>
  <r>
    <x v="163"/>
    <x v="2"/>
    <s v="MH12QN4418"/>
    <x v="33"/>
    <x v="94"/>
    <x v="1"/>
    <m/>
    <n v="16000"/>
    <m/>
  </r>
  <r>
    <x v="164"/>
    <x v="2"/>
    <s v="MH12QU2001"/>
    <x v="33"/>
    <x v="96"/>
    <x v="0"/>
    <m/>
    <n v="40000"/>
    <m/>
  </r>
  <r>
    <x v="92"/>
    <x v="2"/>
    <s v="MH14FN6792"/>
    <x v="33"/>
    <x v="75"/>
    <x v="1"/>
    <m/>
    <n v="27000"/>
    <m/>
  </r>
  <r>
    <x v="92"/>
    <x v="2"/>
    <s v="MH14EX2596"/>
    <x v="33"/>
    <x v="75"/>
    <x v="1"/>
    <m/>
    <n v="36500"/>
    <m/>
  </r>
  <r>
    <x v="92"/>
    <x v="2"/>
    <s v="MH12HQ5395"/>
    <x v="33"/>
    <x v="102"/>
    <x v="1"/>
    <m/>
    <n v="130000"/>
    <m/>
  </r>
  <r>
    <x v="165"/>
    <x v="2"/>
    <s v="MH05FE6282"/>
    <x v="33"/>
    <x v="71"/>
    <x v="0"/>
    <m/>
    <n v="40000"/>
    <m/>
  </r>
  <r>
    <x v="36"/>
    <x v="2"/>
    <s v="MH14GJ0356"/>
    <x v="33"/>
    <x v="77"/>
    <x v="1"/>
    <m/>
    <n v="20400"/>
    <m/>
  </r>
  <r>
    <x v="36"/>
    <x v="2"/>
    <s v="MH14DU8207"/>
    <x v="33"/>
    <x v="71"/>
    <x v="1"/>
    <m/>
    <n v="19500"/>
    <m/>
  </r>
  <r>
    <x v="36"/>
    <x v="2"/>
    <s v="MH14EG5164"/>
    <x v="33"/>
    <x v="105"/>
    <x v="1"/>
    <m/>
    <n v="25000"/>
    <m/>
  </r>
  <r>
    <x v="36"/>
    <x v="2"/>
    <s v="MH14EK2654"/>
    <x v="33"/>
    <x v="92"/>
    <x v="1"/>
    <m/>
    <n v="35000"/>
    <m/>
  </r>
  <r>
    <x v="36"/>
    <x v="2"/>
    <s v="MH14CV8183"/>
    <x v="33"/>
    <x v="71"/>
    <x v="1"/>
    <m/>
    <n v="15000"/>
    <m/>
  </r>
  <r>
    <x v="36"/>
    <x v="2"/>
    <s v="MH14GW6067"/>
    <x v="33"/>
    <x v="94"/>
    <x v="1"/>
    <m/>
    <n v="110000"/>
    <m/>
  </r>
  <r>
    <x v="36"/>
    <x v="2"/>
    <s v="MH12JR4207"/>
    <x v="33"/>
    <x v="92"/>
    <x v="1"/>
    <m/>
    <n v="46000"/>
    <m/>
  </r>
  <r>
    <x v="166"/>
    <x v="2"/>
    <s v="MH12LU7154"/>
    <x v="33"/>
    <x v="89"/>
    <x v="1"/>
    <m/>
    <n v="26000"/>
    <m/>
  </r>
  <r>
    <x v="93"/>
    <x v="2"/>
    <s v="MH14LG7657"/>
    <x v="33"/>
    <x v="98"/>
    <x v="2"/>
    <m/>
    <n v="33000"/>
    <m/>
  </r>
  <r>
    <x v="37"/>
    <x v="2"/>
    <s v="MH14FB9105"/>
    <x v="33"/>
    <x v="103"/>
    <x v="1"/>
    <m/>
    <n v="25000"/>
    <m/>
  </r>
  <r>
    <x v="95"/>
    <x v="2"/>
    <s v="MH14GQ2598"/>
    <x v="33"/>
    <x v="97"/>
    <x v="0"/>
    <m/>
    <n v="63000"/>
    <m/>
  </r>
  <r>
    <x v="167"/>
    <x v="2"/>
    <s v="MH14GR7923"/>
    <x v="33"/>
    <x v="77"/>
    <x v="1"/>
    <m/>
    <n v="51000"/>
    <m/>
  </r>
  <r>
    <x v="168"/>
    <x v="2"/>
    <s v="MH05DR7379"/>
    <x v="33"/>
    <x v="73"/>
    <x v="2"/>
    <m/>
    <n v="37500"/>
    <m/>
  </r>
  <r>
    <x v="169"/>
    <x v="2"/>
    <s v="MH17CL2614"/>
    <x v="33"/>
    <x v="98"/>
    <x v="1"/>
    <m/>
    <n v="15000"/>
    <m/>
  </r>
  <r>
    <x v="170"/>
    <x v="2"/>
    <s v="MH12NG4098"/>
    <x v="33"/>
    <x v="113"/>
    <x v="1"/>
    <m/>
    <n v="105000"/>
    <m/>
  </r>
  <r>
    <x v="171"/>
    <x v="2"/>
    <s v="MH14KE6958"/>
    <x v="33"/>
    <x v="114"/>
    <x v="2"/>
    <m/>
    <n v="155000"/>
    <m/>
  </r>
  <r>
    <x v="172"/>
    <x v="2"/>
    <s v="MH12JX4169"/>
    <x v="33"/>
    <x v="106"/>
    <x v="1"/>
    <m/>
    <n v="18000"/>
    <m/>
  </r>
  <r>
    <x v="41"/>
    <x v="2"/>
    <s v="MH14CZ3532"/>
    <x v="33"/>
    <x v="71"/>
    <x v="1"/>
    <m/>
    <n v="80000"/>
    <m/>
  </r>
  <r>
    <x v="41"/>
    <x v="2"/>
    <s v="MH12MZ6239"/>
    <x v="33"/>
    <x v="75"/>
    <x v="1"/>
    <m/>
    <n v="100000"/>
    <m/>
  </r>
  <r>
    <x v="41"/>
    <x v="2"/>
    <s v="MH14HR0344"/>
    <x v="33"/>
    <x v="79"/>
    <x v="1"/>
    <m/>
    <n v="41000"/>
    <m/>
  </r>
  <r>
    <x v="97"/>
    <x v="2"/>
    <s v="MH14EN2767"/>
    <x v="33"/>
    <x v="71"/>
    <x v="1"/>
    <m/>
    <n v="23000"/>
    <m/>
  </r>
  <r>
    <x v="97"/>
    <x v="2"/>
    <s v="MH15GC9992"/>
    <x v="33"/>
    <x v="77"/>
    <x v="0"/>
    <m/>
    <n v="39500"/>
    <m/>
  </r>
  <r>
    <x v="97"/>
    <x v="2"/>
    <s v="MH12LQ4006"/>
    <x v="33"/>
    <x v="103"/>
    <x v="1"/>
    <m/>
    <n v="14100"/>
    <m/>
  </r>
  <r>
    <x v="42"/>
    <x v="2"/>
    <s v="MH14EZ8067"/>
    <x v="33"/>
    <x v="75"/>
    <x v="1"/>
    <m/>
    <n v="28000"/>
    <m/>
  </r>
  <r>
    <x v="42"/>
    <x v="2"/>
    <s v="MH14JN3622"/>
    <x v="33"/>
    <x v="105"/>
    <x v="1"/>
    <m/>
    <n v="20500"/>
    <m/>
  </r>
  <r>
    <x v="173"/>
    <x v="2"/>
    <s v="MH12KM2961"/>
    <x v="33"/>
    <x v="83"/>
    <x v="1"/>
    <m/>
    <n v="52000"/>
    <m/>
  </r>
  <r>
    <x v="174"/>
    <x v="2"/>
    <s v="MH14FA5216"/>
    <x v="33"/>
    <x v="75"/>
    <x v="2"/>
    <m/>
    <n v="23000"/>
    <m/>
  </r>
  <r>
    <x v="175"/>
    <x v="2"/>
    <s v="MH17DB9226"/>
    <x v="33"/>
    <x v="104"/>
    <x v="2"/>
    <m/>
    <n v="75000"/>
    <m/>
  </r>
  <r>
    <x v="176"/>
    <x v="2"/>
    <s v="MH14DR7003"/>
    <x v="33"/>
    <x v="92"/>
    <x v="1"/>
    <m/>
    <n v="34500"/>
    <m/>
  </r>
  <r>
    <x v="177"/>
    <x v="2"/>
    <s v="MH12FJ2814"/>
    <x v="33"/>
    <x v="105"/>
    <x v="1"/>
    <m/>
    <n v="20000"/>
    <m/>
  </r>
  <r>
    <x v="178"/>
    <x v="2"/>
    <s v="MH12XF4590"/>
    <x v="33"/>
    <x v="98"/>
    <x v="1"/>
    <m/>
    <n v="16500"/>
    <m/>
  </r>
  <r>
    <x v="178"/>
    <x v="2"/>
    <s v="MH02CX6920"/>
    <x v="33"/>
    <x v="71"/>
    <x v="1"/>
    <m/>
    <n v="26000"/>
    <m/>
  </r>
  <r>
    <x v="44"/>
    <x v="2"/>
    <s v="MH14JF0901"/>
    <x v="33"/>
    <x v="98"/>
    <x v="1"/>
    <m/>
    <n v="13500"/>
    <m/>
  </r>
  <r>
    <x v="44"/>
    <x v="2"/>
    <s v="MH14JQ3008"/>
    <x v="33"/>
    <x v="115"/>
    <x v="1"/>
    <m/>
    <n v="90000"/>
    <m/>
  </r>
  <r>
    <x v="44"/>
    <x v="2"/>
    <s v="MH14GK3594"/>
    <x v="33"/>
    <x v="77"/>
    <x v="1"/>
    <m/>
    <n v="28000"/>
    <m/>
  </r>
  <r>
    <x v="179"/>
    <x v="2"/>
    <s v="MH12NH6721"/>
    <x v="33"/>
    <x v="75"/>
    <x v="1"/>
    <m/>
    <n v="30500"/>
    <m/>
  </r>
  <r>
    <x v="179"/>
    <x v="2"/>
    <s v="MH12GX7377"/>
    <x v="33"/>
    <x v="71"/>
    <x v="1"/>
    <m/>
    <n v="23000"/>
    <m/>
  </r>
  <r>
    <x v="179"/>
    <x v="2"/>
    <s v="MH14GG5623"/>
    <x v="33"/>
    <x v="94"/>
    <x v="1"/>
    <m/>
    <n v="63000"/>
    <m/>
  </r>
  <r>
    <x v="180"/>
    <x v="2"/>
    <s v="MH14KZ1181"/>
    <x v="33"/>
    <x v="98"/>
    <x v="2"/>
    <m/>
    <n v="77000"/>
    <m/>
  </r>
  <r>
    <x v="180"/>
    <x v="2"/>
    <s v="MH14ED4058"/>
    <x v="33"/>
    <x v="71"/>
    <x v="1"/>
    <m/>
    <n v="28000"/>
    <m/>
  </r>
  <r>
    <x v="181"/>
    <x v="2"/>
    <s v="MH12WD3633"/>
    <x v="33"/>
    <x v="71"/>
    <x v="0"/>
    <m/>
    <n v="75000"/>
    <m/>
  </r>
  <r>
    <x v="181"/>
    <x v="2"/>
    <s v="MH12PV9105"/>
    <x v="33"/>
    <x v="116"/>
    <x v="1"/>
    <m/>
    <n v="41000"/>
    <m/>
  </r>
  <r>
    <x v="182"/>
    <x v="2"/>
    <s v="MH14HP4368"/>
    <x v="33"/>
    <x v="111"/>
    <x v="2"/>
    <m/>
    <n v="18000"/>
    <m/>
  </r>
  <r>
    <x v="183"/>
    <x v="2"/>
    <s v="MH43AE6670"/>
    <x v="33"/>
    <x v="94"/>
    <x v="1"/>
    <m/>
    <n v="36100"/>
    <m/>
  </r>
  <r>
    <x v="184"/>
    <x v="2"/>
    <s v="MH12WG2786"/>
    <x v="33"/>
    <x v="112"/>
    <x v="1"/>
    <m/>
    <n v="52000"/>
    <m/>
  </r>
  <r>
    <x v="45"/>
    <x v="2"/>
    <s v="MH14JD1208"/>
    <x v="33"/>
    <x v="81"/>
    <x v="1"/>
    <m/>
    <n v="50000"/>
    <m/>
  </r>
  <r>
    <x v="45"/>
    <x v="2"/>
    <s v="MH14EW6790"/>
    <x v="33"/>
    <x v="75"/>
    <x v="1"/>
    <m/>
    <n v="28500"/>
    <m/>
  </r>
  <r>
    <x v="45"/>
    <x v="2"/>
    <s v="MH14DW4462"/>
    <x v="33"/>
    <x v="71"/>
    <x v="1"/>
    <m/>
    <n v="22000"/>
    <m/>
  </r>
  <r>
    <x v="45"/>
    <x v="2"/>
    <s v="MH12RJ1565"/>
    <x v="33"/>
    <x v="96"/>
    <x v="0"/>
    <m/>
    <n v="37500"/>
    <m/>
  </r>
  <r>
    <x v="45"/>
    <x v="2"/>
    <s v="MH09CY6108"/>
    <x v="33"/>
    <x v="71"/>
    <x v="1"/>
    <m/>
    <n v="18000"/>
    <m/>
  </r>
  <r>
    <x v="185"/>
    <x v="2"/>
    <s v="MH13CZ3378"/>
    <x v="33"/>
    <x v="77"/>
    <x v="1"/>
    <m/>
    <n v="36000"/>
    <m/>
  </r>
  <r>
    <x v="186"/>
    <x v="0"/>
    <s v="MH14JK4374"/>
    <x v="33"/>
    <x v="117"/>
    <x v="1"/>
    <s v="SACHIN"/>
    <n v="27000"/>
    <s v="AMIT TUKARAM PADWAL"/>
  </r>
  <r>
    <x v="186"/>
    <x v="0"/>
    <s v="MH14JK4346"/>
    <x v="33"/>
    <x v="117"/>
    <x v="0"/>
    <s v="SACHIN"/>
    <n v="38000"/>
    <s v="RAJKUMAR KUSULAL JAIN"/>
  </r>
  <r>
    <x v="128"/>
    <x v="0"/>
    <s v="MH14JS8656"/>
    <x v="33"/>
    <x v="117"/>
    <x v="1"/>
    <s v="SACHIN"/>
    <n v="36000"/>
    <s v="PANKAJKUMAR YADAV"/>
  </r>
  <r>
    <x v="68"/>
    <x v="0"/>
    <s v="MH14JV0322"/>
    <x v="33"/>
    <x v="117"/>
    <x v="1"/>
    <s v="HARSHAL"/>
    <n v="70000"/>
    <s v="JIVAJI SHIVRAM SALUNKHE"/>
  </r>
  <r>
    <x v="118"/>
    <x v="0"/>
    <s v="MH14JD9284"/>
    <x v="33"/>
    <x v="117"/>
    <x v="1"/>
    <s v="SACHIN"/>
    <n v="23000"/>
    <s v="LAXMAN MANOHAR GARUD"/>
  </r>
  <r>
    <x v="49"/>
    <x v="0"/>
    <s v="MH14JS2918"/>
    <x v="33"/>
    <x v="118"/>
    <x v="1"/>
    <s v="SACHIN"/>
    <n v="103000"/>
    <s v="TIRUPATHIREDDY MUKKAMALLA "/>
  </r>
  <r>
    <x v="106"/>
    <x v="0"/>
    <s v="MH12MC5238"/>
    <x v="33"/>
    <x v="92"/>
    <x v="0"/>
    <m/>
    <n v="51000"/>
    <m/>
  </r>
  <r>
    <x v="62"/>
    <x v="0"/>
    <s v="MH12SS6438"/>
    <x v="33"/>
    <x v="119"/>
    <x v="1"/>
    <s v="SACHIN"/>
    <n v="58000"/>
    <s v="RAMDAS POPAT PAWAR"/>
  </r>
  <r>
    <x v="187"/>
    <x v="0"/>
    <s v="MH14GG0755"/>
    <x v="34"/>
    <x v="0"/>
    <x v="2"/>
    <m/>
    <n v="185000"/>
    <s v="MAYURESH GADGIL"/>
  </r>
  <r>
    <x v="120"/>
    <x v="0"/>
    <s v="MH12UX9826"/>
    <x v="35"/>
    <x v="0"/>
    <x v="1"/>
    <s v="HARSHAL"/>
    <n v="159500"/>
    <s v="KUNDAN KANHU WAGHCHAURE"/>
  </r>
  <r>
    <x v="121"/>
    <x v="0"/>
    <s v="MH12UP3668"/>
    <x v="36"/>
    <x v="0"/>
    <x v="0"/>
    <m/>
    <n v="22000"/>
    <m/>
  </r>
  <r>
    <x v="134"/>
    <x v="1"/>
    <s v="MH12WQ4898"/>
    <x v="37"/>
    <x v="120"/>
    <x v="5"/>
    <m/>
    <n v="152000"/>
    <m/>
  </r>
  <r>
    <x v="21"/>
    <x v="1"/>
    <s v="MH12UH8339"/>
    <x v="37"/>
    <x v="121"/>
    <x v="1"/>
    <m/>
    <n v="28800"/>
    <m/>
  </r>
  <r>
    <x v="188"/>
    <x v="1"/>
    <s v="MH14KR6472"/>
    <x v="37"/>
    <x v="122"/>
    <x v="0"/>
    <m/>
    <n v="22000"/>
    <m/>
  </r>
  <r>
    <x v="189"/>
    <x v="0"/>
    <s v="MH12TB5565"/>
    <x v="38"/>
    <x v="0"/>
    <x v="1"/>
    <s v="SALIM"/>
    <n v="14000"/>
    <s v="TUSHAR DEEPAK BODKE"/>
  </r>
  <r>
    <x v="190"/>
    <x v="0"/>
    <s v="MH12PF0426"/>
    <x v="39"/>
    <x v="0"/>
    <x v="1"/>
    <m/>
    <n v="45000"/>
    <s v="SUPRIYA GHULE"/>
  </r>
  <r>
    <x v="62"/>
    <x v="0"/>
    <s v="MH14GJ8265"/>
    <x v="39"/>
    <x v="0"/>
    <x v="1"/>
    <s v="SACHIN"/>
    <n v="110000"/>
    <s v="ASLAM FIDAMOHAMMAD KHAN"/>
  </r>
  <r>
    <x v="12"/>
    <x v="0"/>
    <s v="MH12TB7312"/>
    <x v="39"/>
    <x v="0"/>
    <x v="1"/>
    <m/>
    <n v="108000"/>
    <s v="ATHARVA AJIT DALVI "/>
  </r>
  <r>
    <x v="107"/>
    <x v="0"/>
    <s v="MH14JK3681"/>
    <x v="39"/>
    <x v="0"/>
    <x v="1"/>
    <s v="SACHIN"/>
    <n v="23000"/>
    <s v="AKHTARALI RUBABALI SAYYAD"/>
  </r>
  <r>
    <x v="108"/>
    <x v="0"/>
    <s v="MH12NG3874"/>
    <x v="39"/>
    <x v="0"/>
    <x v="1"/>
    <s v="HARSHAL"/>
    <n v="51000"/>
    <s v="ABHISHEK JAIN"/>
  </r>
  <r>
    <x v="101"/>
    <x v="1"/>
    <s v="MH37Y2105"/>
    <x v="39"/>
    <x v="0"/>
    <x v="2"/>
    <m/>
    <n v="27000"/>
    <s v="KUNAL LAL"/>
  </r>
  <r>
    <x v="52"/>
    <x v="1"/>
    <s v="MH14HH9604"/>
    <x v="39"/>
    <x v="0"/>
    <x v="2"/>
    <m/>
    <n v="30000"/>
    <s v="EAON VAIJNATH MOTIRAVE"/>
  </r>
  <r>
    <x v="53"/>
    <x v="1"/>
    <s v="MH12UP0554"/>
    <x v="39"/>
    <x v="0"/>
    <x v="1"/>
    <m/>
    <n v="21000"/>
    <s v="LEELA SHRIKANT JADHAV "/>
  </r>
  <r>
    <x v="54"/>
    <x v="1"/>
    <s v="MH12TW3074"/>
    <x v="39"/>
    <x v="0"/>
    <x v="1"/>
    <m/>
    <n v="15000"/>
    <s v="KASHINATH SATHE "/>
  </r>
  <r>
    <x v="4"/>
    <x v="1"/>
    <s v="MH14EN2014"/>
    <x v="39"/>
    <x v="0"/>
    <x v="1"/>
    <s v="SACHIN"/>
    <n v="24000"/>
    <s v="NILESH VIJAY GURHANE"/>
  </r>
  <r>
    <x v="115"/>
    <x v="0"/>
    <s v="MH12SP9842"/>
    <x v="40"/>
    <x v="0"/>
    <x v="0"/>
    <m/>
    <n v="31300"/>
    <m/>
  </r>
  <r>
    <x v="99"/>
    <x v="0"/>
    <s v="MH12RQ6261"/>
    <x v="41"/>
    <x v="0"/>
    <x v="0"/>
    <m/>
    <n v="40000"/>
    <m/>
  </r>
  <r>
    <x v="71"/>
    <x v="1"/>
    <s v="MH12RX5750"/>
    <x v="41"/>
    <x v="0"/>
    <x v="5"/>
    <m/>
    <n v="72000"/>
    <m/>
  </r>
  <r>
    <x v="66"/>
    <x v="1"/>
    <s v="MH12QK0118"/>
    <x v="41"/>
    <x v="0"/>
    <x v="5"/>
    <m/>
    <n v="45000"/>
    <m/>
  </r>
  <r>
    <x v="8"/>
    <x v="1"/>
    <s v="MH12UT5610"/>
    <x v="41"/>
    <x v="0"/>
    <x v="0"/>
    <m/>
    <n v="32000"/>
    <m/>
  </r>
  <r>
    <x v="106"/>
    <x v="0"/>
    <s v="MH14ES6327"/>
    <x v="42"/>
    <x v="0"/>
    <x v="1"/>
    <s v="SACHIN"/>
    <n v="88000"/>
    <s v="AMAR ANKUSH MANE"/>
  </r>
  <r>
    <x v="10"/>
    <x v="1"/>
    <s v="MH14CR5560"/>
    <x v="42"/>
    <x v="0"/>
    <x v="1"/>
    <s v="SACHIN"/>
    <n v="65000"/>
    <s v="ANUP ROKI"/>
  </r>
  <r>
    <x v="69"/>
    <x v="0"/>
    <s v="MH12SW9899"/>
    <x v="43"/>
    <x v="0"/>
    <x v="1"/>
    <s v="HARSHAL"/>
    <n v="130000"/>
    <s v="SUKRITI KUMAR "/>
  </r>
  <r>
    <x v="12"/>
    <x v="0"/>
    <s v="MH14JJ9213"/>
    <x v="43"/>
    <x v="0"/>
    <x v="1"/>
    <s v="HARSHAL"/>
    <n v="17000"/>
    <s v="VAISHNVI KSHATRIYA "/>
  </r>
  <r>
    <x v="17"/>
    <x v="1"/>
    <s v="MH12TF8362"/>
    <x v="43"/>
    <x v="123"/>
    <x v="1"/>
    <m/>
    <n v="33000"/>
    <m/>
  </r>
  <r>
    <x v="21"/>
    <x v="1"/>
    <s v="MH12RZ8288"/>
    <x v="43"/>
    <x v="123"/>
    <x v="3"/>
    <m/>
    <n v="40000"/>
    <m/>
  </r>
  <r>
    <x v="25"/>
    <x v="1"/>
    <s v="MH12RD4616"/>
    <x v="43"/>
    <x v="124"/>
    <x v="0"/>
    <m/>
    <n v="44000"/>
    <m/>
  </r>
  <r>
    <x v="191"/>
    <x v="1"/>
    <s v="MH12RD6165"/>
    <x v="43"/>
    <x v="124"/>
    <x v="0"/>
    <m/>
    <n v="51000"/>
    <m/>
  </r>
  <r>
    <x v="192"/>
    <x v="2"/>
    <s v="MH12SV9671"/>
    <x v="43"/>
    <x v="125"/>
    <x v="0"/>
    <m/>
    <n v="130000"/>
    <m/>
  </r>
  <r>
    <x v="93"/>
    <x v="2"/>
    <s v="MH12UE6205"/>
    <x v="43"/>
    <x v="123"/>
    <x v="1"/>
    <m/>
    <n v="50000"/>
    <m/>
  </r>
  <r>
    <x v="178"/>
    <x v="2"/>
    <s v="MH49W9734"/>
    <x v="43"/>
    <x v="124"/>
    <x v="1"/>
    <m/>
    <n v="36000"/>
    <m/>
  </r>
  <r>
    <x v="66"/>
    <x v="1"/>
    <s v="MH41AK0099"/>
    <x v="44"/>
    <x v="0"/>
    <x v="1"/>
    <s v="HARSHAL"/>
    <n v="25000"/>
    <s v="ASHOK PAWAR"/>
  </r>
  <r>
    <x v="56"/>
    <x v="0"/>
    <s v="MH14GK5212"/>
    <x v="45"/>
    <x v="0"/>
    <x v="1"/>
    <s v="SACHIN"/>
    <n v="32500"/>
    <s v="GANESH SOMAJI BHUTE"/>
  </r>
  <r>
    <x v="132"/>
    <x v="0"/>
    <s v="MH07AE2522"/>
    <x v="45"/>
    <x v="0"/>
    <x v="1"/>
    <s v="SACHIN"/>
    <n v="19700"/>
    <s v="ANURADHA BALKRUSHNA GAWADE"/>
  </r>
  <r>
    <x v="13"/>
    <x v="0"/>
    <s v="MH04HW7586"/>
    <x v="46"/>
    <x v="0"/>
    <x v="0"/>
    <s v="SACHIN"/>
    <n v="25000"/>
    <s v="KRANTI SONU LAMBOLE"/>
  </r>
  <r>
    <x v="193"/>
    <x v="0"/>
    <s v="MH12PV3516"/>
    <x v="46"/>
    <x v="0"/>
    <x v="2"/>
    <m/>
    <n v="60000"/>
    <s v="HARSH KAUSHIK"/>
  </r>
  <r>
    <x v="24"/>
    <x v="1"/>
    <s v="MH14FN6258"/>
    <x v="47"/>
    <x v="126"/>
    <x v="1"/>
    <m/>
    <n v="38000"/>
    <m/>
  </r>
  <r>
    <x v="12"/>
    <x v="0"/>
    <s v="MH12UT9889"/>
    <x v="48"/>
    <x v="0"/>
    <x v="1"/>
    <s v="HARSHAL"/>
    <n v="30000"/>
    <s v="RAMISH LALJI KESHARWANY"/>
  </r>
  <r>
    <x v="193"/>
    <x v="0"/>
    <s v="MH12VR7141"/>
    <x v="48"/>
    <x v="0"/>
    <x v="2"/>
    <m/>
    <n v="30000"/>
    <s v="NAITHOK JAMATIA"/>
  </r>
  <r>
    <x v="102"/>
    <x v="0"/>
    <s v="MH12UD5841"/>
    <x v="49"/>
    <x v="0"/>
    <x v="0"/>
    <m/>
    <n v="38000"/>
    <m/>
  </r>
  <r>
    <x v="49"/>
    <x v="0"/>
    <s v="MH14KY2801"/>
    <x v="49"/>
    <x v="0"/>
    <x v="4"/>
    <m/>
    <n v="14000"/>
    <m/>
  </r>
  <r>
    <x v="60"/>
    <x v="0"/>
    <s v="MH13ED7995"/>
    <x v="50"/>
    <x v="0"/>
    <x v="1"/>
    <m/>
    <n v="15400"/>
    <s v="TUSHAR DATTATRAY CHAVAN "/>
  </r>
  <r>
    <x v="132"/>
    <x v="0"/>
    <s v="MH14ET0697"/>
    <x v="51"/>
    <x v="0"/>
    <x v="1"/>
    <s v="SACHIN"/>
    <n v="9000"/>
    <s v="ASHISH UPADHYAY"/>
  </r>
  <r>
    <x v="194"/>
    <x v="0"/>
    <s v="MH14JD1926"/>
    <x v="52"/>
    <x v="0"/>
    <x v="2"/>
    <m/>
    <n v="50500"/>
    <s v="ISWARCHANDRA YADAV"/>
  </r>
  <r>
    <x v="47"/>
    <x v="0"/>
    <s v="MH14JS6743"/>
    <x v="52"/>
    <x v="0"/>
    <x v="2"/>
    <m/>
    <n v="90000"/>
    <s v="SABER SHEIKH"/>
  </r>
  <r>
    <x v="117"/>
    <x v="0"/>
    <s v="MH12PR3560"/>
    <x v="53"/>
    <x v="0"/>
    <x v="2"/>
    <m/>
    <n v="26500"/>
    <s v="DESHRAJ SINGH"/>
  </r>
  <r>
    <x v="9"/>
    <x v="1"/>
    <s v="MH14LF9999"/>
    <x v="54"/>
    <x v="0"/>
    <x v="2"/>
    <m/>
    <n v="25000"/>
    <s v="SOHEF SHARIFF"/>
  </r>
  <r>
    <x v="126"/>
    <x v="0"/>
    <s v="MH14CR0797"/>
    <x v="55"/>
    <x v="0"/>
    <x v="1"/>
    <s v="SACHIN"/>
    <n v="91000"/>
    <s v="RAMRAO DINKARRAO SHINDE"/>
  </r>
  <r>
    <x v="120"/>
    <x v="0"/>
    <s v="MH12GE2692"/>
    <x v="56"/>
    <x v="0"/>
    <x v="0"/>
    <m/>
    <n v="27000"/>
    <m/>
  </r>
  <r>
    <x v="137"/>
    <x v="1"/>
    <s v="MH12SM4290"/>
    <x v="57"/>
    <x v="127"/>
    <x v="1"/>
    <m/>
    <n v="26000"/>
    <m/>
  </r>
  <r>
    <x v="72"/>
    <x v="1"/>
    <s v="MH14JT2277"/>
    <x v="57"/>
    <x v="128"/>
    <x v="1"/>
    <m/>
    <n v="50000"/>
    <m/>
  </r>
  <r>
    <x v="20"/>
    <x v="1"/>
    <s v="MH14JS0411"/>
    <x v="57"/>
    <x v="129"/>
    <x v="1"/>
    <m/>
    <n v="65000"/>
    <m/>
  </r>
  <r>
    <x v="84"/>
    <x v="2"/>
    <s v="MH14JS1793"/>
    <x v="57"/>
    <x v="127"/>
    <x v="2"/>
    <m/>
    <n v="91300"/>
    <m/>
  </r>
  <r>
    <x v="31"/>
    <x v="2"/>
    <s v="MH14JF3772"/>
    <x v="57"/>
    <x v="127"/>
    <x v="1"/>
    <m/>
    <n v="26500"/>
    <m/>
  </r>
  <r>
    <x v="89"/>
    <x v="2"/>
    <s v="MH12QZ6656"/>
    <x v="57"/>
    <x v="130"/>
    <x v="0"/>
    <m/>
    <n v="78500"/>
    <m/>
  </r>
  <r>
    <x v="195"/>
    <x v="2"/>
    <s v="MH12QX1463"/>
    <x v="57"/>
    <x v="130"/>
    <x v="1"/>
    <m/>
    <n v="39000"/>
    <m/>
  </r>
  <r>
    <x v="192"/>
    <x v="2"/>
    <s v="MH12QD4034"/>
    <x v="57"/>
    <x v="131"/>
    <x v="2"/>
    <m/>
    <n v="26000"/>
    <m/>
  </r>
  <r>
    <x v="41"/>
    <x v="2"/>
    <s v="MH14FW8078"/>
    <x v="57"/>
    <x v="129"/>
    <x v="1"/>
    <m/>
    <n v="5000"/>
    <m/>
  </r>
  <r>
    <x v="41"/>
    <x v="2"/>
    <s v="MH14DZ7878"/>
    <x v="57"/>
    <x v="131"/>
    <x v="1"/>
    <m/>
    <n v="20000"/>
    <m/>
  </r>
  <r>
    <x v="177"/>
    <x v="2"/>
    <s v="MH12UD1993"/>
    <x v="57"/>
    <x v="132"/>
    <x v="1"/>
    <m/>
    <n v="34000"/>
    <m/>
  </r>
  <r>
    <x v="7"/>
    <x v="0"/>
    <s v="MH14FH9942"/>
    <x v="58"/>
    <x v="0"/>
    <x v="1"/>
    <m/>
    <n v="36000"/>
    <s v="SATISH NAGANATHAN IYER "/>
  </r>
  <r>
    <x v="102"/>
    <x v="0"/>
    <s v="MH12SR2011"/>
    <x v="58"/>
    <x v="0"/>
    <x v="1"/>
    <m/>
    <n v="37000"/>
    <s v="MR ANIKET DONGARE "/>
  </r>
  <r>
    <x v="101"/>
    <x v="1"/>
    <s v="MH12UD9863"/>
    <x v="58"/>
    <x v="0"/>
    <x v="1"/>
    <s v="HARSHAL"/>
    <n v="13500"/>
    <s v="SAMEER LAHU NIKAM "/>
  </r>
  <r>
    <x v="186"/>
    <x v="0"/>
    <s v="MH14CZ8021"/>
    <x v="59"/>
    <x v="0"/>
    <x v="2"/>
    <s v="SACHIN"/>
    <n v="44500"/>
    <s v="SURESH MANIKRAO MUNDE"/>
  </r>
  <r>
    <x v="13"/>
    <x v="0"/>
    <s v="MH12JW1304"/>
    <x v="59"/>
    <x v="0"/>
    <x v="1"/>
    <m/>
    <n v="13000"/>
    <s v="DEEPALI KURKUTE"/>
  </r>
  <r>
    <x v="196"/>
    <x v="0"/>
    <s v="MH12GE2647"/>
    <x v="59"/>
    <x v="0"/>
    <x v="1"/>
    <m/>
    <n v="21000"/>
    <s v="NARAYAN NAGAPPA RANE "/>
  </r>
  <r>
    <x v="109"/>
    <x v="0"/>
    <s v="MH14GM8061"/>
    <x v="59"/>
    <x v="0"/>
    <x v="1"/>
    <s v="SACHIN"/>
    <n v="42000"/>
    <s v="SANDEEP KISAN TAMBE"/>
  </r>
  <r>
    <x v="197"/>
    <x v="1"/>
    <s v="MH14JK1638"/>
    <x v="59"/>
    <x v="0"/>
    <x v="1"/>
    <s v="SACHIN"/>
    <n v="34300"/>
    <s v="PRAVIN GOSAVI"/>
  </r>
  <r>
    <x v="198"/>
    <x v="1"/>
    <s v="MH12KH0602"/>
    <x v="59"/>
    <x v="0"/>
    <x v="1"/>
    <s v="HARSHAL"/>
    <n v="38000"/>
    <s v="RODRICKS AROCKYASWAMY"/>
  </r>
  <r>
    <x v="104"/>
    <x v="1"/>
    <s v="MH12TF9994"/>
    <x v="59"/>
    <x v="0"/>
    <x v="1"/>
    <m/>
    <n v="57000"/>
    <s v="KIRAN UMAP"/>
  </r>
  <r>
    <x v="190"/>
    <x v="0"/>
    <s v="MH12LS4754"/>
    <x v="60"/>
    <x v="133"/>
    <x v="0"/>
    <m/>
    <n v="33000"/>
    <m/>
  </r>
  <r>
    <x v="61"/>
    <x v="0"/>
    <s v="MH15HV0843"/>
    <x v="60"/>
    <x v="133"/>
    <x v="2"/>
    <m/>
    <n v="22000"/>
    <s v="SUNANDA PARDESHI"/>
  </r>
  <r>
    <x v="61"/>
    <x v="0"/>
    <s v="MH26BZ1248"/>
    <x v="60"/>
    <x v="133"/>
    <x v="2"/>
    <m/>
    <n v="23000"/>
    <s v="SANTOSH DESHPANDE"/>
  </r>
  <r>
    <x v="4"/>
    <x v="1"/>
    <s v="MH12TJ8862"/>
    <x v="60"/>
    <x v="133"/>
    <x v="1"/>
    <s v="HARSHAL"/>
    <n v="51000"/>
    <m/>
  </r>
  <r>
    <x v="63"/>
    <x v="0"/>
    <s v="MH14EN8627"/>
    <x v="61"/>
    <x v="0"/>
    <x v="1"/>
    <s v="SACHIN"/>
    <n v="21000"/>
    <s v="DATTATRAY VIDHOBA SHINDE"/>
  </r>
  <r>
    <x v="105"/>
    <x v="0"/>
    <s v="MH12KM1169"/>
    <x v="62"/>
    <x v="0"/>
    <x v="2"/>
    <s v="SACHIN"/>
    <n v="111000"/>
    <s v="NISAR AHMAD ABBAS SHAIKH"/>
  </r>
  <r>
    <x v="8"/>
    <x v="1"/>
    <s v="MH15GW5597"/>
    <x v="63"/>
    <x v="0"/>
    <x v="3"/>
    <m/>
    <n v="36000"/>
    <m/>
  </r>
  <r>
    <x v="4"/>
    <x v="1"/>
    <s v="MH12TQ0079"/>
    <x v="64"/>
    <x v="0"/>
    <x v="0"/>
    <m/>
    <n v="30000"/>
    <m/>
  </r>
  <r>
    <x v="193"/>
    <x v="0"/>
    <s v="MH14JZ5038"/>
    <x v="65"/>
    <x v="0"/>
    <x v="2"/>
    <m/>
    <n v="81000"/>
    <s v="RAJENDRA PAKNIKAR"/>
  </r>
  <r>
    <x v="199"/>
    <x v="0"/>
    <s v="MH13CF5733"/>
    <x v="66"/>
    <x v="0"/>
    <x v="3"/>
    <m/>
    <n v="200000"/>
    <m/>
  </r>
  <r>
    <x v="112"/>
    <x v="1"/>
    <s v="MH12SR1991"/>
    <x v="66"/>
    <x v="0"/>
    <x v="0"/>
    <m/>
    <n v="28500"/>
    <m/>
  </r>
  <r>
    <x v="56"/>
    <x v="0"/>
    <s v="MH14HT0571"/>
    <x v="67"/>
    <x v="0"/>
    <x v="0"/>
    <m/>
    <n v="22000"/>
    <m/>
  </r>
  <r>
    <x v="200"/>
    <x v="0"/>
    <s v="MH12TB4845"/>
    <x v="68"/>
    <x v="134"/>
    <x v="1"/>
    <s v="HARSHAL"/>
    <n v="41500"/>
    <s v="SAHIL KADAM "/>
  </r>
  <r>
    <x v="46"/>
    <x v="0"/>
    <s v="MH12UD2292"/>
    <x v="68"/>
    <x v="135"/>
    <x v="1"/>
    <s v="HARSHAL"/>
    <n v="37000"/>
    <s v="Ankush Prabhakarrao Shivankar"/>
  </r>
  <r>
    <x v="123"/>
    <x v="0"/>
    <s v="MH12VE0785"/>
    <x v="68"/>
    <x v="135"/>
    <x v="1"/>
    <s v="HARSHAL"/>
    <n v="23000"/>
    <s v="VIPUL VIJAY BAGDE"/>
  </r>
  <r>
    <x v="4"/>
    <x v="1"/>
    <s v="MH12NC8404"/>
    <x v="68"/>
    <x v="135"/>
    <x v="1"/>
    <m/>
    <n v="108000"/>
    <s v="MOIZ D RATLAMWALA"/>
  </r>
  <r>
    <x v="49"/>
    <x v="0"/>
    <s v="MH12SN7686"/>
    <x v="68"/>
    <x v="136"/>
    <x v="5"/>
    <m/>
    <n v="27500"/>
    <m/>
  </r>
  <r>
    <x v="111"/>
    <x v="1"/>
    <s v="MH06BL9052"/>
    <x v="68"/>
    <x v="137"/>
    <x v="0"/>
    <m/>
    <n v="165000"/>
    <m/>
  </r>
  <r>
    <x v="201"/>
    <x v="1"/>
    <s v="MH12SC0912"/>
    <x v="68"/>
    <x v="138"/>
    <x v="3"/>
    <m/>
    <n v="163000"/>
    <m/>
  </r>
  <r>
    <x v="194"/>
    <x v="0"/>
    <s v="MH12QZ2731"/>
    <x v="68"/>
    <x v="139"/>
    <x v="0"/>
    <m/>
    <n v="57000"/>
    <m/>
  </r>
  <r>
    <x v="135"/>
    <x v="1"/>
    <s v="MH12LN6409"/>
    <x v="68"/>
    <x v="137"/>
    <x v="0"/>
    <m/>
    <n v="166000"/>
    <m/>
  </r>
  <r>
    <x v="202"/>
    <x v="1"/>
    <s v="MH14JK5260"/>
    <x v="68"/>
    <x v="136"/>
    <x v="1"/>
    <m/>
    <n v="5000"/>
    <m/>
  </r>
  <r>
    <x v="5"/>
    <x v="1"/>
    <s v="MH12MQ6123"/>
    <x v="68"/>
    <x v="137"/>
    <x v="0"/>
    <m/>
    <n v="25000"/>
    <m/>
  </r>
  <r>
    <x v="138"/>
    <x v="1"/>
    <s v="MH14JJ0841"/>
    <x v="68"/>
    <x v="140"/>
    <x v="2"/>
    <m/>
    <n v="61000"/>
    <m/>
  </r>
  <r>
    <x v="138"/>
    <x v="1"/>
    <s v="MH12NL7452"/>
    <x v="68"/>
    <x v="141"/>
    <x v="2"/>
    <m/>
    <n v="14000"/>
    <m/>
  </r>
  <r>
    <x v="141"/>
    <x v="1"/>
    <s v="MH12UX5807"/>
    <x v="68"/>
    <x v="142"/>
    <x v="1"/>
    <m/>
    <n v="19000"/>
    <m/>
  </r>
  <r>
    <x v="145"/>
    <x v="1"/>
    <s v="MH12UQ3385"/>
    <x v="68"/>
    <x v="143"/>
    <x v="0"/>
    <m/>
    <n v="45000"/>
    <m/>
  </r>
  <r>
    <x v="203"/>
    <x v="1"/>
    <s v="MH12VE3828"/>
    <x v="68"/>
    <x v="142"/>
    <x v="0"/>
    <m/>
    <n v="53000"/>
    <m/>
  </r>
  <r>
    <x v="148"/>
    <x v="1"/>
    <s v="MH12MX4405"/>
    <x v="68"/>
    <x v="137"/>
    <x v="1"/>
    <m/>
    <n v="72000"/>
    <m/>
  </r>
  <r>
    <x v="149"/>
    <x v="1"/>
    <s v="MH12WG3261"/>
    <x v="68"/>
    <x v="144"/>
    <x v="0"/>
    <m/>
    <n v="103500"/>
    <m/>
  </r>
  <r>
    <x v="24"/>
    <x v="1"/>
    <s v="MH14KL7753"/>
    <x v="68"/>
    <x v="145"/>
    <x v="1"/>
    <m/>
    <n v="19500"/>
    <m/>
  </r>
  <r>
    <x v="24"/>
    <x v="1"/>
    <s v="MH16DB1091"/>
    <x v="68"/>
    <x v="142"/>
    <x v="0"/>
    <m/>
    <n v="100000"/>
    <m/>
  </r>
  <r>
    <x v="153"/>
    <x v="1"/>
    <s v="MH12NG3597"/>
    <x v="68"/>
    <x v="144"/>
    <x v="0"/>
    <m/>
    <n v="16000"/>
    <m/>
  </r>
  <r>
    <x v="80"/>
    <x v="1"/>
    <s v="MH14HF5029"/>
    <x v="68"/>
    <x v="144"/>
    <x v="0"/>
    <m/>
    <n v="29000"/>
    <m/>
  </r>
  <r>
    <x v="82"/>
    <x v="1"/>
    <s v="MH11BG6000"/>
    <x v="68"/>
    <x v="137"/>
    <x v="0"/>
    <m/>
    <n v="15000"/>
    <m/>
  </r>
  <r>
    <x v="30"/>
    <x v="2"/>
    <s v="MH12SM5184"/>
    <x v="68"/>
    <x v="136"/>
    <x v="1"/>
    <m/>
    <n v="35000"/>
    <m/>
  </r>
  <r>
    <x v="30"/>
    <x v="2"/>
    <s v="MH12WB8373"/>
    <x v="68"/>
    <x v="137"/>
    <x v="0"/>
    <m/>
    <n v="22500"/>
    <m/>
  </r>
  <r>
    <x v="33"/>
    <x v="2"/>
    <s v="MH12UT4818"/>
    <x v="68"/>
    <x v="145"/>
    <x v="2"/>
    <m/>
    <n v="44500"/>
    <m/>
  </r>
  <r>
    <x v="204"/>
    <x v="2"/>
    <s v="MH12LX2287"/>
    <x v="68"/>
    <x v="137"/>
    <x v="1"/>
    <m/>
    <n v="70000"/>
    <m/>
  </r>
  <r>
    <x v="88"/>
    <x v="2"/>
    <s v="MH14LH1105"/>
    <x v="68"/>
    <x v="146"/>
    <x v="1"/>
    <m/>
    <n v="193000"/>
    <m/>
  </r>
  <r>
    <x v="205"/>
    <x v="2"/>
    <s v="MH12PK4959"/>
    <x v="68"/>
    <x v="137"/>
    <x v="2"/>
    <m/>
    <n v="20600"/>
    <m/>
  </r>
  <r>
    <x v="205"/>
    <x v="2"/>
    <s v="MH12VK7731"/>
    <x v="68"/>
    <x v="142"/>
    <x v="1"/>
    <m/>
    <n v="15000"/>
    <m/>
  </r>
  <r>
    <x v="34"/>
    <x v="2"/>
    <s v="MH12LB0198"/>
    <x v="68"/>
    <x v="137"/>
    <x v="1"/>
    <m/>
    <n v="70000"/>
    <m/>
  </r>
  <r>
    <x v="36"/>
    <x v="2"/>
    <s v="MH14EK6840"/>
    <x v="68"/>
    <x v="147"/>
    <x v="1"/>
    <m/>
    <n v="13500"/>
    <m/>
  </r>
  <r>
    <x v="206"/>
    <x v="2"/>
    <s v="MH14KC4904"/>
    <x v="68"/>
    <x v="138"/>
    <x v="2"/>
    <m/>
    <n v="40000"/>
    <m/>
  </r>
  <r>
    <x v="39"/>
    <x v="2"/>
    <s v="MH12TP4422"/>
    <x v="68"/>
    <x v="137"/>
    <x v="1"/>
    <m/>
    <n v="27000"/>
    <m/>
  </r>
  <r>
    <x v="207"/>
    <x v="2"/>
    <s v="MH28BR6131"/>
    <x v="68"/>
    <x v="148"/>
    <x v="2"/>
    <m/>
    <n v="155000"/>
    <m/>
  </r>
  <r>
    <x v="208"/>
    <x v="2"/>
    <s v="MH12QX5466"/>
    <x v="68"/>
    <x v="138"/>
    <x v="1"/>
    <m/>
    <n v="129500"/>
    <m/>
  </r>
  <r>
    <x v="178"/>
    <x v="2"/>
    <s v="MH31FK6720"/>
    <x v="68"/>
    <x v="138"/>
    <x v="1"/>
    <m/>
    <n v="22100"/>
    <m/>
  </r>
  <r>
    <x v="183"/>
    <x v="2"/>
    <s v="MH12DD1422"/>
    <x v="68"/>
    <x v="149"/>
    <x v="0"/>
    <m/>
    <n v="40500"/>
    <m/>
  </r>
  <r>
    <x v="185"/>
    <x v="2"/>
    <s v="MH12VH3859"/>
    <x v="68"/>
    <x v="150"/>
    <x v="1"/>
    <m/>
    <n v="135000"/>
    <m/>
  </r>
  <r>
    <x v="14"/>
    <x v="0"/>
    <s v="MH14DD6502"/>
    <x v="69"/>
    <x v="0"/>
    <x v="1"/>
    <s v="HARSHAL"/>
    <n v="35000"/>
    <s v="PANDHURANG RAMSHINGE "/>
  </r>
  <r>
    <x v="209"/>
    <x v="0"/>
    <s v="MH14KC6782"/>
    <x v="70"/>
    <x v="0"/>
    <x v="1"/>
    <s v="CHETAN"/>
    <n v="19000"/>
    <s v="NAMDEV JADHAV"/>
  </r>
  <r>
    <x v="12"/>
    <x v="0"/>
    <s v="MH12UK5648"/>
    <x v="71"/>
    <x v="0"/>
    <x v="0"/>
    <m/>
    <n v="40000"/>
    <m/>
  </r>
  <r>
    <x v="210"/>
    <x v="1"/>
    <s v="MH12WD9035"/>
    <x v="72"/>
    <x v="0"/>
    <x v="0"/>
    <m/>
    <n v="51000"/>
    <m/>
  </r>
  <r>
    <x v="198"/>
    <x v="1"/>
    <s v="MH12PY9808"/>
    <x v="73"/>
    <x v="151"/>
    <x v="1"/>
    <s v="HARSHAL"/>
    <n v="50000"/>
    <s v="SADHANA CHAUHAN"/>
  </r>
  <r>
    <x v="211"/>
    <x v="0"/>
    <s v="MH12JH4363"/>
    <x v="73"/>
    <x v="151"/>
    <x v="0"/>
    <m/>
    <n v="78000"/>
    <s v="KASHMIRA UTKARSH GANDHI"/>
  </r>
  <r>
    <x v="100"/>
    <x v="0"/>
    <s v="mh46m2976"/>
    <x v="73"/>
    <x v="151"/>
    <x v="2"/>
    <m/>
    <n v="72000"/>
    <s v="mukesh gupta"/>
  </r>
  <r>
    <x v="121"/>
    <x v="0"/>
    <s v="MH14DS8638"/>
    <x v="73"/>
    <x v="151"/>
    <x v="2"/>
    <m/>
    <n v="40000"/>
    <s v="ARCHANA MALAVADE"/>
  </r>
  <r>
    <x v="1"/>
    <x v="0"/>
    <s v="MH14GQ2577"/>
    <x v="73"/>
    <x v="152"/>
    <x v="1"/>
    <s v="SACHIN"/>
    <n v="149500"/>
    <s v="KALURAM DAMODAR BALGHARE"/>
  </r>
  <r>
    <x v="212"/>
    <x v="0"/>
    <s v="MH12QB1317"/>
    <x v="73"/>
    <x v="152"/>
    <x v="1"/>
    <s v="CHETAN "/>
    <n v="10000"/>
    <s v="SWAPNIL CHOUGULE "/>
  </r>
  <r>
    <x v="56"/>
    <x v="0"/>
    <s v="MH12JW4469"/>
    <x v="73"/>
    <x v="152"/>
    <x v="1"/>
    <s v="SACHIN"/>
    <n v="24000"/>
    <s v="MUSSART MOHAMED HUSSAIN BAIG"/>
  </r>
  <r>
    <x v="62"/>
    <x v="0"/>
    <s v="MH14EB6936"/>
    <x v="73"/>
    <x v="152"/>
    <x v="1"/>
    <s v="SACHIN"/>
    <n v="44000"/>
    <s v="PRADEEP RAVINDRA ASADKAR"/>
  </r>
  <r>
    <x v="14"/>
    <x v="0"/>
    <s v="MH12QZ6843"/>
    <x v="73"/>
    <x v="152"/>
    <x v="1"/>
    <m/>
    <n v="22500"/>
    <s v="SOHAIL ABDUL RAZZAQUR SHAIKH "/>
  </r>
  <r>
    <x v="107"/>
    <x v="0"/>
    <s v="MH14FF1195"/>
    <x v="73"/>
    <x v="152"/>
    <x v="1"/>
    <s v="SACHIN"/>
    <n v="172000"/>
    <s v="BHUSHAN HARISHCHANRA HINGMIRE"/>
  </r>
  <r>
    <x v="213"/>
    <x v="1"/>
    <s v="MH14DU4188"/>
    <x v="73"/>
    <x v="152"/>
    <x v="1"/>
    <s v="SACHIN"/>
    <n v="75000"/>
    <s v="MALLYA BHANDARI"/>
  </r>
  <r>
    <x v="213"/>
    <x v="1"/>
    <s v="MH12HJ7974"/>
    <x v="73"/>
    <x v="152"/>
    <x v="1"/>
    <s v="SACHIN"/>
    <n v="20000"/>
    <s v="SAGAR DESAI"/>
  </r>
  <r>
    <x v="54"/>
    <x v="1"/>
    <s v="MH12NZ0744"/>
    <x v="73"/>
    <x v="152"/>
    <x v="1"/>
    <m/>
    <n v="9100"/>
    <s v="RAJ KUMAR SUBBA"/>
  </r>
  <r>
    <x v="54"/>
    <x v="1"/>
    <s v="MH12TQ7773"/>
    <x v="73"/>
    <x v="152"/>
    <x v="1"/>
    <m/>
    <n v="34300"/>
    <s v="BHAICHANDRA KAMBLE"/>
  </r>
  <r>
    <x v="4"/>
    <x v="1"/>
    <s v="MH14DG1847"/>
    <x v="73"/>
    <x v="152"/>
    <x v="1"/>
    <s v="SACHIN"/>
    <n v="18000"/>
    <s v="JANHAVI JAYWANT BHOSALE"/>
  </r>
  <r>
    <x v="4"/>
    <x v="1"/>
    <s v="MH14DW9582"/>
    <x v="73"/>
    <x v="152"/>
    <x v="0"/>
    <m/>
    <n v="65000"/>
    <m/>
  </r>
  <r>
    <x v="214"/>
    <x v="1"/>
    <s v="MH14JZ7086"/>
    <x v="73"/>
    <x v="153"/>
    <x v="2"/>
    <m/>
    <n v="35300"/>
    <m/>
  </r>
  <r>
    <x v="140"/>
    <x v="1"/>
    <s v="MH14CZ6496"/>
    <x v="73"/>
    <x v="154"/>
    <x v="1"/>
    <m/>
    <n v="33500"/>
    <m/>
  </r>
  <r>
    <x v="140"/>
    <x v="1"/>
    <s v="MH12NR7790"/>
    <x v="73"/>
    <x v="154"/>
    <x v="1"/>
    <m/>
    <n v="24000"/>
    <m/>
  </r>
  <r>
    <x v="142"/>
    <x v="1"/>
    <s v="MH12HU6976"/>
    <x v="73"/>
    <x v="154"/>
    <x v="2"/>
    <m/>
    <n v="19000"/>
    <m/>
  </r>
  <r>
    <x v="215"/>
    <x v="1"/>
    <s v="MH12PE6107"/>
    <x v="73"/>
    <x v="154"/>
    <x v="3"/>
    <m/>
    <n v="70000"/>
    <m/>
  </r>
  <r>
    <x v="74"/>
    <x v="1"/>
    <s v="MH12PE7256"/>
    <x v="73"/>
    <x v="154"/>
    <x v="1"/>
    <m/>
    <n v="28000"/>
    <m/>
  </r>
  <r>
    <x v="77"/>
    <x v="1"/>
    <s v="MH13CL1345"/>
    <x v="73"/>
    <x v="154"/>
    <x v="1"/>
    <m/>
    <n v="55000"/>
    <m/>
  </r>
  <r>
    <x v="216"/>
    <x v="1"/>
    <s v="MH14JJ9141"/>
    <x v="73"/>
    <x v="155"/>
    <x v="1"/>
    <m/>
    <n v="14100"/>
    <m/>
  </r>
  <r>
    <x v="148"/>
    <x v="1"/>
    <s v="MH14LN5121"/>
    <x v="73"/>
    <x v="153"/>
    <x v="1"/>
    <m/>
    <n v="23000"/>
    <m/>
  </r>
  <r>
    <x v="148"/>
    <x v="1"/>
    <s v="MH12LB9594"/>
    <x v="73"/>
    <x v="156"/>
    <x v="1"/>
    <m/>
    <n v="17000"/>
    <m/>
  </r>
  <r>
    <x v="152"/>
    <x v="1"/>
    <s v="MH14EJ9571"/>
    <x v="73"/>
    <x v="154"/>
    <x v="1"/>
    <m/>
    <n v="60000"/>
    <m/>
  </r>
  <r>
    <x v="155"/>
    <x v="2"/>
    <s v="MH12NH2692"/>
    <x v="73"/>
    <x v="157"/>
    <x v="1"/>
    <m/>
    <n v="27000"/>
    <m/>
  </r>
  <r>
    <x v="85"/>
    <x v="2"/>
    <s v="MH12RD5754"/>
    <x v="73"/>
    <x v="154"/>
    <x v="0"/>
    <m/>
    <n v="14000"/>
    <m/>
  </r>
  <r>
    <x v="88"/>
    <x v="2"/>
    <s v="MH14DL3960"/>
    <x v="73"/>
    <x v="154"/>
    <x v="1"/>
    <m/>
    <n v="53500"/>
    <m/>
  </r>
  <r>
    <x v="217"/>
    <x v="2"/>
    <s v="MH12QV7022"/>
    <x v="73"/>
    <x v="154"/>
    <x v="1"/>
    <m/>
    <n v="67000"/>
    <m/>
  </r>
  <r>
    <x v="174"/>
    <x v="2"/>
    <s v="MH12JJ2077"/>
    <x v="73"/>
    <x v="154"/>
    <x v="2"/>
    <m/>
    <n v="10000"/>
    <m/>
  </r>
  <r>
    <x v="44"/>
    <x v="2"/>
    <s v="MH14DP4090"/>
    <x v="73"/>
    <x v="156"/>
    <x v="1"/>
    <m/>
    <n v="30000"/>
    <m/>
  </r>
  <r>
    <x v="184"/>
    <x v="2"/>
    <s v="MH12RD1016"/>
    <x v="73"/>
    <x v="158"/>
    <x v="2"/>
    <m/>
    <n v="38500"/>
    <m/>
  </r>
  <r>
    <x v="126"/>
    <x v="0"/>
    <s v="MH12HM292"/>
    <x v="74"/>
    <x v="0"/>
    <x v="1"/>
    <s v="SACHIN"/>
    <n v="33000"/>
    <s v="UMESH BALASAHEB PATIL"/>
  </r>
  <r>
    <x v="136"/>
    <x v="1"/>
    <s v="MH14HV5141"/>
    <x v="75"/>
    <x v="159"/>
    <x v="1"/>
    <m/>
    <n v="45500"/>
    <m/>
  </r>
  <r>
    <x v="218"/>
    <x v="1"/>
    <s v="MH14HJ9889"/>
    <x v="75"/>
    <x v="160"/>
    <x v="2"/>
    <m/>
    <n v="55000"/>
    <m/>
  </r>
  <r>
    <x v="218"/>
    <x v="1"/>
    <s v="MH12LB6639"/>
    <x v="75"/>
    <x v="161"/>
    <x v="1"/>
    <m/>
    <n v="40500"/>
    <m/>
  </r>
  <r>
    <x v="219"/>
    <x v="1"/>
    <s v="MH12VN7775"/>
    <x v="75"/>
    <x v="162"/>
    <x v="2"/>
    <m/>
    <n v="45000"/>
    <m/>
  </r>
  <r>
    <x v="16"/>
    <x v="1"/>
    <s v="MH13AW1572"/>
    <x v="75"/>
    <x v="161"/>
    <x v="1"/>
    <m/>
    <n v="8000"/>
    <m/>
  </r>
  <r>
    <x v="220"/>
    <x v="1"/>
    <s v="MH14GZ6212"/>
    <x v="75"/>
    <x v="163"/>
    <x v="2"/>
    <m/>
    <n v="15000"/>
    <m/>
  </r>
  <r>
    <x v="17"/>
    <x v="1"/>
    <s v="MH11BW0336"/>
    <x v="75"/>
    <x v="164"/>
    <x v="1"/>
    <m/>
    <n v="55500"/>
    <m/>
  </r>
  <r>
    <x v="138"/>
    <x v="1"/>
    <s v="MH12RQ6261"/>
    <x v="75"/>
    <x v="162"/>
    <x v="1"/>
    <m/>
    <n v="150000"/>
    <m/>
  </r>
  <r>
    <x v="139"/>
    <x v="1"/>
    <s v="MH12HX6703"/>
    <x v="75"/>
    <x v="165"/>
    <x v="1"/>
    <m/>
    <n v="35300"/>
    <m/>
  </r>
  <r>
    <x v="139"/>
    <x v="1"/>
    <s v="MH12PK9847"/>
    <x v="75"/>
    <x v="160"/>
    <x v="0"/>
    <m/>
    <n v="25000"/>
    <m/>
  </r>
  <r>
    <x v="139"/>
    <x v="1"/>
    <s v="MH12VJ8832"/>
    <x v="75"/>
    <x v="166"/>
    <x v="1"/>
    <m/>
    <n v="63000"/>
    <m/>
  </r>
  <r>
    <x v="140"/>
    <x v="1"/>
    <s v="MH12FX1246"/>
    <x v="75"/>
    <x v="161"/>
    <x v="1"/>
    <m/>
    <n v="8800"/>
    <m/>
  </r>
  <r>
    <x v="142"/>
    <x v="1"/>
    <s v="MH14HR7910"/>
    <x v="75"/>
    <x v="167"/>
    <x v="1"/>
    <m/>
    <n v="26000"/>
    <m/>
  </r>
  <r>
    <x v="143"/>
    <x v="1"/>
    <s v="MH14FY9904"/>
    <x v="75"/>
    <x v="160"/>
    <x v="1"/>
    <m/>
    <n v="45000"/>
    <m/>
  </r>
  <r>
    <x v="144"/>
    <x v="1"/>
    <s v="MH14HJ8495"/>
    <x v="75"/>
    <x v="165"/>
    <x v="1"/>
    <m/>
    <n v="33000"/>
    <m/>
  </r>
  <r>
    <x v="20"/>
    <x v="1"/>
    <s v="MH12QH9945"/>
    <x v="75"/>
    <x v="168"/>
    <x v="1"/>
    <m/>
    <n v="64000"/>
    <m/>
  </r>
  <r>
    <x v="20"/>
    <x v="1"/>
    <s v="MH14JD1757"/>
    <x v="75"/>
    <x v="162"/>
    <x v="2"/>
    <m/>
    <n v="43300"/>
    <m/>
  </r>
  <r>
    <x v="21"/>
    <x v="1"/>
    <s v="MH12NR0423"/>
    <x v="75"/>
    <x v="160"/>
    <x v="1"/>
    <m/>
    <n v="159500"/>
    <m/>
  </r>
  <r>
    <x v="146"/>
    <x v="1"/>
    <s v="MH12QZ4802"/>
    <x v="75"/>
    <x v="162"/>
    <x v="1"/>
    <m/>
    <n v="72000"/>
    <m/>
  </r>
  <r>
    <x v="23"/>
    <x v="1"/>
    <s v="MH12QL5872"/>
    <x v="75"/>
    <x v="169"/>
    <x v="0"/>
    <m/>
    <n v="39000"/>
    <m/>
  </r>
  <r>
    <x v="24"/>
    <x v="1"/>
    <s v="MH12RU5344"/>
    <x v="75"/>
    <x v="163"/>
    <x v="3"/>
    <m/>
    <n v="70000"/>
    <m/>
  </r>
  <r>
    <x v="79"/>
    <x v="1"/>
    <s v="MH12QZ2139"/>
    <x v="75"/>
    <x v="167"/>
    <x v="2"/>
    <m/>
    <n v="6000"/>
    <m/>
  </r>
  <r>
    <x v="150"/>
    <x v="1"/>
    <s v="MH14HJ3166"/>
    <x v="75"/>
    <x v="162"/>
    <x v="1"/>
    <m/>
    <n v="65000"/>
    <m/>
  </r>
  <r>
    <x v="221"/>
    <x v="1"/>
    <s v="MH14KP2582"/>
    <x v="75"/>
    <x v="170"/>
    <x v="2"/>
    <m/>
    <n v="30000"/>
    <m/>
  </r>
  <r>
    <x v="191"/>
    <x v="1"/>
    <s v="MH12HP3841"/>
    <x v="75"/>
    <x v="161"/>
    <x v="0"/>
    <m/>
    <n v="28000"/>
    <m/>
  </r>
  <r>
    <x v="29"/>
    <x v="1"/>
    <s v="MH12UP3324"/>
    <x v="75"/>
    <x v="171"/>
    <x v="0"/>
    <m/>
    <n v="47000"/>
    <m/>
  </r>
  <r>
    <x v="222"/>
    <x v="2"/>
    <s v="MH14HF9813"/>
    <x v="75"/>
    <x v="169"/>
    <x v="1"/>
    <m/>
    <n v="5800"/>
    <m/>
  </r>
  <r>
    <x v="223"/>
    <x v="2"/>
    <s v="MH12TF3803"/>
    <x v="75"/>
    <x v="169"/>
    <x v="1"/>
    <m/>
    <n v="31000"/>
    <m/>
  </r>
  <r>
    <x v="223"/>
    <x v="2"/>
    <s v="MH12NR2585"/>
    <x v="75"/>
    <x v="160"/>
    <x v="0"/>
    <m/>
    <n v="41000"/>
    <m/>
  </r>
  <r>
    <x v="31"/>
    <x v="2"/>
    <s v="MH14FA7605"/>
    <x v="75"/>
    <x v="160"/>
    <x v="1"/>
    <m/>
    <n v="46000"/>
    <m/>
  </r>
  <r>
    <x v="224"/>
    <x v="2"/>
    <s v="MH12TZ5423"/>
    <x v="75"/>
    <x v="167"/>
    <x v="0"/>
    <m/>
    <n v="37300"/>
    <m/>
  </r>
  <r>
    <x v="156"/>
    <x v="2"/>
    <s v="MH12TQ8522"/>
    <x v="75"/>
    <x v="160"/>
    <x v="1"/>
    <m/>
    <n v="47000"/>
    <m/>
  </r>
  <r>
    <x v="157"/>
    <x v="2"/>
    <s v="MH12NT8673"/>
    <x v="75"/>
    <x v="167"/>
    <x v="0"/>
    <m/>
    <n v="34000"/>
    <m/>
  </r>
  <r>
    <x v="86"/>
    <x v="2"/>
    <s v="MH14GF0048"/>
    <x v="75"/>
    <x v="160"/>
    <x v="1"/>
    <m/>
    <n v="40000"/>
    <m/>
  </r>
  <r>
    <x v="33"/>
    <x v="2"/>
    <s v="MH12GY5351"/>
    <x v="75"/>
    <x v="172"/>
    <x v="1"/>
    <m/>
    <n v="12000"/>
    <m/>
  </r>
  <r>
    <x v="33"/>
    <x v="2"/>
    <s v="MH14CB0763"/>
    <x v="75"/>
    <x v="172"/>
    <x v="1"/>
    <m/>
    <n v="25000"/>
    <m/>
  </r>
  <r>
    <x v="158"/>
    <x v="2"/>
    <s v="MH14EJ3985"/>
    <x v="75"/>
    <x v="161"/>
    <x v="1"/>
    <m/>
    <n v="29000"/>
    <m/>
  </r>
  <r>
    <x v="87"/>
    <x v="2"/>
    <s v="MH14DU8823"/>
    <x v="75"/>
    <x v="165"/>
    <x v="1"/>
    <m/>
    <n v="13000"/>
    <m/>
  </r>
  <r>
    <x v="87"/>
    <x v="2"/>
    <s v="MH01DJ6701"/>
    <x v="75"/>
    <x v="163"/>
    <x v="0"/>
    <m/>
    <n v="35000"/>
    <m/>
  </r>
  <r>
    <x v="87"/>
    <x v="2"/>
    <s v="MH12QH6354"/>
    <x v="75"/>
    <x v="161"/>
    <x v="1"/>
    <m/>
    <n v="22000"/>
    <m/>
  </r>
  <r>
    <x v="87"/>
    <x v="2"/>
    <s v="MH14GT8176"/>
    <x v="75"/>
    <x v="173"/>
    <x v="2"/>
    <m/>
    <n v="41000"/>
    <m/>
  </r>
  <r>
    <x v="87"/>
    <x v="2"/>
    <s v="MH14FU3450"/>
    <x v="75"/>
    <x v="160"/>
    <x v="0"/>
    <m/>
    <n v="15000"/>
    <m/>
  </r>
  <r>
    <x v="161"/>
    <x v="2"/>
    <s v="MH12GG1022"/>
    <x v="75"/>
    <x v="164"/>
    <x v="1"/>
    <m/>
    <n v="46500"/>
    <m/>
  </r>
  <r>
    <x v="225"/>
    <x v="2"/>
    <s v="MH12RS3702"/>
    <x v="75"/>
    <x v="174"/>
    <x v="1"/>
    <m/>
    <n v="35000"/>
    <m/>
  </r>
  <r>
    <x v="162"/>
    <x v="2"/>
    <s v="MH12SR5178"/>
    <x v="75"/>
    <x v="174"/>
    <x v="1"/>
    <m/>
    <n v="5800"/>
    <m/>
  </r>
  <r>
    <x v="162"/>
    <x v="2"/>
    <s v="MH12MG4825"/>
    <x v="75"/>
    <x v="175"/>
    <x v="2"/>
    <m/>
    <n v="52000"/>
    <m/>
  </r>
  <r>
    <x v="88"/>
    <x v="2"/>
    <s v="MH14FA1517"/>
    <x v="75"/>
    <x v="160"/>
    <x v="1"/>
    <m/>
    <n v="23800"/>
    <m/>
  </r>
  <r>
    <x v="91"/>
    <x v="2"/>
    <s v="MH05CT8650"/>
    <x v="75"/>
    <x v="160"/>
    <x v="2"/>
    <m/>
    <n v="58000"/>
    <m/>
  </r>
  <r>
    <x v="91"/>
    <x v="2"/>
    <s v="MH12UQ1149"/>
    <x v="75"/>
    <x v="166"/>
    <x v="0"/>
    <m/>
    <n v="27000"/>
    <m/>
  </r>
  <r>
    <x v="92"/>
    <x v="2"/>
    <s v="MH12ST4741"/>
    <x v="75"/>
    <x v="176"/>
    <x v="1"/>
    <m/>
    <n v="18500"/>
    <m/>
  </r>
  <r>
    <x v="92"/>
    <x v="2"/>
    <s v="MH14GE2514"/>
    <x v="75"/>
    <x v="161"/>
    <x v="1"/>
    <m/>
    <n v="35000"/>
    <m/>
  </r>
  <r>
    <x v="92"/>
    <x v="2"/>
    <s v="MH14ED1575"/>
    <x v="75"/>
    <x v="160"/>
    <x v="1"/>
    <m/>
    <n v="58000"/>
    <m/>
  </r>
  <r>
    <x v="36"/>
    <x v="2"/>
    <s v="MH14JV9288"/>
    <x v="75"/>
    <x v="177"/>
    <x v="1"/>
    <m/>
    <n v="28000"/>
    <m/>
  </r>
  <r>
    <x v="36"/>
    <x v="2"/>
    <s v="MH14EZ6023"/>
    <x v="75"/>
    <x v="160"/>
    <x v="1"/>
    <m/>
    <n v="65000"/>
    <m/>
  </r>
  <r>
    <x v="37"/>
    <x v="2"/>
    <s v="MH12RU6287"/>
    <x v="75"/>
    <x v="178"/>
    <x v="1"/>
    <m/>
    <n v="51000"/>
    <m/>
  </r>
  <r>
    <x v="39"/>
    <x v="2"/>
    <s v="MH14GQ7806"/>
    <x v="75"/>
    <x v="160"/>
    <x v="1"/>
    <m/>
    <n v="15000"/>
    <m/>
  </r>
  <r>
    <x v="170"/>
    <x v="2"/>
    <s v="MH14HX3527"/>
    <x v="75"/>
    <x v="162"/>
    <x v="1"/>
    <m/>
    <n v="44000"/>
    <m/>
  </r>
  <r>
    <x v="171"/>
    <x v="2"/>
    <s v="MH31FJ9468"/>
    <x v="75"/>
    <x v="161"/>
    <x v="1"/>
    <m/>
    <n v="25000"/>
    <m/>
  </r>
  <r>
    <x v="41"/>
    <x v="2"/>
    <s v="MH12VP3881"/>
    <x v="75"/>
    <x v="179"/>
    <x v="1"/>
    <m/>
    <n v="25000"/>
    <m/>
  </r>
  <r>
    <x v="96"/>
    <x v="2"/>
    <s v="MH12PP4965"/>
    <x v="75"/>
    <x v="173"/>
    <x v="1"/>
    <m/>
    <n v="34500"/>
    <m/>
  </r>
  <r>
    <x v="42"/>
    <x v="2"/>
    <s v="MH14DV3152"/>
    <x v="75"/>
    <x v="161"/>
    <x v="1"/>
    <m/>
    <n v="17500"/>
    <m/>
  </r>
  <r>
    <x v="42"/>
    <x v="2"/>
    <s v="MH14LV1478"/>
    <x v="75"/>
    <x v="166"/>
    <x v="0"/>
    <m/>
    <n v="80000"/>
    <m/>
  </r>
  <r>
    <x v="42"/>
    <x v="2"/>
    <s v="MH12PE3690"/>
    <x v="75"/>
    <x v="160"/>
    <x v="0"/>
    <m/>
    <n v="39100"/>
    <m/>
  </r>
  <r>
    <x v="176"/>
    <x v="2"/>
    <s v="MH12PG6154"/>
    <x v="75"/>
    <x v="171"/>
    <x v="1"/>
    <m/>
    <n v="32500"/>
    <m/>
  </r>
  <r>
    <x v="177"/>
    <x v="2"/>
    <s v="MH12PU7564"/>
    <x v="75"/>
    <x v="161"/>
    <x v="0"/>
    <m/>
    <n v="22000"/>
    <m/>
  </r>
  <r>
    <x v="178"/>
    <x v="2"/>
    <s v="MH12MT2906"/>
    <x v="75"/>
    <x v="160"/>
    <x v="1"/>
    <m/>
    <n v="14560"/>
    <m/>
  </r>
  <r>
    <x v="226"/>
    <x v="2"/>
    <s v="MH12PV5617"/>
    <x v="75"/>
    <x v="162"/>
    <x v="1"/>
    <m/>
    <n v="18000"/>
    <m/>
  </r>
  <r>
    <x v="227"/>
    <x v="2"/>
    <s v="MH12RC7802"/>
    <x v="75"/>
    <x v="180"/>
    <x v="1"/>
    <m/>
    <n v="125000"/>
    <m/>
  </r>
  <r>
    <x v="227"/>
    <x v="2"/>
    <s v="MH12LZ9857"/>
    <x v="75"/>
    <x v="160"/>
    <x v="0"/>
    <m/>
    <n v="4000"/>
    <m/>
  </r>
  <r>
    <x v="13"/>
    <x v="0"/>
    <s v="MH14FZ6221"/>
    <x v="76"/>
    <x v="0"/>
    <x v="0"/>
    <s v="SACHIN"/>
    <n v="20500"/>
    <s v="SANTOSH DATTATRAY BRAHMANKAR"/>
  </r>
  <r>
    <x v="211"/>
    <x v="0"/>
    <s v="MH14JC8605"/>
    <x v="76"/>
    <x v="0"/>
    <x v="1"/>
    <s v="SACHIN"/>
    <n v="36000"/>
    <s v="SHYAM MALLIKARJUN NEWALE"/>
  </r>
  <r>
    <x v="108"/>
    <x v="0"/>
    <s v="MH14FJ2561"/>
    <x v="76"/>
    <x v="0"/>
    <x v="1"/>
    <s v="SACHIN"/>
    <n v="25000"/>
    <s v="ROHAN SHAFI SHAIK"/>
  </r>
  <r>
    <x v="53"/>
    <x v="1"/>
    <s v="MH43AX9280"/>
    <x v="76"/>
    <x v="0"/>
    <x v="1"/>
    <s v="SACHIN"/>
    <n v="70000"/>
    <s v="SANGRAM SHANKAR DALVI"/>
  </r>
  <r>
    <x v="189"/>
    <x v="0"/>
    <s v="MH12VP2031"/>
    <x v="77"/>
    <x v="0"/>
    <x v="1"/>
    <m/>
    <n v="16000"/>
    <s v="MEENAL DEVRAJ SAPKALE "/>
  </r>
  <r>
    <x v="108"/>
    <x v="0"/>
    <s v="MH14FL5823"/>
    <x v="77"/>
    <x v="0"/>
    <x v="1"/>
    <s v="SACHIN"/>
    <n v="42000"/>
    <s v="VAISHALI SHRAVAN SONAWANE"/>
  </r>
  <r>
    <x v="118"/>
    <x v="0"/>
    <s v="MH12RD7700"/>
    <x v="78"/>
    <x v="0"/>
    <x v="1"/>
    <s v="HARSHAL"/>
    <n v="88000"/>
    <s v="ANISA SHAKIL BIJAPURE"/>
  </r>
  <r>
    <x v="59"/>
    <x v="1"/>
    <s v="MH42AU4969"/>
    <x v="79"/>
    <x v="0"/>
    <x v="1"/>
    <s v="SACHIN"/>
    <n v="90000"/>
    <s v="UDAY JADHAV"/>
  </r>
  <r>
    <x v="211"/>
    <x v="0"/>
    <s v="MH14HJ9267"/>
    <x v="80"/>
    <x v="0"/>
    <x v="1"/>
    <m/>
    <n v="30000"/>
    <s v="CHETANKUMAR BAMBORI"/>
  </r>
  <r>
    <x v="50"/>
    <x v="0"/>
    <s v="MH14CF4619"/>
    <x v="80"/>
    <x v="0"/>
    <x v="1"/>
    <s v="SACHIN"/>
    <n v="32000"/>
    <s v="SAVITA KISHOR NALEGAVE"/>
  </r>
  <r>
    <x v="9"/>
    <x v="1"/>
    <s v="MH14ER5111"/>
    <x v="80"/>
    <x v="0"/>
    <x v="1"/>
    <s v="SACHIN"/>
    <n v="185000"/>
    <s v="LATA UMESH ARGADE"/>
  </r>
  <r>
    <x v="4"/>
    <x v="1"/>
    <s v="MH12HP4686"/>
    <x v="81"/>
    <x v="0"/>
    <x v="1"/>
    <s v="SACHIN"/>
    <n v="135000"/>
    <s v="SUHAS SADASHIV PADVAL"/>
  </r>
  <r>
    <x v="65"/>
    <x v="0"/>
    <s v="MH14JK9132"/>
    <x v="60"/>
    <x v="181"/>
    <x v="0"/>
    <s v="SACHIN"/>
    <n v="28000"/>
    <s v="JAHANGIR NIJAM SHIKALGAR"/>
  </r>
  <r>
    <x v="210"/>
    <x v="1"/>
    <s v="MH14HP7046"/>
    <x v="60"/>
    <x v="181"/>
    <x v="2"/>
    <m/>
    <n v="33500"/>
    <s v="ABHI DESAI"/>
  </r>
  <r>
    <x v="50"/>
    <x v="0"/>
    <s v="MH12RR5841"/>
    <x v="60"/>
    <x v="182"/>
    <x v="1"/>
    <s v="HARSHAL"/>
    <n v="20000"/>
    <s v="SWAPNILNEMA "/>
  </r>
  <r>
    <x v="58"/>
    <x v="1"/>
    <s v="MH14JS3658"/>
    <x v="60"/>
    <x v="183"/>
    <x v="2"/>
    <m/>
    <n v="177000"/>
    <s v="PRABHU SAI KRISHNA B"/>
  </r>
  <r>
    <x v="202"/>
    <x v="1"/>
    <s v="MH12LQ8651"/>
    <x v="60"/>
    <x v="184"/>
    <x v="1"/>
    <m/>
    <n v="20000"/>
    <m/>
  </r>
  <r>
    <x v="139"/>
    <x v="1"/>
    <s v="MH04JZ7751"/>
    <x v="60"/>
    <x v="185"/>
    <x v="2"/>
    <m/>
    <n v="102000"/>
    <m/>
  </r>
  <r>
    <x v="140"/>
    <x v="1"/>
    <s v="MH14FP5982"/>
    <x v="60"/>
    <x v="186"/>
    <x v="1"/>
    <m/>
    <n v="38000"/>
    <m/>
  </r>
  <r>
    <x v="141"/>
    <x v="1"/>
    <s v="MH12TM6993"/>
    <x v="60"/>
    <x v="187"/>
    <x v="1"/>
    <m/>
    <n v="27200"/>
    <m/>
  </r>
  <r>
    <x v="76"/>
    <x v="1"/>
    <s v="MH12VJ1267"/>
    <x v="60"/>
    <x v="188"/>
    <x v="0"/>
    <m/>
    <n v="56000"/>
    <m/>
  </r>
  <r>
    <x v="76"/>
    <x v="1"/>
    <s v="MH46BS2584"/>
    <x v="60"/>
    <x v="189"/>
    <x v="2"/>
    <m/>
    <n v="41800"/>
    <m/>
  </r>
  <r>
    <x v="148"/>
    <x v="1"/>
    <s v="MH02CM1788"/>
    <x v="60"/>
    <x v="190"/>
    <x v="1"/>
    <m/>
    <n v="15000"/>
    <m/>
  </r>
  <r>
    <x v="78"/>
    <x v="1"/>
    <s v="MH12KD8592"/>
    <x v="60"/>
    <x v="191"/>
    <x v="1"/>
    <m/>
    <n v="22000"/>
    <m/>
  </r>
  <r>
    <x v="24"/>
    <x v="1"/>
    <s v="MH12RC2455"/>
    <x v="60"/>
    <x v="192"/>
    <x v="3"/>
    <m/>
    <n v="159500"/>
    <m/>
  </r>
  <r>
    <x v="80"/>
    <x v="1"/>
    <s v="MH12VP0753"/>
    <x v="60"/>
    <x v="193"/>
    <x v="1"/>
    <m/>
    <n v="70000"/>
    <m/>
  </r>
  <r>
    <x v="31"/>
    <x v="2"/>
    <s v="MH14EN9020"/>
    <x v="60"/>
    <x v="194"/>
    <x v="1"/>
    <m/>
    <n v="193000"/>
    <m/>
  </r>
  <r>
    <x v="31"/>
    <x v="2"/>
    <s v="MH14FU0575"/>
    <x v="60"/>
    <x v="186"/>
    <x v="1"/>
    <m/>
    <n v="23800"/>
    <m/>
  </r>
  <r>
    <x v="32"/>
    <x v="2"/>
    <s v="MH12UH7964"/>
    <x v="60"/>
    <x v="195"/>
    <x v="1"/>
    <m/>
    <n v="40000"/>
    <m/>
  </r>
  <r>
    <x v="155"/>
    <x v="2"/>
    <s v="MH12NQ7064"/>
    <x v="60"/>
    <x v="187"/>
    <x v="0"/>
    <m/>
    <n v="25000"/>
    <m/>
  </r>
  <r>
    <x v="162"/>
    <x v="2"/>
    <s v="MH12ST4995"/>
    <x v="60"/>
    <x v="188"/>
    <x v="1"/>
    <m/>
    <n v="29500"/>
    <m/>
  </r>
  <r>
    <x v="88"/>
    <x v="2"/>
    <s v="MH43AU5178"/>
    <x v="60"/>
    <x v="189"/>
    <x v="1"/>
    <m/>
    <n v="100000"/>
    <m/>
  </r>
  <r>
    <x v="90"/>
    <x v="2"/>
    <s v="MH12VD8436"/>
    <x v="60"/>
    <x v="188"/>
    <x v="0"/>
    <m/>
    <n v="35000"/>
    <m/>
  </r>
  <r>
    <x v="92"/>
    <x v="2"/>
    <s v="MH12LZ5799"/>
    <x v="60"/>
    <x v="186"/>
    <x v="1"/>
    <m/>
    <n v="30500"/>
    <m/>
  </r>
  <r>
    <x v="168"/>
    <x v="2"/>
    <s v="MH12QS9828"/>
    <x v="60"/>
    <x v="196"/>
    <x v="2"/>
    <m/>
    <n v="130000"/>
    <m/>
  </r>
  <r>
    <x v="207"/>
    <x v="2"/>
    <s v="MH12RJ6509"/>
    <x v="60"/>
    <x v="189"/>
    <x v="2"/>
    <m/>
    <n v="30000"/>
    <m/>
  </r>
  <r>
    <x v="40"/>
    <x v="2"/>
    <s v="MH18BP3399"/>
    <x v="60"/>
    <x v="187"/>
    <x v="1"/>
    <m/>
    <n v="15000"/>
    <m/>
  </r>
  <r>
    <x v="41"/>
    <x v="2"/>
    <s v="MH14FN4682"/>
    <x v="60"/>
    <x v="189"/>
    <x v="1"/>
    <m/>
    <n v="145000"/>
    <m/>
  </r>
  <r>
    <x v="42"/>
    <x v="2"/>
    <s v="MH14JK2055"/>
    <x v="60"/>
    <x v="189"/>
    <x v="2"/>
    <m/>
    <n v="20000"/>
    <m/>
  </r>
  <r>
    <x v="42"/>
    <x v="2"/>
    <s v="MH20FV0357"/>
    <x v="60"/>
    <x v="197"/>
    <x v="2"/>
    <m/>
    <n v="18000"/>
    <m/>
  </r>
  <r>
    <x v="175"/>
    <x v="2"/>
    <s v="MH19EJ3101"/>
    <x v="60"/>
    <x v="198"/>
    <x v="1"/>
    <m/>
    <n v="23000"/>
    <m/>
  </r>
  <r>
    <x v="44"/>
    <x v="2"/>
    <s v="MH12SN0305"/>
    <x v="60"/>
    <x v="196"/>
    <x v="1"/>
    <m/>
    <n v="29000"/>
    <m/>
  </r>
  <r>
    <x v="45"/>
    <x v="2"/>
    <s v="MH14JQ3742"/>
    <x v="60"/>
    <x v="199"/>
    <x v="2"/>
    <m/>
    <n v="80000"/>
    <m/>
  </r>
  <r>
    <x v="14"/>
    <x v="0"/>
    <s v="MH12SH8097"/>
    <x v="60"/>
    <x v="200"/>
    <x v="2"/>
    <m/>
    <n v="115000"/>
    <s v="OMKAR HAVALDAR"/>
  </r>
  <r>
    <x v="109"/>
    <x v="0"/>
    <s v="MH12TZ4889"/>
    <x v="60"/>
    <x v="201"/>
    <x v="1"/>
    <s v="HARSHAL"/>
    <n v="70000"/>
    <s v="SAGAR ANANDA MARATHE"/>
  </r>
  <r>
    <x v="102"/>
    <x v="0"/>
    <s v="MH47BC3782"/>
    <x v="60"/>
    <x v="202"/>
    <x v="2"/>
    <m/>
    <n v="100000"/>
    <s v="RAHUL KANOJIA"/>
  </r>
  <r>
    <x v="12"/>
    <x v="0"/>
    <s v="MH12UY0910"/>
    <x v="60"/>
    <x v="203"/>
    <x v="4"/>
    <m/>
    <n v="30000"/>
    <s v="Tushar Gorakshanath Satpute"/>
  </r>
  <r>
    <x v="196"/>
    <x v="0"/>
    <s v="MH12TQ6271"/>
    <x v="60"/>
    <x v="204"/>
    <x v="1"/>
    <m/>
    <n v="43000"/>
    <s v="ROHAN SHILRATN MANE "/>
  </r>
  <r>
    <x v="228"/>
    <x v="0"/>
    <s v="MH12QK1160"/>
    <x v="60"/>
    <x v="185"/>
    <x v="0"/>
    <m/>
    <n v="47000"/>
    <m/>
  </r>
  <r>
    <x v="229"/>
    <x v="1"/>
    <s v="MH14HN1158"/>
    <x v="60"/>
    <x v="185"/>
    <x v="4"/>
    <m/>
    <n v="190000"/>
    <m/>
  </r>
  <r>
    <x v="53"/>
    <x v="1"/>
    <s v="MH14JZ1979"/>
    <x v="60"/>
    <x v="185"/>
    <x v="1"/>
    <m/>
    <n v="58500"/>
    <s v="RAJESHWARI SUBHASHCHANDRAN NAIR "/>
  </r>
  <r>
    <x v="199"/>
    <x v="0"/>
    <s v="MH12JG9475"/>
    <x v="82"/>
    <x v="0"/>
    <x v="1"/>
    <m/>
    <n v="31000"/>
    <s v="VISHAL TEJRAO SAPKAL"/>
  </r>
  <r>
    <x v="120"/>
    <x v="0"/>
    <s v="MH12PM3180"/>
    <x v="82"/>
    <x v="0"/>
    <x v="1"/>
    <m/>
    <n v="15000"/>
    <s v="ANSH GUPTA"/>
  </r>
  <r>
    <x v="120"/>
    <x v="0"/>
    <s v="MH12WG1413"/>
    <x v="82"/>
    <x v="0"/>
    <x v="1"/>
    <m/>
    <n v="35000"/>
    <s v="AKSHAY MANE "/>
  </r>
  <r>
    <x v="70"/>
    <x v="0"/>
    <s v="MH14LN0259"/>
    <x v="82"/>
    <x v="0"/>
    <x v="1"/>
    <m/>
    <n v="15000"/>
    <s v="ABHISHEK RAMDAS AMBEKAR"/>
  </r>
  <r>
    <x v="10"/>
    <x v="1"/>
    <s v="MH14ET2485"/>
    <x v="82"/>
    <x v="0"/>
    <x v="1"/>
    <m/>
    <n v="18300"/>
    <s v="GARVIT AGARWAL"/>
  </r>
  <r>
    <x v="101"/>
    <x v="1"/>
    <s v="MH12LN1736"/>
    <x v="82"/>
    <x v="0"/>
    <x v="1"/>
    <m/>
    <n v="14000"/>
    <s v="JOSHI ASHUTOSH "/>
  </r>
  <r>
    <x v="101"/>
    <x v="1"/>
    <s v="MH14FJ7804"/>
    <x v="82"/>
    <x v="0"/>
    <x v="1"/>
    <m/>
    <n v="145000"/>
    <m/>
  </r>
  <r>
    <x v="15"/>
    <x v="1"/>
    <s v="MH12NT7784"/>
    <x v="82"/>
    <x v="0"/>
    <x v="1"/>
    <m/>
    <n v="65000"/>
    <s v="AJINKYA PURANDARE "/>
  </r>
  <r>
    <x v="15"/>
    <x v="1"/>
    <s v="MH12SR9007"/>
    <x v="82"/>
    <x v="0"/>
    <x v="1"/>
    <m/>
    <n v="70000"/>
    <s v="VIKAS RAVINDRA KALE"/>
  </r>
  <r>
    <x v="103"/>
    <x v="1"/>
    <s v="MH12SH1790"/>
    <x v="82"/>
    <x v="0"/>
    <x v="1"/>
    <m/>
    <n v="180000"/>
    <s v="VIBHAKAR SHRIKANT VAIDYA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D306F-51F7-4D0D-A72E-F312C6B76E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showAll="0"/>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0">
    <i>
      <x v="4"/>
    </i>
    <i>
      <x v="5"/>
    </i>
    <i>
      <x v="6"/>
    </i>
    <i>
      <x v="7"/>
    </i>
    <i>
      <x v="8"/>
    </i>
    <i>
      <x v="9"/>
    </i>
    <i>
      <x v="10"/>
    </i>
    <i>
      <x v="11"/>
    </i>
    <i>
      <x v="12"/>
    </i>
    <i t="grand">
      <x/>
    </i>
  </rowItems>
  <colItems count="1">
    <i/>
  </colItems>
  <dataFields count="1">
    <dataField name="Count of Purchase Location"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E09E80-21B8-429E-A42D-45F8BC01CD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14" firstHeaderRow="1" firstDataRow="2"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showAll="0"/>
    <pivotField showAll="0"/>
    <pivotField showAll="0"/>
    <pivotField showAll="0"/>
    <pivotField axis="axisCol" dataField="1" showAll="0">
      <items count="13">
        <item x="0"/>
        <item x="1"/>
        <item x="4"/>
        <item x="5"/>
        <item x="3"/>
        <item x="2"/>
        <item m="1" x="7"/>
        <item m="1" x="8"/>
        <item m="1" x="9"/>
        <item m="1" x="10"/>
        <item m="1" x="11"/>
        <item m="1" x="6"/>
        <item t="default"/>
      </items>
    </pivotField>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0"/>
  </rowFields>
  <rowItems count="10">
    <i>
      <x v="4"/>
    </i>
    <i>
      <x v="5"/>
    </i>
    <i>
      <x v="6"/>
    </i>
    <i>
      <x v="7"/>
    </i>
    <i>
      <x v="8"/>
    </i>
    <i>
      <x v="9"/>
    </i>
    <i>
      <x v="10"/>
    </i>
    <i>
      <x v="11"/>
    </i>
    <i>
      <x v="12"/>
    </i>
    <i t="grand">
      <x/>
    </i>
  </rowItems>
  <colFields count="1">
    <field x="5"/>
  </colFields>
  <colItems count="7">
    <i>
      <x/>
    </i>
    <i>
      <x v="1"/>
    </i>
    <i>
      <x v="2"/>
    </i>
    <i>
      <x v="3"/>
    </i>
    <i>
      <x v="4"/>
    </i>
    <i>
      <x v="5"/>
    </i>
    <i t="grand">
      <x/>
    </i>
  </colItems>
  <dataFields count="1">
    <dataField name="Count of Purchase Location" fld="5" subtotal="count" baseField="0" baseItem="0"/>
  </dataFields>
  <chartFormats count="11">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 chart="0" format="10" series="1">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273018-5EFC-4784-B37C-9CA8CD2A9E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14" firstHeaderRow="1" firstDataRow="2"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showAll="0"/>
    <pivotField showAll="0"/>
    <pivotField showAll="0"/>
    <pivotField showAll="0"/>
    <pivotField axis="axisCol" showAll="0">
      <items count="13">
        <item x="0"/>
        <item x="1"/>
        <item x="4"/>
        <item x="5"/>
        <item x="3"/>
        <item x="2"/>
        <item m="1" x="7"/>
        <item m="1" x="8"/>
        <item m="1" x="9"/>
        <item m="1" x="10"/>
        <item m="1" x="11"/>
        <item m="1" x="6"/>
        <item t="default"/>
      </items>
    </pivotField>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0"/>
  </rowFields>
  <rowItems count="10">
    <i>
      <x v="4"/>
    </i>
    <i>
      <x v="5"/>
    </i>
    <i>
      <x v="6"/>
    </i>
    <i>
      <x v="7"/>
    </i>
    <i>
      <x v="8"/>
    </i>
    <i>
      <x v="9"/>
    </i>
    <i>
      <x v="10"/>
    </i>
    <i>
      <x v="11"/>
    </i>
    <i>
      <x v="12"/>
    </i>
    <i t="grand">
      <x/>
    </i>
  </rowItems>
  <colFields count="1">
    <field x="5"/>
  </colFields>
  <colItems count="7">
    <i>
      <x/>
    </i>
    <i>
      <x v="1"/>
    </i>
    <i>
      <x v="2"/>
    </i>
    <i>
      <x v="3"/>
    </i>
    <i>
      <x v="4"/>
    </i>
    <i>
      <x v="5"/>
    </i>
    <i t="grand">
      <x/>
    </i>
  </colItems>
  <dataFields count="1">
    <dataField name="Sum of PURCHASE AMOUNT" fld="7" baseField="0" baseItem="0"/>
  </dataFields>
  <chartFormats count="12">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6"/>
          </reference>
        </references>
      </pivotArea>
    </chartFormat>
    <chartFormat chart="1" format="7" series="1">
      <pivotArea type="data" outline="0" fieldPosition="0">
        <references count="2">
          <reference field="4294967294" count="1" selected="0">
            <x v="0"/>
          </reference>
          <reference field="5" count="1" selected="0">
            <x v="7"/>
          </reference>
        </references>
      </pivotArea>
    </chartFormat>
    <chartFormat chart="1" format="8" series="1">
      <pivotArea type="data" outline="0" fieldPosition="0">
        <references count="2">
          <reference field="4294967294" count="1" selected="0">
            <x v="0"/>
          </reference>
          <reference field="5" count="1" selected="0">
            <x v="8"/>
          </reference>
        </references>
      </pivotArea>
    </chartFormat>
    <chartFormat chart="1" format="9" series="1">
      <pivotArea type="data" outline="0" fieldPosition="0">
        <references count="2">
          <reference field="4294967294" count="1" selected="0">
            <x v="0"/>
          </reference>
          <reference field="5" count="1" selected="0">
            <x v="9"/>
          </reference>
        </references>
      </pivotArea>
    </chartFormat>
    <chartFormat chart="1" format="10" series="1">
      <pivotArea type="data" outline="0" fieldPosition="0">
        <references count="2">
          <reference field="4294967294" count="1" selected="0">
            <x v="0"/>
          </reference>
          <reference field="5" count="1" selected="0">
            <x v="10"/>
          </reference>
        </references>
      </pivotArea>
    </chartFormat>
    <chartFormat chart="1" format="11"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96FD28-1F6B-40B3-9C20-A2229D0B0EF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H14" firstHeaderRow="1" firstDataRow="2"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showAll="0"/>
    <pivotField showAll="0"/>
    <pivotField showAll="0"/>
    <pivotField showAll="0"/>
    <pivotField axis="axisCol" showAll="0">
      <items count="13">
        <item x="0"/>
        <item x="1"/>
        <item x="4"/>
        <item x="5"/>
        <item x="3"/>
        <item x="2"/>
        <item m="1" x="7"/>
        <item m="1" x="8"/>
        <item m="1" x="9"/>
        <item m="1" x="10"/>
        <item m="1" x="11"/>
        <item m="1" x="6"/>
        <item t="default"/>
      </items>
    </pivotField>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0"/>
  </rowFields>
  <rowItems count="10">
    <i>
      <x v="4"/>
    </i>
    <i>
      <x v="5"/>
    </i>
    <i>
      <x v="6"/>
    </i>
    <i>
      <x v="7"/>
    </i>
    <i>
      <x v="8"/>
    </i>
    <i>
      <x v="9"/>
    </i>
    <i>
      <x v="10"/>
    </i>
    <i>
      <x v="11"/>
    </i>
    <i>
      <x v="12"/>
    </i>
    <i t="grand">
      <x/>
    </i>
  </rowItems>
  <colFields count="1">
    <field x="5"/>
  </colFields>
  <colItems count="7">
    <i>
      <x/>
    </i>
    <i>
      <x v="1"/>
    </i>
    <i>
      <x v="2"/>
    </i>
    <i>
      <x v="3"/>
    </i>
    <i>
      <x v="4"/>
    </i>
    <i>
      <x v="5"/>
    </i>
    <i t="grand">
      <x/>
    </i>
  </colItems>
  <dataFields count="1">
    <dataField name="Average of PURCHASE AMOUNT" fld="7" subtotal="average" baseField="9" baseItem="8" numFmtId="1"/>
  </dataFields>
  <chartFormats count="5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3">
          <reference field="4294967294" count="1" selected="0">
            <x v="0"/>
          </reference>
          <reference field="5" count="1" selected="0">
            <x v="0"/>
          </reference>
          <reference field="10" count="1" selected="0">
            <x v="10"/>
          </reference>
        </references>
      </pivotArea>
    </chartFormat>
    <chartFormat chart="0" format="7" series="1">
      <pivotArea type="data" outline="0" fieldPosition="0">
        <references count="3">
          <reference field="4294967294" count="1" selected="0">
            <x v="0"/>
          </reference>
          <reference field="5" count="1" selected="0">
            <x v="0"/>
          </reference>
          <reference field="10" count="1" selected="0">
            <x v="11"/>
          </reference>
        </references>
      </pivotArea>
    </chartFormat>
    <chartFormat chart="0" format="8" series="1">
      <pivotArea type="data" outline="0" fieldPosition="0">
        <references count="3">
          <reference field="4294967294" count="1" selected="0">
            <x v="0"/>
          </reference>
          <reference field="5" count="1" selected="0">
            <x v="0"/>
          </reference>
          <reference field="10" count="1" selected="0">
            <x v="12"/>
          </reference>
        </references>
      </pivotArea>
    </chartFormat>
    <chartFormat chart="0" format="9" series="1">
      <pivotArea type="data" outline="0" fieldPosition="0">
        <references count="3">
          <reference field="4294967294" count="1" selected="0">
            <x v="0"/>
          </reference>
          <reference field="5" count="1" selected="0">
            <x v="1"/>
          </reference>
          <reference field="10" count="1" selected="0">
            <x v="4"/>
          </reference>
        </references>
      </pivotArea>
    </chartFormat>
    <chartFormat chart="0" format="10" series="1">
      <pivotArea type="data" outline="0" fieldPosition="0">
        <references count="3">
          <reference field="4294967294" count="1" selected="0">
            <x v="0"/>
          </reference>
          <reference field="5" count="1" selected="0">
            <x v="1"/>
          </reference>
          <reference field="10" count="1" selected="0">
            <x v="5"/>
          </reference>
        </references>
      </pivotArea>
    </chartFormat>
    <chartFormat chart="0" format="11" series="1">
      <pivotArea type="data" outline="0" fieldPosition="0">
        <references count="3">
          <reference field="4294967294" count="1" selected="0">
            <x v="0"/>
          </reference>
          <reference field="5" count="1" selected="0">
            <x v="1"/>
          </reference>
          <reference field="10" count="1" selected="0">
            <x v="6"/>
          </reference>
        </references>
      </pivotArea>
    </chartFormat>
    <chartFormat chart="0" format="12" series="1">
      <pivotArea type="data" outline="0" fieldPosition="0">
        <references count="3">
          <reference field="4294967294" count="1" selected="0">
            <x v="0"/>
          </reference>
          <reference field="5" count="1" selected="0">
            <x v="1"/>
          </reference>
          <reference field="10" count="1" selected="0">
            <x v="7"/>
          </reference>
        </references>
      </pivotArea>
    </chartFormat>
    <chartFormat chart="0" format="13" series="1">
      <pivotArea type="data" outline="0" fieldPosition="0">
        <references count="3">
          <reference field="4294967294" count="1" selected="0">
            <x v="0"/>
          </reference>
          <reference field="5" count="1" selected="0">
            <x v="1"/>
          </reference>
          <reference field="10" count="1" selected="0">
            <x v="8"/>
          </reference>
        </references>
      </pivotArea>
    </chartFormat>
    <chartFormat chart="0" format="14" series="1">
      <pivotArea type="data" outline="0" fieldPosition="0">
        <references count="3">
          <reference field="4294967294" count="1" selected="0">
            <x v="0"/>
          </reference>
          <reference field="5" count="1" selected="0">
            <x v="1"/>
          </reference>
          <reference field="10" count="1" selected="0">
            <x v="9"/>
          </reference>
        </references>
      </pivotArea>
    </chartFormat>
    <chartFormat chart="0" format="15" series="1">
      <pivotArea type="data" outline="0" fieldPosition="0">
        <references count="3">
          <reference field="4294967294" count="1" selected="0">
            <x v="0"/>
          </reference>
          <reference field="5" count="1" selected="0">
            <x v="1"/>
          </reference>
          <reference field="10" count="1" selected="0">
            <x v="10"/>
          </reference>
        </references>
      </pivotArea>
    </chartFormat>
    <chartFormat chart="0" format="16" series="1">
      <pivotArea type="data" outline="0" fieldPosition="0">
        <references count="3">
          <reference field="4294967294" count="1" selected="0">
            <x v="0"/>
          </reference>
          <reference field="5" count="1" selected="0">
            <x v="1"/>
          </reference>
          <reference field="10" count="1" selected="0">
            <x v="11"/>
          </reference>
        </references>
      </pivotArea>
    </chartFormat>
    <chartFormat chart="0" format="17" series="1">
      <pivotArea type="data" outline="0" fieldPosition="0">
        <references count="3">
          <reference field="4294967294" count="1" selected="0">
            <x v="0"/>
          </reference>
          <reference field="5" count="1" selected="0">
            <x v="1"/>
          </reference>
          <reference field="10" count="1" selected="0">
            <x v="12"/>
          </reference>
        </references>
      </pivotArea>
    </chartFormat>
    <chartFormat chart="0" format="18" series="1">
      <pivotArea type="data" outline="0" fieldPosition="0">
        <references count="3">
          <reference field="4294967294" count="1" selected="0">
            <x v="0"/>
          </reference>
          <reference field="5" count="1" selected="0">
            <x v="2"/>
          </reference>
          <reference field="10" count="1" selected="0">
            <x v="5"/>
          </reference>
        </references>
      </pivotArea>
    </chartFormat>
    <chartFormat chart="0" format="19" series="1">
      <pivotArea type="data" outline="0" fieldPosition="0">
        <references count="3">
          <reference field="4294967294" count="1" selected="0">
            <x v="0"/>
          </reference>
          <reference field="5" count="1" selected="0">
            <x v="2"/>
          </reference>
          <reference field="10" count="1" selected="0">
            <x v="6"/>
          </reference>
        </references>
      </pivotArea>
    </chartFormat>
    <chartFormat chart="0" format="20" series="1">
      <pivotArea type="data" outline="0" fieldPosition="0">
        <references count="3">
          <reference field="4294967294" count="1" selected="0">
            <x v="0"/>
          </reference>
          <reference field="5" count="1" selected="0">
            <x v="2"/>
          </reference>
          <reference field="10" count="1" selected="0">
            <x v="7"/>
          </reference>
        </references>
      </pivotArea>
    </chartFormat>
    <chartFormat chart="0" format="21" series="1">
      <pivotArea type="data" outline="0" fieldPosition="0">
        <references count="3">
          <reference field="4294967294" count="1" selected="0">
            <x v="0"/>
          </reference>
          <reference field="5" count="1" selected="0">
            <x v="2"/>
          </reference>
          <reference field="10" count="1" selected="0">
            <x v="8"/>
          </reference>
        </references>
      </pivotArea>
    </chartFormat>
    <chartFormat chart="0" format="22" series="1">
      <pivotArea type="data" outline="0" fieldPosition="0">
        <references count="3">
          <reference field="4294967294" count="1" selected="0">
            <x v="0"/>
          </reference>
          <reference field="5" count="1" selected="0">
            <x v="3"/>
          </reference>
          <reference field="10" count="1" selected="0">
            <x v="6"/>
          </reference>
        </references>
      </pivotArea>
    </chartFormat>
    <chartFormat chart="0" format="23" series="1">
      <pivotArea type="data" outline="0" fieldPosition="0">
        <references count="3">
          <reference field="4294967294" count="1" selected="0">
            <x v="0"/>
          </reference>
          <reference field="5" count="1" selected="0">
            <x v="3"/>
          </reference>
          <reference field="10" count="1" selected="0">
            <x v="7"/>
          </reference>
        </references>
      </pivotArea>
    </chartFormat>
    <chartFormat chart="0" format="24" series="1">
      <pivotArea type="data" outline="0" fieldPosition="0">
        <references count="3">
          <reference field="4294967294" count="1" selected="0">
            <x v="0"/>
          </reference>
          <reference field="5" count="1" selected="0">
            <x v="3"/>
          </reference>
          <reference field="10" count="1" selected="0">
            <x v="8"/>
          </reference>
        </references>
      </pivotArea>
    </chartFormat>
    <chartFormat chart="0" format="25" series="1">
      <pivotArea type="data" outline="0" fieldPosition="0">
        <references count="3">
          <reference field="4294967294" count="1" selected="0">
            <x v="0"/>
          </reference>
          <reference field="5" count="1" selected="0">
            <x v="4"/>
          </reference>
          <reference field="10" count="1" selected="0">
            <x v="5"/>
          </reference>
        </references>
      </pivotArea>
    </chartFormat>
    <chartFormat chart="0" format="26" series="1">
      <pivotArea type="data" outline="0" fieldPosition="0">
        <references count="3">
          <reference field="4294967294" count="1" selected="0">
            <x v="0"/>
          </reference>
          <reference field="5" count="1" selected="0">
            <x v="4"/>
          </reference>
          <reference field="10" count="1" selected="0">
            <x v="6"/>
          </reference>
        </references>
      </pivotArea>
    </chartFormat>
    <chartFormat chart="0" format="27" series="1">
      <pivotArea type="data" outline="0" fieldPosition="0">
        <references count="3">
          <reference field="4294967294" count="1" selected="0">
            <x v="0"/>
          </reference>
          <reference field="5" count="1" selected="0">
            <x v="4"/>
          </reference>
          <reference field="10" count="1" selected="0">
            <x v="7"/>
          </reference>
        </references>
      </pivotArea>
    </chartFormat>
    <chartFormat chart="0" format="28" series="1">
      <pivotArea type="data" outline="0" fieldPosition="0">
        <references count="3">
          <reference field="4294967294" count="1" selected="0">
            <x v="0"/>
          </reference>
          <reference field="5" count="1" selected="0">
            <x v="4"/>
          </reference>
          <reference field="10" count="1" selected="0">
            <x v="8"/>
          </reference>
        </references>
      </pivotArea>
    </chartFormat>
    <chartFormat chart="0" format="29" series="1">
      <pivotArea type="data" outline="0" fieldPosition="0">
        <references count="3">
          <reference field="4294967294" count="1" selected="0">
            <x v="0"/>
          </reference>
          <reference field="5" count="1" selected="0">
            <x v="4"/>
          </reference>
          <reference field="10" count="1" selected="0">
            <x v="9"/>
          </reference>
        </references>
      </pivotArea>
    </chartFormat>
    <chartFormat chart="0" format="30" series="1">
      <pivotArea type="data" outline="0" fieldPosition="0">
        <references count="3">
          <reference field="4294967294" count="1" selected="0">
            <x v="0"/>
          </reference>
          <reference field="5" count="1" selected="0">
            <x v="5"/>
          </reference>
          <reference field="10" count="1" selected="0">
            <x v="4"/>
          </reference>
        </references>
      </pivotArea>
    </chartFormat>
    <chartFormat chart="0" format="31" series="1">
      <pivotArea type="data" outline="0" fieldPosition="0">
        <references count="3">
          <reference field="4294967294" count="1" selected="0">
            <x v="0"/>
          </reference>
          <reference field="5" count="1" selected="0">
            <x v="5"/>
          </reference>
          <reference field="10" count="1" selected="0">
            <x v="5"/>
          </reference>
        </references>
      </pivotArea>
    </chartFormat>
    <chartFormat chart="0" format="32" series="1">
      <pivotArea type="data" outline="0" fieldPosition="0">
        <references count="3">
          <reference field="4294967294" count="1" selected="0">
            <x v="0"/>
          </reference>
          <reference field="5" count="1" selected="0">
            <x v="5"/>
          </reference>
          <reference field="10" count="1" selected="0">
            <x v="6"/>
          </reference>
        </references>
      </pivotArea>
    </chartFormat>
    <chartFormat chart="0" format="33" series="1">
      <pivotArea type="data" outline="0" fieldPosition="0">
        <references count="3">
          <reference field="4294967294" count="1" selected="0">
            <x v="0"/>
          </reference>
          <reference field="5" count="1" selected="0">
            <x v="5"/>
          </reference>
          <reference field="10" count="1" selected="0">
            <x v="7"/>
          </reference>
        </references>
      </pivotArea>
    </chartFormat>
    <chartFormat chart="0" format="34" series="1">
      <pivotArea type="data" outline="0" fieldPosition="0">
        <references count="3">
          <reference field="4294967294" count="1" selected="0">
            <x v="0"/>
          </reference>
          <reference field="5" count="1" selected="0">
            <x v="5"/>
          </reference>
          <reference field="10" count="1" selected="0">
            <x v="8"/>
          </reference>
        </references>
      </pivotArea>
    </chartFormat>
    <chartFormat chart="0" format="35" series="1">
      <pivotArea type="data" outline="0" fieldPosition="0">
        <references count="3">
          <reference field="4294967294" count="1" selected="0">
            <x v="0"/>
          </reference>
          <reference field="5" count="1" selected="0">
            <x v="5"/>
          </reference>
          <reference field="10" count="1" selected="0">
            <x v="9"/>
          </reference>
        </references>
      </pivotArea>
    </chartFormat>
    <chartFormat chart="0" format="36" series="1">
      <pivotArea type="data" outline="0" fieldPosition="0">
        <references count="3">
          <reference field="4294967294" count="1" selected="0">
            <x v="0"/>
          </reference>
          <reference field="5" count="1" selected="0">
            <x v="5"/>
          </reference>
          <reference field="10" count="1" selected="0">
            <x v="10"/>
          </reference>
        </references>
      </pivotArea>
    </chartFormat>
    <chartFormat chart="0" format="37" series="1">
      <pivotArea type="data" outline="0" fieldPosition="0">
        <references count="3">
          <reference field="4294967294" count="1" selected="0">
            <x v="0"/>
          </reference>
          <reference field="5" count="1" selected="0">
            <x v="5"/>
          </reference>
          <reference field="10" count="1" selected="0">
            <x v="11"/>
          </reference>
        </references>
      </pivotArea>
    </chartFormat>
    <chartFormat chart="0" format="38" series="1">
      <pivotArea type="data" outline="0" fieldPosition="0">
        <references count="3">
          <reference field="4294967294" count="1" selected="0">
            <x v="0"/>
          </reference>
          <reference field="5" count="1" selected="0">
            <x v="5"/>
          </reference>
          <reference field="10" count="1" selected="0">
            <x v="12"/>
          </reference>
        </references>
      </pivotArea>
    </chartFormat>
    <chartFormat chart="0" format="39" series="1">
      <pivotArea type="data" outline="0" fieldPosition="0">
        <references count="2">
          <reference field="4294967294" count="1" selected="0">
            <x v="0"/>
          </reference>
          <reference field="10" count="1" selected="0">
            <x v="4"/>
          </reference>
        </references>
      </pivotArea>
    </chartFormat>
    <chartFormat chart="0" format="40" series="1">
      <pivotArea type="data" outline="0" fieldPosition="0">
        <references count="2">
          <reference field="4294967294" count="1" selected="0">
            <x v="0"/>
          </reference>
          <reference field="10" count="1" selected="0">
            <x v="5"/>
          </reference>
        </references>
      </pivotArea>
    </chartFormat>
    <chartFormat chart="0" format="41" series="1">
      <pivotArea type="data" outline="0" fieldPosition="0">
        <references count="2">
          <reference field="4294967294" count="1" selected="0">
            <x v="0"/>
          </reference>
          <reference field="10" count="1" selected="0">
            <x v="6"/>
          </reference>
        </references>
      </pivotArea>
    </chartFormat>
    <chartFormat chart="0" format="42" series="1">
      <pivotArea type="data" outline="0" fieldPosition="0">
        <references count="2">
          <reference field="4294967294" count="1" selected="0">
            <x v="0"/>
          </reference>
          <reference field="10" count="1" selected="0">
            <x v="7"/>
          </reference>
        </references>
      </pivotArea>
    </chartFormat>
    <chartFormat chart="0" format="43" series="1">
      <pivotArea type="data" outline="0" fieldPosition="0">
        <references count="2">
          <reference field="4294967294" count="1" selected="0">
            <x v="0"/>
          </reference>
          <reference field="10" count="1" selected="0">
            <x v="8"/>
          </reference>
        </references>
      </pivotArea>
    </chartFormat>
    <chartFormat chart="0" format="44" series="1">
      <pivotArea type="data" outline="0" fieldPosition="0">
        <references count="2">
          <reference field="4294967294" count="1" selected="0">
            <x v="0"/>
          </reference>
          <reference field="10" count="1" selected="0">
            <x v="9"/>
          </reference>
        </references>
      </pivotArea>
    </chartFormat>
    <chartFormat chart="0" format="45" series="1">
      <pivotArea type="data" outline="0" fieldPosition="0">
        <references count="2">
          <reference field="4294967294" count="1" selected="0">
            <x v="0"/>
          </reference>
          <reference field="10" count="1" selected="0">
            <x v="10"/>
          </reference>
        </references>
      </pivotArea>
    </chartFormat>
    <chartFormat chart="0" format="46" series="1">
      <pivotArea type="data" outline="0" fieldPosition="0">
        <references count="2">
          <reference field="4294967294" count="1" selected="0">
            <x v="0"/>
          </reference>
          <reference field="10" count="1" selected="0">
            <x v="11"/>
          </reference>
        </references>
      </pivotArea>
    </chartFormat>
    <chartFormat chart="0" format="47" series="1">
      <pivotArea type="data" outline="0" fieldPosition="0">
        <references count="2">
          <reference field="4294967294" count="1" selected="0">
            <x v="0"/>
          </reference>
          <reference field="10" count="1" selected="0">
            <x v="12"/>
          </reference>
        </references>
      </pivotArea>
    </chartFormat>
    <chartFormat chart="0" format="48" series="1">
      <pivotArea type="data" outline="0" fieldPosition="0">
        <references count="1">
          <reference field="4294967294" count="1" selected="0">
            <x v="0"/>
          </reference>
        </references>
      </pivotArea>
    </chartFormat>
    <chartFormat chart="0" format="49" series="1">
      <pivotArea type="data" outline="0" fieldPosition="0">
        <references count="2">
          <reference field="4294967294" count="1" selected="0">
            <x v="0"/>
          </reference>
          <reference field="5" count="1" selected="0">
            <x v="6"/>
          </reference>
        </references>
      </pivotArea>
    </chartFormat>
    <chartFormat chart="0" format="50" series="1">
      <pivotArea type="data" outline="0" fieldPosition="0">
        <references count="2">
          <reference field="4294967294" count="1" selected="0">
            <x v="0"/>
          </reference>
          <reference field="5" count="1" selected="0">
            <x v="7"/>
          </reference>
        </references>
      </pivotArea>
    </chartFormat>
    <chartFormat chart="0" format="51" series="1">
      <pivotArea type="data" outline="0" fieldPosition="0">
        <references count="2">
          <reference field="4294967294" count="1" selected="0">
            <x v="0"/>
          </reference>
          <reference field="5" count="1" selected="0">
            <x v="8"/>
          </reference>
        </references>
      </pivotArea>
    </chartFormat>
    <chartFormat chart="0" format="52" series="1">
      <pivotArea type="data" outline="0" fieldPosition="0">
        <references count="2">
          <reference field="4294967294" count="1" selected="0">
            <x v="0"/>
          </reference>
          <reference field="5" count="1" selected="0">
            <x v="9"/>
          </reference>
        </references>
      </pivotArea>
    </chartFormat>
    <chartFormat chart="0" format="53" series="1">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497D47-661E-400E-B4E9-2898B815482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9" firstHeaderRow="1" firstDataRow="1"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showAll="0"/>
    <pivotField showAll="0"/>
    <pivotField axis="axisRow" dataField="1" showAll="0" measureFilter="1" sortType="descending">
      <items count="130">
        <item x="82"/>
        <item m="1" x="128"/>
        <item m="1" x="127"/>
        <item m="1" x="126"/>
        <item m="1" x="125"/>
        <item m="1" x="124"/>
        <item m="1" x="123"/>
        <item x="60"/>
        <item x="81"/>
        <item x="80"/>
        <item x="79"/>
        <item x="78"/>
        <item x="77"/>
        <item x="76"/>
        <item x="75"/>
        <item x="74"/>
        <item x="73"/>
        <item x="72"/>
        <item m="1" x="122"/>
        <item m="1" x="121"/>
        <item x="71"/>
        <item m="1" x="120"/>
        <item m="1" x="119"/>
        <item m="1" x="118"/>
        <item m="1" x="117"/>
        <item x="70"/>
        <item x="69"/>
        <item x="68"/>
        <item x="67"/>
        <item x="66"/>
        <item x="65"/>
        <item x="64"/>
        <item x="63"/>
        <item x="62"/>
        <item x="61"/>
        <item m="1" x="83"/>
        <item m="1" x="116"/>
        <item m="1" x="115"/>
        <item m="1" x="114"/>
        <item m="1" x="113"/>
        <item m="1" x="112"/>
        <item m="1" x="111"/>
        <item m="1" x="110"/>
        <item m="1" x="109"/>
        <item m="1" x="108"/>
        <item m="1" x="107"/>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m="1" x="106"/>
        <item m="1" x="105"/>
        <item m="1" x="104"/>
        <item x="26"/>
        <item x="25"/>
        <item x="24"/>
        <item x="23"/>
        <item x="22"/>
        <item x="21"/>
        <item x="20"/>
        <item x="19"/>
        <item x="18"/>
        <item x="17"/>
        <item x="16"/>
        <item x="15"/>
        <item x="14"/>
        <item x="13"/>
        <item x="12"/>
        <item m="1" x="103"/>
        <item m="1" x="102"/>
        <item m="1" x="101"/>
        <item m="1" x="100"/>
        <item m="1" x="99"/>
        <item m="1" x="98"/>
        <item x="11"/>
        <item x="10"/>
        <item x="9"/>
        <item m="1" x="97"/>
        <item m="1" x="96"/>
        <item m="1" x="95"/>
        <item m="1" x="94"/>
        <item m="1" x="93"/>
        <item m="1" x="92"/>
        <item x="8"/>
        <item x="7"/>
        <item m="1" x="91"/>
        <item x="6"/>
        <item x="5"/>
        <item x="4"/>
        <item x="3"/>
        <item m="1" x="90"/>
        <item m="1" x="89"/>
        <item m="1" x="88"/>
        <item m="1" x="87"/>
        <item m="1" x="86"/>
        <item x="2"/>
        <item m="1" x="85"/>
        <item m="1" x="8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pivotField axis="axisRow" multipleItemSelectionAllowed="1" showAll="0" sortType="ascending" defaultSubtotal="0">
      <items count="14">
        <item x="1"/>
        <item x="2"/>
        <item x="3"/>
        <item x="4"/>
        <item x="5"/>
        <item x="6"/>
        <item x="7"/>
        <item x="8"/>
        <item x="9"/>
        <item x="10"/>
        <item x="11"/>
        <item x="12"/>
        <item x="0"/>
        <item x="13"/>
      </items>
    </pivotField>
  </pivotFields>
  <rowFields count="2">
    <field x="3"/>
    <field x="10"/>
  </rowFields>
  <rowItems count="46">
    <i>
      <x v="72"/>
    </i>
    <i r="1">
      <x v="3"/>
    </i>
    <i r="1">
      <x v="4"/>
    </i>
    <i r="1">
      <x v="5"/>
    </i>
    <i r="1">
      <x v="6"/>
    </i>
    <i r="1">
      <x v="7"/>
    </i>
    <i r="1">
      <x v="8"/>
    </i>
    <i r="1">
      <x v="9"/>
    </i>
    <i r="1">
      <x v="10"/>
    </i>
    <i r="1">
      <x v="11"/>
    </i>
    <i>
      <x v="14"/>
    </i>
    <i r="1">
      <x v="7"/>
    </i>
    <i r="1">
      <x v="8"/>
    </i>
    <i r="1">
      <x v="9"/>
    </i>
    <i r="1">
      <x v="10"/>
    </i>
    <i r="1">
      <x v="11"/>
    </i>
    <i>
      <x v="116"/>
    </i>
    <i r="1">
      <x v="3"/>
    </i>
    <i r="1">
      <x v="4"/>
    </i>
    <i r="1">
      <x v="5"/>
    </i>
    <i r="1">
      <x v="6"/>
    </i>
    <i r="1">
      <x v="7"/>
    </i>
    <i r="1">
      <x v="8"/>
    </i>
    <i r="1">
      <x v="9"/>
    </i>
    <i r="1">
      <x v="10"/>
    </i>
    <i r="1">
      <x v="11"/>
    </i>
    <i>
      <x v="76"/>
    </i>
    <i r="1">
      <x v="4"/>
    </i>
    <i r="1">
      <x v="5"/>
    </i>
    <i r="1">
      <x v="6"/>
    </i>
    <i r="1">
      <x v="7"/>
    </i>
    <i r="1">
      <x v="8"/>
    </i>
    <i r="1">
      <x v="9"/>
    </i>
    <i r="1">
      <x v="10"/>
    </i>
    <i r="1">
      <x v="11"/>
    </i>
    <i>
      <x v="7"/>
    </i>
    <i r="1">
      <x v="3"/>
    </i>
    <i r="1">
      <x v="4"/>
    </i>
    <i r="1">
      <x v="5"/>
    </i>
    <i r="1">
      <x v="6"/>
    </i>
    <i r="1">
      <x v="7"/>
    </i>
    <i r="1">
      <x v="8"/>
    </i>
    <i r="1">
      <x v="9"/>
    </i>
    <i r="1">
      <x v="10"/>
    </i>
    <i r="1">
      <x v="11"/>
    </i>
    <i t="grand">
      <x/>
    </i>
  </rowItems>
  <colItems count="1">
    <i/>
  </colItems>
  <dataFields count="1">
    <dataField name="Count of MAKE" fld="3" subtotal="count" baseField="0" baseItem="0"/>
  </dataFields>
  <chartFormats count="84">
    <chartFormat chart="0" format="0" series="1">
      <pivotArea type="data" outline="0" fieldPosition="0">
        <references count="2">
          <reference field="4294967294" count="1" selected="0">
            <x v="0"/>
          </reference>
          <reference field="3" count="1" selected="0">
            <x v="72"/>
          </reference>
        </references>
      </pivotArea>
    </chartFormat>
    <chartFormat chart="0" format="1" series="1">
      <pivotArea type="data" outline="0" fieldPosition="0">
        <references count="2">
          <reference field="4294967294" count="1" selected="0">
            <x v="0"/>
          </reference>
          <reference field="3" count="1" selected="0">
            <x v="14"/>
          </reference>
        </references>
      </pivotArea>
    </chartFormat>
    <chartFormat chart="0" format="2" series="1">
      <pivotArea type="data" outline="0" fieldPosition="0">
        <references count="2">
          <reference field="4294967294" count="1" selected="0">
            <x v="0"/>
          </reference>
          <reference field="3" count="1" selected="0">
            <x v="116"/>
          </reference>
        </references>
      </pivotArea>
    </chartFormat>
    <chartFormat chart="0" format="3" series="1">
      <pivotArea type="data" outline="0" fieldPosition="0">
        <references count="2">
          <reference field="4294967294" count="1" selected="0">
            <x v="0"/>
          </reference>
          <reference field="3" count="1" selected="0">
            <x v="76"/>
          </reference>
        </references>
      </pivotArea>
    </chartFormat>
    <chartFormat chart="0" format="4" series="1">
      <pivotArea type="data" outline="0" fieldPosition="0">
        <references count="2">
          <reference field="4294967294" count="1" selected="0">
            <x v="0"/>
          </reference>
          <reference field="3" count="1" selected="0">
            <x v="7"/>
          </reference>
        </references>
      </pivotArea>
    </chartFormat>
    <chartFormat chart="0" format="5" series="1">
      <pivotArea type="data" outline="0" fieldPosition="0">
        <references count="2">
          <reference field="4294967294" count="1" selected="0">
            <x v="0"/>
          </reference>
          <reference field="3" count="1" selected="0">
            <x v="27"/>
          </reference>
        </references>
      </pivotArea>
    </chartFormat>
    <chartFormat chart="0" format="6" series="1">
      <pivotArea type="data" outline="0" fieldPosition="0">
        <references count="2">
          <reference field="4294967294" count="1" selected="0">
            <x v="0"/>
          </reference>
          <reference field="3" count="1" selected="0">
            <x v="16"/>
          </reference>
        </references>
      </pivotArea>
    </chartFormat>
    <chartFormat chart="0" format="7" series="1">
      <pivotArea type="data" outline="0" fieldPosition="0">
        <references count="2">
          <reference field="4294967294" count="1" selected="0">
            <x v="0"/>
          </reference>
          <reference field="3" count="1" selected="0">
            <x v="48"/>
          </reference>
        </references>
      </pivotArea>
    </chartFormat>
    <chartFormat chart="0" format="8" series="1">
      <pivotArea type="data" outline="0" fieldPosition="0">
        <references count="2">
          <reference field="4294967294" count="1" selected="0">
            <x v="0"/>
          </reference>
          <reference field="3" count="1" selected="0">
            <x v="66"/>
          </reference>
        </references>
      </pivotArea>
    </chartFormat>
    <chartFormat chart="0" format="9" series="1">
      <pivotArea type="data" outline="0" fieldPosition="0">
        <references count="2">
          <reference field="4294967294" count="1" selected="0">
            <x v="0"/>
          </reference>
          <reference field="3" count="1" selected="0">
            <x v="62"/>
          </reference>
        </references>
      </pivotArea>
    </chartFormat>
    <chartFormat chart="0" format="10" series="1">
      <pivotArea type="data" outline="0" fieldPosition="0">
        <references count="2">
          <reference field="4294967294" count="1" selected="0">
            <x v="0"/>
          </reference>
          <reference field="3" count="1" selected="0">
            <x v="46"/>
          </reference>
        </references>
      </pivotArea>
    </chartFormat>
    <chartFormat chart="0" format="11" series="1">
      <pivotArea type="data" outline="0" fieldPosition="0">
        <references count="2">
          <reference field="4294967294" count="1" selected="0">
            <x v="0"/>
          </reference>
          <reference field="3" count="1" selected="0">
            <x v="13"/>
          </reference>
        </references>
      </pivotArea>
    </chartFormat>
    <chartFormat chart="0" format="12" series="1">
      <pivotArea type="data" outline="0" fieldPosition="0">
        <references count="2">
          <reference field="4294967294" count="1" selected="0">
            <x v="0"/>
          </reference>
          <reference field="3" count="1" selected="0">
            <x v="118"/>
          </reference>
        </references>
      </pivotArea>
    </chartFormat>
    <chartFormat chart="0" format="13" series="1">
      <pivotArea type="data" outline="0" fieldPosition="0">
        <references count="2">
          <reference field="4294967294" count="1" selected="0">
            <x v="0"/>
          </reference>
          <reference field="3" count="1" selected="0">
            <x v="127"/>
          </reference>
        </references>
      </pivotArea>
    </chartFormat>
    <chartFormat chart="0" format="14" series="1">
      <pivotArea type="data" outline="0" fieldPosition="0">
        <references count="2">
          <reference field="4294967294" count="1" selected="0">
            <x v="0"/>
          </reference>
          <reference field="3" count="1" selected="0">
            <x v="64"/>
          </reference>
        </references>
      </pivotArea>
    </chartFormat>
    <chartFormat chart="0" format="15" series="1">
      <pivotArea type="data" outline="0" fieldPosition="0">
        <references count="2">
          <reference field="4294967294" count="1" selected="0">
            <x v="0"/>
          </reference>
          <reference field="3" count="1" selected="0">
            <x v="94"/>
          </reference>
        </references>
      </pivotArea>
    </chartFormat>
    <chartFormat chart="0" format="16" series="1">
      <pivotArea type="data" outline="0" fieldPosition="0">
        <references count="2">
          <reference field="4294967294" count="1" selected="0">
            <x v="0"/>
          </reference>
          <reference field="3" count="1" selected="0">
            <x v="9"/>
          </reference>
        </references>
      </pivotArea>
    </chartFormat>
    <chartFormat chart="0" format="17" series="1">
      <pivotArea type="data" outline="0" fieldPosition="0">
        <references count="2">
          <reference field="4294967294" count="1" selected="0">
            <x v="0"/>
          </reference>
          <reference field="3" count="1" selected="0">
            <x v="113"/>
          </reference>
        </references>
      </pivotArea>
    </chartFormat>
    <chartFormat chart="0" format="18" series="1">
      <pivotArea type="data" outline="0" fieldPosition="0">
        <references count="2">
          <reference field="4294967294" count="1" selected="0">
            <x v="0"/>
          </reference>
          <reference field="3" count="1" selected="0">
            <x v="47"/>
          </reference>
        </references>
      </pivotArea>
    </chartFormat>
    <chartFormat chart="0" format="19" series="1">
      <pivotArea type="data" outline="0" fieldPosition="0">
        <references count="2">
          <reference field="4294967294" count="1" selected="0">
            <x v="0"/>
          </reference>
          <reference field="3" count="1" selected="0">
            <x v="68"/>
          </reference>
        </references>
      </pivotArea>
    </chartFormat>
    <chartFormat chart="0" format="20" series="1">
      <pivotArea type="data" outline="0" fieldPosition="0">
        <references count="2">
          <reference field="4294967294" count="1" selected="0">
            <x v="0"/>
          </reference>
          <reference field="3" count="1" selected="0">
            <x v="29"/>
          </reference>
        </references>
      </pivotArea>
    </chartFormat>
    <chartFormat chart="0" format="21" series="1">
      <pivotArea type="data" outline="0" fieldPosition="0">
        <references count="2">
          <reference field="4294967294" count="1" selected="0">
            <x v="0"/>
          </reference>
          <reference field="3" count="1" selected="0">
            <x v="87"/>
          </reference>
        </references>
      </pivotArea>
    </chartFormat>
    <chartFormat chart="0" format="22" series="1">
      <pivotArea type="data" outline="0" fieldPosition="0">
        <references count="2">
          <reference field="4294967294" count="1" selected="0">
            <x v="0"/>
          </reference>
          <reference field="3" count="1" selected="0">
            <x v="74"/>
          </reference>
        </references>
      </pivotArea>
    </chartFormat>
    <chartFormat chart="0" format="23" series="1">
      <pivotArea type="data" outline="0" fieldPosition="0">
        <references count="2">
          <reference field="4294967294" count="1" selected="0">
            <x v="0"/>
          </reference>
          <reference field="3" count="1" selected="0">
            <x v="12"/>
          </reference>
        </references>
      </pivotArea>
    </chartFormat>
    <chartFormat chart="0" format="24" series="1">
      <pivotArea type="data" outline="0" fieldPosition="0">
        <references count="2">
          <reference field="4294967294" count="1" selected="0">
            <x v="0"/>
          </reference>
          <reference field="3" count="1" selected="0">
            <x v="60"/>
          </reference>
        </references>
      </pivotArea>
    </chartFormat>
    <chartFormat chart="0" format="25" series="1">
      <pivotArea type="data" outline="0" fieldPosition="0">
        <references count="2">
          <reference field="4294967294" count="1" selected="0">
            <x v="0"/>
          </reference>
          <reference field="3" count="1" selected="0">
            <x v="53"/>
          </reference>
        </references>
      </pivotArea>
    </chartFormat>
    <chartFormat chart="0" format="26" series="1">
      <pivotArea type="data" outline="0" fieldPosition="0">
        <references count="2">
          <reference field="4294967294" count="1" selected="0">
            <x v="0"/>
          </reference>
          <reference field="3" count="1" selected="0">
            <x v="63"/>
          </reference>
        </references>
      </pivotArea>
    </chartFormat>
    <chartFormat chart="0" format="27" series="1">
      <pivotArea type="data" outline="0" fieldPosition="0">
        <references count="2">
          <reference field="4294967294" count="1" selected="0">
            <x v="0"/>
          </reference>
          <reference field="3" count="1" selected="0">
            <x v="56"/>
          </reference>
        </references>
      </pivotArea>
    </chartFormat>
    <chartFormat chart="0" format="28" series="1">
      <pivotArea type="data" outline="0" fieldPosition="0">
        <references count="2">
          <reference field="4294967294" count="1" selected="0">
            <x v="0"/>
          </reference>
          <reference field="3" count="1" selected="0">
            <x v="86"/>
          </reference>
        </references>
      </pivotArea>
    </chartFormat>
    <chartFormat chart="0" format="29" series="1">
      <pivotArea type="data" outline="0" fieldPosition="0">
        <references count="2">
          <reference field="4294967294" count="1" selected="0">
            <x v="0"/>
          </reference>
          <reference field="3" count="1" selected="0">
            <x v="57"/>
          </reference>
        </references>
      </pivotArea>
    </chartFormat>
    <chartFormat chart="0" format="30" series="1">
      <pivotArea type="data" outline="0" fieldPosition="0">
        <references count="2">
          <reference field="4294967294" count="1" selected="0">
            <x v="0"/>
          </reference>
          <reference field="3" count="1" selected="0">
            <x v="59"/>
          </reference>
        </references>
      </pivotArea>
    </chartFormat>
    <chartFormat chart="0" format="31" series="1">
      <pivotArea type="data" outline="0" fieldPosition="0">
        <references count="2">
          <reference field="4294967294" count="1" selected="0">
            <x v="0"/>
          </reference>
          <reference field="3" count="1" selected="0">
            <x v="115"/>
          </reference>
        </references>
      </pivotArea>
    </chartFormat>
    <chartFormat chart="0" format="32" series="1">
      <pivotArea type="data" outline="0" fieldPosition="0">
        <references count="2">
          <reference field="4294967294" count="1" selected="0">
            <x v="0"/>
          </reference>
          <reference field="3" count="1" selected="0">
            <x v="90"/>
          </reference>
        </references>
      </pivotArea>
    </chartFormat>
    <chartFormat chart="0" format="33" series="1">
      <pivotArea type="data" outline="0" fieldPosition="0">
        <references count="2">
          <reference field="4294967294" count="1" selected="0">
            <x v="0"/>
          </reference>
          <reference field="3" count="1" selected="0">
            <x v="82"/>
          </reference>
        </references>
      </pivotArea>
    </chartFormat>
    <chartFormat chart="0" format="34" series="1">
      <pivotArea type="data" outline="0" fieldPosition="0">
        <references count="2">
          <reference field="4294967294" count="1" selected="0">
            <x v="0"/>
          </reference>
          <reference field="3" count="1" selected="0">
            <x v="75"/>
          </reference>
        </references>
      </pivotArea>
    </chartFormat>
    <chartFormat chart="0" format="35" series="1">
      <pivotArea type="data" outline="0" fieldPosition="0">
        <references count="2">
          <reference field="4294967294" count="1" selected="0">
            <x v="0"/>
          </reference>
          <reference field="3" count="1" selected="0">
            <x v="33"/>
          </reference>
        </references>
      </pivotArea>
    </chartFormat>
    <chartFormat chart="0" format="36" series="1">
      <pivotArea type="data" outline="0" fieldPosition="0">
        <references count="2">
          <reference field="4294967294" count="1" selected="0">
            <x v="0"/>
          </reference>
          <reference field="3" count="1" selected="0">
            <x v="34"/>
          </reference>
        </references>
      </pivotArea>
    </chartFormat>
    <chartFormat chart="0" format="37" series="1">
      <pivotArea type="data" outline="0" fieldPosition="0">
        <references count="2">
          <reference field="4294967294" count="1" selected="0">
            <x v="0"/>
          </reference>
          <reference field="3" count="1" selected="0">
            <x v="28"/>
          </reference>
        </references>
      </pivotArea>
    </chartFormat>
    <chartFormat chart="0" format="38" series="1">
      <pivotArea type="data" outline="0" fieldPosition="0">
        <references count="2">
          <reference field="4294967294" count="1" selected="0">
            <x v="0"/>
          </reference>
          <reference field="3" count="1" selected="0">
            <x v="30"/>
          </reference>
        </references>
      </pivotArea>
    </chartFormat>
    <chartFormat chart="0" format="39" series="1">
      <pivotArea type="data" outline="0" fieldPosition="0">
        <references count="2">
          <reference field="4294967294" count="1" selected="0">
            <x v="0"/>
          </reference>
          <reference field="3" count="1" selected="0">
            <x v="58"/>
          </reference>
        </references>
      </pivotArea>
    </chartFormat>
    <chartFormat chart="0" format="40" series="1">
      <pivotArea type="data" outline="0" fieldPosition="0">
        <references count="2">
          <reference field="4294967294" count="1" selected="0">
            <x v="0"/>
          </reference>
          <reference field="3" count="1" selected="0">
            <x v="77"/>
          </reference>
        </references>
      </pivotArea>
    </chartFormat>
    <chartFormat chart="0" format="41" series="1">
      <pivotArea type="data" outline="0" fieldPosition="0">
        <references count="2">
          <reference field="4294967294" count="1" selected="0">
            <x v="0"/>
          </reference>
          <reference field="3" count="1" selected="0">
            <x v="8"/>
          </reference>
        </references>
      </pivotArea>
    </chartFormat>
    <chartFormat chart="0" format="42" series="1">
      <pivotArea type="data" outline="0" fieldPosition="0">
        <references count="2">
          <reference field="4294967294" count="1" selected="0">
            <x v="0"/>
          </reference>
          <reference field="3" count="1" selected="0">
            <x v="84"/>
          </reference>
        </references>
      </pivotArea>
    </chartFormat>
    <chartFormat chart="0" format="43" series="1">
      <pivotArea type="data" outline="0" fieldPosition="0">
        <references count="2">
          <reference field="4294967294" count="1" selected="0">
            <x v="0"/>
          </reference>
          <reference field="3" count="1" selected="0">
            <x v="49"/>
          </reference>
        </references>
      </pivotArea>
    </chartFormat>
    <chartFormat chart="0" format="44" series="1">
      <pivotArea type="data" outline="0" fieldPosition="0">
        <references count="2">
          <reference field="4294967294" count="1" selected="0">
            <x v="0"/>
          </reference>
          <reference field="3" count="1" selected="0">
            <x v="88"/>
          </reference>
        </references>
      </pivotArea>
    </chartFormat>
    <chartFormat chart="0" format="45" series="1">
      <pivotArea type="data" outline="0" fieldPosition="0">
        <references count="2">
          <reference field="4294967294" count="1" selected="0">
            <x v="0"/>
          </reference>
          <reference field="3" count="1" selected="0">
            <x v="61"/>
          </reference>
        </references>
      </pivotArea>
    </chartFormat>
    <chartFormat chart="0" format="46" series="1">
      <pivotArea type="data" outline="0" fieldPosition="0">
        <references count="2">
          <reference field="4294967294" count="1" selected="0">
            <x v="0"/>
          </reference>
          <reference field="3" count="1" selected="0">
            <x v="92"/>
          </reference>
        </references>
      </pivotArea>
    </chartFormat>
    <chartFormat chart="0" format="47" series="1">
      <pivotArea type="data" outline="0" fieldPosition="0">
        <references count="2">
          <reference field="4294967294" count="1" selected="0">
            <x v="0"/>
          </reference>
          <reference field="3" count="1" selected="0">
            <x v="50"/>
          </reference>
        </references>
      </pivotArea>
    </chartFormat>
    <chartFormat chart="0" format="48" series="1">
      <pivotArea type="data" outline="0" fieldPosition="0">
        <references count="2">
          <reference field="4294967294" count="1" selected="0">
            <x v="0"/>
          </reference>
          <reference field="3" count="1" selected="0">
            <x v="96"/>
          </reference>
        </references>
      </pivotArea>
    </chartFormat>
    <chartFormat chart="0" format="49" series="1">
      <pivotArea type="data" outline="0" fieldPosition="0">
        <references count="2">
          <reference field="4294967294" count="1" selected="0">
            <x v="0"/>
          </reference>
          <reference field="3" count="1" selected="0">
            <x v="51"/>
          </reference>
        </references>
      </pivotArea>
    </chartFormat>
    <chartFormat chart="0" format="50" series="1">
      <pivotArea type="data" outline="0" fieldPosition="0">
        <references count="2">
          <reference field="4294967294" count="1" selected="0">
            <x v="0"/>
          </reference>
          <reference field="3" count="1" selected="0">
            <x v="17"/>
          </reference>
        </references>
      </pivotArea>
    </chartFormat>
    <chartFormat chart="0" format="51" series="1">
      <pivotArea type="data" outline="0" fieldPosition="0">
        <references count="2">
          <reference field="4294967294" count="1" selected="0">
            <x v="0"/>
          </reference>
          <reference field="3" count="1" selected="0">
            <x v="65"/>
          </reference>
        </references>
      </pivotArea>
    </chartFormat>
    <chartFormat chart="0" format="52" series="1">
      <pivotArea type="data" outline="0" fieldPosition="0">
        <references count="2">
          <reference field="4294967294" count="1" selected="0">
            <x v="0"/>
          </reference>
          <reference field="3" count="1" selected="0">
            <x v="78"/>
          </reference>
        </references>
      </pivotArea>
    </chartFormat>
    <chartFormat chart="0" format="53" series="1">
      <pivotArea type="data" outline="0" fieldPosition="0">
        <references count="2">
          <reference field="4294967294" count="1" selected="0">
            <x v="0"/>
          </reference>
          <reference field="3" count="1" selected="0">
            <x v="15"/>
          </reference>
        </references>
      </pivotArea>
    </chartFormat>
    <chartFormat chart="0" format="54" series="1">
      <pivotArea type="data" outline="0" fieldPosition="0">
        <references count="2">
          <reference field="4294967294" count="1" selected="0">
            <x v="0"/>
          </reference>
          <reference field="3" count="1" selected="0">
            <x v="83"/>
          </reference>
        </references>
      </pivotArea>
    </chartFormat>
    <chartFormat chart="0" format="55" series="1">
      <pivotArea type="data" outline="0" fieldPosition="0">
        <references count="2">
          <reference field="4294967294" count="1" selected="0">
            <x v="0"/>
          </reference>
          <reference field="3" count="1" selected="0">
            <x v="67"/>
          </reference>
        </references>
      </pivotArea>
    </chartFormat>
    <chartFormat chart="0" format="56" series="1">
      <pivotArea type="data" outline="0" fieldPosition="0">
        <references count="2">
          <reference field="4294967294" count="1" selected="0">
            <x v="0"/>
          </reference>
          <reference field="3" count="1" selected="0">
            <x v="85"/>
          </reference>
        </references>
      </pivotArea>
    </chartFormat>
    <chartFormat chart="0" format="57" series="1">
      <pivotArea type="data" outline="0" fieldPosition="0">
        <references count="2">
          <reference field="4294967294" count="1" selected="0">
            <x v="0"/>
          </reference>
          <reference field="3" count="1" selected="0">
            <x v="103"/>
          </reference>
        </references>
      </pivotArea>
    </chartFormat>
    <chartFormat chart="0" format="58" series="1">
      <pivotArea type="data" outline="0" fieldPosition="0">
        <references count="2">
          <reference field="4294967294" count="1" selected="0">
            <x v="0"/>
          </reference>
          <reference field="3" count="1" selected="0">
            <x v="54"/>
          </reference>
        </references>
      </pivotArea>
    </chartFormat>
    <chartFormat chart="0" format="59" series="1">
      <pivotArea type="data" outline="0" fieldPosition="0">
        <references count="2">
          <reference field="4294967294" count="1" selected="0">
            <x v="0"/>
          </reference>
          <reference field="3" count="1" selected="0">
            <x v="104"/>
          </reference>
        </references>
      </pivotArea>
    </chartFormat>
    <chartFormat chart="0" format="60" series="1">
      <pivotArea type="data" outline="0" fieldPosition="0">
        <references count="2">
          <reference field="4294967294" count="1" selected="0">
            <x v="0"/>
          </reference>
          <reference field="3" count="1" selected="0">
            <x v="89"/>
          </reference>
        </references>
      </pivotArea>
    </chartFormat>
    <chartFormat chart="0" format="61" series="1">
      <pivotArea type="data" outline="0" fieldPosition="0">
        <references count="2">
          <reference field="4294967294" count="1" selected="0">
            <x v="0"/>
          </reference>
          <reference field="3" count="1" selected="0">
            <x v="112"/>
          </reference>
        </references>
      </pivotArea>
    </chartFormat>
    <chartFormat chart="0" format="62" series="1">
      <pivotArea type="data" outline="0" fieldPosition="0">
        <references count="2">
          <reference field="4294967294" count="1" selected="0">
            <x v="0"/>
          </reference>
          <reference field="3" count="1" selected="0">
            <x v="91"/>
          </reference>
        </references>
      </pivotArea>
    </chartFormat>
    <chartFormat chart="0" format="63" series="1">
      <pivotArea type="data" outline="0" fieldPosition="0">
        <references count="2">
          <reference field="4294967294" count="1" selected="0">
            <x v="0"/>
          </reference>
          <reference field="3" count="1" selected="0">
            <x v="32"/>
          </reference>
        </references>
      </pivotArea>
    </chartFormat>
    <chartFormat chart="0" format="64" series="1">
      <pivotArea type="data" outline="0" fieldPosition="0">
        <references count="2">
          <reference field="4294967294" count="1" selected="0">
            <x v="0"/>
          </reference>
          <reference field="3" count="1" selected="0">
            <x v="93"/>
          </reference>
        </references>
      </pivotArea>
    </chartFormat>
    <chartFormat chart="0" format="65" series="1">
      <pivotArea type="data" outline="0" fieldPosition="0">
        <references count="2">
          <reference field="4294967294" count="1" selected="0">
            <x v="0"/>
          </reference>
          <reference field="3" count="1" selected="0">
            <x v="10"/>
          </reference>
        </references>
      </pivotArea>
    </chartFormat>
    <chartFormat chart="0" format="66" series="1">
      <pivotArea type="data" outline="0" fieldPosition="0">
        <references count="2">
          <reference field="4294967294" count="1" selected="0">
            <x v="0"/>
          </reference>
          <reference field="3" count="1" selected="0">
            <x v="95"/>
          </reference>
        </references>
      </pivotArea>
    </chartFormat>
    <chartFormat chart="0" format="67" series="1">
      <pivotArea type="data" outline="0" fieldPosition="0">
        <references count="2">
          <reference field="4294967294" count="1" selected="0">
            <x v="0"/>
          </reference>
          <reference field="3" count="1" selected="0">
            <x v="73"/>
          </reference>
        </references>
      </pivotArea>
    </chartFormat>
    <chartFormat chart="0" format="68" series="1">
      <pivotArea type="data" outline="0" fieldPosition="0">
        <references count="2">
          <reference field="4294967294" count="1" selected="0">
            <x v="0"/>
          </reference>
          <reference field="3" count="1" selected="0">
            <x v="55"/>
          </reference>
        </references>
      </pivotArea>
    </chartFormat>
    <chartFormat chart="0" format="69" series="1">
      <pivotArea type="data" outline="0" fieldPosition="0">
        <references count="2">
          <reference field="4294967294" count="1" selected="0">
            <x v="0"/>
          </reference>
          <reference field="3" count="1" selected="0">
            <x v="52"/>
          </reference>
        </references>
      </pivotArea>
    </chartFormat>
    <chartFormat chart="0" format="70" series="1">
      <pivotArea type="data" outline="0" fieldPosition="0">
        <references count="2">
          <reference field="4294967294" count="1" selected="0">
            <x v="0"/>
          </reference>
          <reference field="3" count="1" selected="0">
            <x v="105"/>
          </reference>
        </references>
      </pivotArea>
    </chartFormat>
    <chartFormat chart="0" format="71" series="1">
      <pivotArea type="data" outline="0" fieldPosition="0">
        <references count="2">
          <reference field="4294967294" count="1" selected="0">
            <x v="0"/>
          </reference>
          <reference field="3" count="1" selected="0">
            <x v="20"/>
          </reference>
        </references>
      </pivotArea>
    </chartFormat>
    <chartFormat chart="0" format="72" series="1">
      <pivotArea type="data" outline="0" fieldPosition="0">
        <references count="2">
          <reference field="4294967294" count="1" selected="0">
            <x v="0"/>
          </reference>
          <reference field="3" count="1" selected="0">
            <x v="31"/>
          </reference>
        </references>
      </pivotArea>
    </chartFormat>
    <chartFormat chart="0" format="73" series="1">
      <pivotArea type="data" outline="0" fieldPosition="0">
        <references count="2">
          <reference field="4294967294" count="1" selected="0">
            <x v="0"/>
          </reference>
          <reference field="3" count="1" selected="0">
            <x v="25"/>
          </reference>
        </references>
      </pivotArea>
    </chartFormat>
    <chartFormat chart="0" format="74" series="1">
      <pivotArea type="data" outline="0" fieldPosition="0">
        <references count="2">
          <reference field="4294967294" count="1" selected="0">
            <x v="0"/>
          </reference>
          <reference field="3" count="1" selected="0">
            <x v="26"/>
          </reference>
        </references>
      </pivotArea>
    </chartFormat>
    <chartFormat chart="0" format="75" series="1">
      <pivotArea type="data" outline="0" fieldPosition="0">
        <references count="2">
          <reference field="4294967294" count="1" selected="0">
            <x v="0"/>
          </reference>
          <reference field="3" count="1" selected="0">
            <x v="117"/>
          </reference>
        </references>
      </pivotArea>
    </chartFormat>
    <chartFormat chart="0" format="76" series="1">
      <pivotArea type="data" outline="0" fieldPosition="0">
        <references count="2">
          <reference field="4294967294" count="1" selected="0">
            <x v="0"/>
          </reference>
          <reference field="3" count="1" selected="0">
            <x v="69"/>
          </reference>
        </references>
      </pivotArea>
    </chartFormat>
    <chartFormat chart="0" format="77" series="1">
      <pivotArea type="data" outline="0" fieldPosition="0">
        <references count="2">
          <reference field="4294967294" count="1" selected="0">
            <x v="0"/>
          </reference>
          <reference field="3" count="1" selected="0">
            <x v="124"/>
          </reference>
        </references>
      </pivotArea>
    </chartFormat>
    <chartFormat chart="0" format="78" series="1">
      <pivotArea type="data" outline="0" fieldPosition="0">
        <references count="2">
          <reference field="4294967294" count="1" selected="0">
            <x v="0"/>
          </reference>
          <reference field="3" count="1" selected="0">
            <x v="70"/>
          </reference>
        </references>
      </pivotArea>
    </chartFormat>
    <chartFormat chart="0" format="79" series="1">
      <pivotArea type="data" outline="0" fieldPosition="0">
        <references count="2">
          <reference field="4294967294" count="1" selected="0">
            <x v="0"/>
          </reference>
          <reference field="3" count="1" selected="0">
            <x v="128"/>
          </reference>
        </references>
      </pivotArea>
    </chartFormat>
    <chartFormat chart="0" format="80" series="1">
      <pivotArea type="data" outline="0" fieldPosition="0">
        <references count="2">
          <reference field="4294967294" count="1" selected="0">
            <x v="0"/>
          </reference>
          <reference field="3" count="1" selected="0">
            <x v="11"/>
          </reference>
        </references>
      </pivotArea>
    </chartFormat>
    <chartFormat chart="0" format="81" series="1">
      <pivotArea type="data" outline="0" fieldPosition="0">
        <references count="2">
          <reference field="4294967294" count="1" selected="0">
            <x v="0"/>
          </reference>
          <reference field="3" count="1" selected="0">
            <x v="71"/>
          </reference>
        </references>
      </pivotArea>
    </chartFormat>
    <chartFormat chart="0" format="82" series="1">
      <pivotArea type="data" outline="0" fieldPosition="0">
        <references count="2">
          <reference field="4294967294" count="1" selected="0">
            <x v="0"/>
          </reference>
          <reference field="3" count="1" selected="0">
            <x v="0"/>
          </reference>
        </references>
      </pivotArea>
    </chartFormat>
    <chartFormat chart="0" format="8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E0F226-44EE-48FF-B3F0-2F5FEB130C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37" firstHeaderRow="1" firstDataRow="1"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showAll="0"/>
    <pivotField showAll="0"/>
    <pivotField showAll="0"/>
    <pivotField axis="axisRow" dataField="1" showAll="0" measureFilter="1" sortType="descending">
      <items count="208">
        <item x="120"/>
        <item m="1" x="206"/>
        <item x="151"/>
        <item x="152"/>
        <item x="154"/>
        <item x="153"/>
        <item x="68"/>
        <item x="69"/>
        <item x="70"/>
        <item x="71"/>
        <item m="1" x="205"/>
        <item x="72"/>
        <item x="73"/>
        <item x="115"/>
        <item x="103"/>
        <item x="74"/>
        <item x="75"/>
        <item x="76"/>
        <item x="77"/>
        <item x="78"/>
        <item x="96"/>
        <item x="79"/>
        <item x="80"/>
        <item x="110"/>
        <item x="98"/>
        <item x="109"/>
        <item x="100"/>
        <item x="81"/>
        <item x="82"/>
        <item x="83"/>
        <item x="176"/>
        <item x="164"/>
        <item x="175"/>
        <item x="167"/>
        <item x="4"/>
        <item x="5"/>
        <item x="6"/>
        <item x="7"/>
        <item x="21"/>
        <item x="15"/>
        <item x="8"/>
        <item x="26"/>
        <item x="102"/>
        <item x="150"/>
        <item x="149"/>
        <item x="84"/>
        <item x="91"/>
        <item x="107"/>
        <item x="113"/>
        <item x="85"/>
        <item x="86"/>
        <item x="87"/>
        <item x="108"/>
        <item x="88"/>
        <item x="105"/>
        <item x="89"/>
        <item x="90"/>
        <item x="95"/>
        <item x="93"/>
        <item x="45"/>
        <item x="134"/>
        <item x="135"/>
        <item x="136"/>
        <item x="137"/>
        <item x="138"/>
        <item x="139"/>
        <item x="140"/>
        <item x="141"/>
        <item x="146"/>
        <item x="24"/>
        <item x="97"/>
        <item x="94"/>
        <item x="114"/>
        <item x="101"/>
        <item x="12"/>
        <item x="9"/>
        <item x="14"/>
        <item x="27"/>
        <item x="18"/>
        <item x="106"/>
        <item x="39"/>
        <item x="124"/>
        <item x="186"/>
        <item x="195"/>
        <item x="191"/>
        <item x="190"/>
        <item x="194"/>
        <item x="192"/>
        <item x="181"/>
        <item x="182"/>
        <item x="189"/>
        <item x="196"/>
        <item x="198"/>
        <item x="183"/>
        <item x="37"/>
        <item x="155"/>
        <item x="158"/>
        <item x="64"/>
        <item x="111"/>
        <item x="116"/>
        <item x="126"/>
        <item x="104"/>
        <item x="61"/>
        <item x="59"/>
        <item x="144"/>
        <item x="112"/>
        <item x="143"/>
        <item x="142"/>
        <item x="160"/>
        <item x="162"/>
        <item x="171"/>
        <item x="166"/>
        <item x="177"/>
        <item x="173"/>
        <item x="174"/>
        <item x="169"/>
        <item x="65"/>
        <item x="50"/>
        <item x="157"/>
        <item x="51"/>
        <item x="53"/>
        <item x="41"/>
        <item x="52"/>
        <item x="145"/>
        <item x="193"/>
        <item x="188"/>
        <item x="163"/>
        <item x="170"/>
        <item x="168"/>
        <item x="38"/>
        <item x="47"/>
        <item x="57"/>
        <item x="62"/>
        <item x="63"/>
        <item x="121"/>
        <item x="43"/>
        <item x="55"/>
        <item x="60"/>
        <item x="29"/>
        <item x="20"/>
        <item x="22"/>
        <item x="30"/>
        <item x="31"/>
        <item x="32"/>
        <item x="33"/>
        <item x="13"/>
        <item x="34"/>
        <item x="16"/>
        <item x="23"/>
        <item x="10"/>
        <item x="11"/>
        <item x="17"/>
        <item x="25"/>
        <item x="19"/>
        <item x="35"/>
        <item x="28"/>
        <item x="36"/>
        <item x="133"/>
        <item x="159"/>
        <item x="184"/>
        <item x="123"/>
        <item x="125"/>
        <item x="1"/>
        <item x="2"/>
        <item x="161"/>
        <item x="180"/>
        <item x="172"/>
        <item x="179"/>
        <item x="148"/>
        <item x="117"/>
        <item x="118"/>
        <item x="92"/>
        <item x="119"/>
        <item x="99"/>
        <item x="66"/>
        <item x="67"/>
        <item x="44"/>
        <item x="49"/>
        <item x="56"/>
        <item x="48"/>
        <item x="40"/>
        <item x="122"/>
        <item x="58"/>
        <item x="156"/>
        <item x="3"/>
        <item x="147"/>
        <item x="131"/>
        <item x="127"/>
        <item x="128"/>
        <item x="129"/>
        <item x="130"/>
        <item x="132"/>
        <item x="165"/>
        <item x="178"/>
        <item x="54"/>
        <item x="46"/>
        <item x="42"/>
        <item x="200"/>
        <item x="201"/>
        <item x="202"/>
        <item x="203"/>
        <item x="187"/>
        <item x="204"/>
        <item x="185"/>
        <item x="199"/>
        <item x="19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axis="axisRow" showAll="0" sortType="ascending" defaultSubtotal="0">
      <items count="14">
        <item x="1"/>
        <item x="2"/>
        <item x="3"/>
        <item x="4"/>
        <item x="5"/>
        <item x="6"/>
        <item x="7"/>
        <item x="8"/>
        <item x="9"/>
        <item x="10"/>
        <item x="11"/>
        <item x="12"/>
        <item x="0"/>
        <item x="13"/>
      </items>
    </pivotField>
  </pivotFields>
  <rowFields count="2">
    <field x="4"/>
    <field x="10"/>
  </rowFields>
  <rowItems count="34">
    <i>
      <x v="9"/>
    </i>
    <i r="1">
      <x v="3"/>
    </i>
    <i r="1">
      <x v="4"/>
    </i>
    <i r="1">
      <x v="5"/>
    </i>
    <i r="1">
      <x v="7"/>
    </i>
    <i r="1">
      <x v="8"/>
    </i>
    <i r="1">
      <x v="9"/>
    </i>
    <i r="1">
      <x v="10"/>
    </i>
    <i r="1">
      <x v="11"/>
    </i>
    <i>
      <x v="6"/>
    </i>
    <i r="1">
      <x v="3"/>
    </i>
    <i r="1">
      <x v="4"/>
    </i>
    <i r="1">
      <x v="5"/>
    </i>
    <i r="1">
      <x v="6"/>
    </i>
    <i>
      <x v="108"/>
    </i>
    <i r="1">
      <x v="7"/>
    </i>
    <i r="1">
      <x v="8"/>
    </i>
    <i r="1">
      <x v="9"/>
    </i>
    <i r="1">
      <x v="10"/>
    </i>
    <i r="1">
      <x v="11"/>
    </i>
    <i>
      <x v="16"/>
    </i>
    <i r="1">
      <x v="5"/>
    </i>
    <i r="1">
      <x v="7"/>
    </i>
    <i r="1">
      <x v="8"/>
    </i>
    <i r="1">
      <x v="9"/>
    </i>
    <i r="1">
      <x v="10"/>
    </i>
    <i r="1">
      <x v="11"/>
    </i>
    <i>
      <x v="71"/>
    </i>
    <i r="1">
      <x v="7"/>
    </i>
    <i r="1">
      <x v="8"/>
    </i>
    <i r="1">
      <x v="9"/>
    </i>
    <i r="1">
      <x v="10"/>
    </i>
    <i r="1">
      <x v="11"/>
    </i>
    <i t="grand">
      <x/>
    </i>
  </rowItems>
  <colItems count="1">
    <i/>
  </colItems>
  <dataFields count="1">
    <dataField name="Count of Model" fld="4" subtotal="count" baseField="0" baseItem="0"/>
  </dataFields>
  <chartFormats count="1">
    <chartFormat chart="0" format="20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BA61A1-0588-46E3-A27D-FF3026DF09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axis="axisRow" showAll="0">
      <items count="4">
        <item x="0"/>
        <item x="1"/>
        <item x="2"/>
        <item t="default"/>
      </items>
    </pivotField>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i>
    <i>
      <x v="1"/>
    </i>
    <i>
      <x v="2"/>
    </i>
    <i t="grand">
      <x/>
    </i>
  </rowItems>
  <colItems count="1">
    <i/>
  </colItems>
  <dataFields count="1">
    <dataField name="Count of Purchase Location" fld="5"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22014C-25D1-45B2-9704-B258779118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8" firstHeaderRow="1" firstDataRow="2"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axis="axisRow" showAll="0">
      <items count="4">
        <item x="0"/>
        <item x="1"/>
        <item x="2"/>
        <item t="default"/>
      </items>
    </pivotField>
    <pivotField showAll="0"/>
    <pivotField showAll="0"/>
    <pivotField showAll="0"/>
    <pivotField axis="axisCol" dataField="1" showAll="0">
      <items count="13">
        <item x="0"/>
        <item x="1"/>
        <item x="4"/>
        <item x="5"/>
        <item x="3"/>
        <item x="2"/>
        <item m="1" x="7"/>
        <item m="1" x="8"/>
        <item m="1" x="9"/>
        <item m="1" x="10"/>
        <item m="1" x="11"/>
        <item m="1" x="6"/>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Fields count="1">
    <field x="5"/>
  </colFields>
  <colItems count="7">
    <i>
      <x/>
    </i>
    <i>
      <x v="1"/>
    </i>
    <i>
      <x v="2"/>
    </i>
    <i>
      <x v="3"/>
    </i>
    <i>
      <x v="4"/>
    </i>
    <i>
      <x v="5"/>
    </i>
    <i t="grand">
      <x/>
    </i>
  </colItems>
  <dataFields count="1">
    <dataField name="Count of Purchase Location" fld="5" subtotal="count" baseField="0" baseItem="0"/>
  </dataFields>
  <chartFormats count="2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 chart="0" format="10" series="1">
      <pivotArea type="data" outline="0" fieldPosition="0">
        <references count="2">
          <reference field="4294967294" count="1" selected="0">
            <x v="0"/>
          </reference>
          <reference field="5" count="1" selected="0">
            <x v="10"/>
          </reference>
        </references>
      </pivotArea>
    </chartFormat>
    <chartFormat chart="2" format="11" series="1">
      <pivotArea type="data" outline="0" fieldPosition="0">
        <references count="2">
          <reference field="4294967294" count="1" selected="0">
            <x v="0"/>
          </reference>
          <reference field="5" count="1" selected="0">
            <x v="0"/>
          </reference>
        </references>
      </pivotArea>
    </chartFormat>
    <chartFormat chart="2" format="12" series="1">
      <pivotArea type="data" outline="0" fieldPosition="0">
        <references count="2">
          <reference field="4294967294" count="1" selected="0">
            <x v="0"/>
          </reference>
          <reference field="5" count="1" selected="0">
            <x v="1"/>
          </reference>
        </references>
      </pivotArea>
    </chartFormat>
    <chartFormat chart="2" format="13" series="1">
      <pivotArea type="data" outline="0" fieldPosition="0">
        <references count="2">
          <reference field="4294967294" count="1" selected="0">
            <x v="0"/>
          </reference>
          <reference field="5" count="1" selected="0">
            <x v="2"/>
          </reference>
        </references>
      </pivotArea>
    </chartFormat>
    <chartFormat chart="2" format="14" series="1">
      <pivotArea type="data" outline="0" fieldPosition="0">
        <references count="2">
          <reference field="4294967294" count="1" selected="0">
            <x v="0"/>
          </reference>
          <reference field="5" count="1" selected="0">
            <x v="3"/>
          </reference>
        </references>
      </pivotArea>
    </chartFormat>
    <chartFormat chart="2" format="15" series="1">
      <pivotArea type="data" outline="0" fieldPosition="0">
        <references count="2">
          <reference field="4294967294" count="1" selected="0">
            <x v="0"/>
          </reference>
          <reference field="5" count="1" selected="0">
            <x v="4"/>
          </reference>
        </references>
      </pivotArea>
    </chartFormat>
    <chartFormat chart="2" format="16" series="1">
      <pivotArea type="data" outline="0" fieldPosition="0">
        <references count="2">
          <reference field="4294967294" count="1" selected="0">
            <x v="0"/>
          </reference>
          <reference field="5" count="1" selected="0">
            <x v="5"/>
          </reference>
        </references>
      </pivotArea>
    </chartFormat>
    <chartFormat chart="2" format="17" series="1">
      <pivotArea type="data" outline="0" fieldPosition="0">
        <references count="2">
          <reference field="4294967294" count="1" selected="0">
            <x v="0"/>
          </reference>
          <reference field="5" count="1" selected="0">
            <x v="6"/>
          </reference>
        </references>
      </pivotArea>
    </chartFormat>
    <chartFormat chart="2" format="18" series="1">
      <pivotArea type="data" outline="0" fieldPosition="0">
        <references count="2">
          <reference field="4294967294" count="1" selected="0">
            <x v="0"/>
          </reference>
          <reference field="5" count="1" selected="0">
            <x v="7"/>
          </reference>
        </references>
      </pivotArea>
    </chartFormat>
    <chartFormat chart="2" format="19" series="1">
      <pivotArea type="data" outline="0" fieldPosition="0">
        <references count="2">
          <reference field="4294967294" count="1" selected="0">
            <x v="0"/>
          </reference>
          <reference field="5" count="1" selected="0">
            <x v="8"/>
          </reference>
        </references>
      </pivotArea>
    </chartFormat>
    <chartFormat chart="2" format="20" series="1">
      <pivotArea type="data" outline="0" fieldPosition="0">
        <references count="2">
          <reference field="4294967294" count="1" selected="0">
            <x v="0"/>
          </reference>
          <reference field="5" count="1" selected="0">
            <x v="9"/>
          </reference>
        </references>
      </pivotArea>
    </chartFormat>
    <chartFormat chart="2" format="21" series="1">
      <pivotArea type="data" outline="0" fieldPosition="0">
        <references count="2">
          <reference field="4294967294" count="1" selected="0">
            <x v="0"/>
          </reference>
          <reference field="5" count="1" selected="0">
            <x v="10"/>
          </reference>
        </references>
      </pivotArea>
    </chartFormat>
    <chartFormat chart="2" format="22"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540FCD-8E4D-4714-8D69-19DEDE7B8D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H8" firstHeaderRow="1" firstDataRow="2"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axis="axisRow" showAll="0">
      <items count="4">
        <item x="0"/>
        <item x="1"/>
        <item x="2"/>
        <item t="default"/>
      </items>
    </pivotField>
    <pivotField showAll="0"/>
    <pivotField showAll="0"/>
    <pivotField showAll="0"/>
    <pivotField axis="axisCol" showAll="0">
      <items count="13">
        <item x="0"/>
        <item x="1"/>
        <item x="4"/>
        <item x="5"/>
        <item x="3"/>
        <item x="2"/>
        <item m="1" x="7"/>
        <item m="1" x="8"/>
        <item m="1" x="9"/>
        <item m="1" x="10"/>
        <item m="1" x="11"/>
        <item m="1" x="6"/>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Fields count="1">
    <field x="5"/>
  </colFields>
  <colItems count="7">
    <i>
      <x/>
    </i>
    <i>
      <x v="1"/>
    </i>
    <i>
      <x v="2"/>
    </i>
    <i>
      <x v="3"/>
    </i>
    <i>
      <x v="4"/>
    </i>
    <i>
      <x v="5"/>
    </i>
    <i t="grand">
      <x/>
    </i>
  </colItems>
  <dataFields count="1">
    <dataField name="Sum of PURCHASE AMOUNT" fld="7" baseField="0" baseItem="0"/>
  </dataFields>
  <chartFormats count="1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6"/>
          </reference>
        </references>
      </pivotArea>
    </chartFormat>
    <chartFormat chart="1" format="7" series="1">
      <pivotArea type="data" outline="0" fieldPosition="0">
        <references count="2">
          <reference field="4294967294" count="1" selected="0">
            <x v="0"/>
          </reference>
          <reference field="5" count="1" selected="0">
            <x v="7"/>
          </reference>
        </references>
      </pivotArea>
    </chartFormat>
    <chartFormat chart="1" format="8" series="1">
      <pivotArea type="data" outline="0" fieldPosition="0">
        <references count="2">
          <reference field="4294967294" count="1" selected="0">
            <x v="0"/>
          </reference>
          <reference field="5" count="1" selected="0">
            <x v="8"/>
          </reference>
        </references>
      </pivotArea>
    </chartFormat>
    <chartFormat chart="1" format="9" series="1">
      <pivotArea type="data" outline="0" fieldPosition="0">
        <references count="2">
          <reference field="4294967294" count="1" selected="0">
            <x v="0"/>
          </reference>
          <reference field="5" count="1" selected="0">
            <x v="9"/>
          </reference>
        </references>
      </pivotArea>
    </chartFormat>
    <chartFormat chart="1" format="10" series="1">
      <pivotArea type="data" outline="0" fieldPosition="0">
        <references count="2">
          <reference field="4294967294" count="1" selected="0">
            <x v="0"/>
          </reference>
          <reference field="5" count="1" selected="0">
            <x v="10"/>
          </reference>
        </references>
      </pivotArea>
    </chartFormat>
    <chartFormat chart="1" format="11" series="1">
      <pivotArea type="data" outline="0" fieldPosition="0">
        <references count="2">
          <reference field="4294967294" count="1" selected="0">
            <x v="0"/>
          </reference>
          <reference field="5" count="1" selected="0">
            <x v="11"/>
          </reference>
        </references>
      </pivotArea>
    </chartFormat>
    <chartFormat chart="2" format="12" series="1">
      <pivotArea type="data" outline="0" fieldPosition="0">
        <references count="2">
          <reference field="4294967294" count="1" selected="0">
            <x v="0"/>
          </reference>
          <reference field="5" count="1" selected="0">
            <x v="0"/>
          </reference>
        </references>
      </pivotArea>
    </chartFormat>
    <chartFormat chart="2" format="13" series="1">
      <pivotArea type="data" outline="0" fieldPosition="0">
        <references count="2">
          <reference field="4294967294" count="1" selected="0">
            <x v="0"/>
          </reference>
          <reference field="5" count="1" selected="0">
            <x v="1"/>
          </reference>
        </references>
      </pivotArea>
    </chartFormat>
    <chartFormat chart="2" format="14" series="1">
      <pivotArea type="data" outline="0" fieldPosition="0">
        <references count="2">
          <reference field="4294967294" count="1" selected="0">
            <x v="0"/>
          </reference>
          <reference field="5" count="1" selected="0">
            <x v="2"/>
          </reference>
        </references>
      </pivotArea>
    </chartFormat>
    <chartFormat chart="2" format="15" series="1">
      <pivotArea type="data" outline="0" fieldPosition="0">
        <references count="2">
          <reference field="4294967294" count="1" selected="0">
            <x v="0"/>
          </reference>
          <reference field="5" count="1" selected="0">
            <x v="3"/>
          </reference>
        </references>
      </pivotArea>
    </chartFormat>
    <chartFormat chart="2" format="16" series="1">
      <pivotArea type="data" outline="0" fieldPosition="0">
        <references count="2">
          <reference field="4294967294" count="1" selected="0">
            <x v="0"/>
          </reference>
          <reference field="5" count="1" selected="0">
            <x v="4"/>
          </reference>
        </references>
      </pivotArea>
    </chartFormat>
    <chartFormat chart="2" format="17"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975299-5F8E-4139-A8A3-B39ADE196DE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8" firstHeaderRow="1" firstDataRow="2"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axis="axisRow" showAll="0">
      <items count="4">
        <item x="0"/>
        <item x="1"/>
        <item x="2"/>
        <item t="default"/>
      </items>
    </pivotField>
    <pivotField showAll="0"/>
    <pivotField showAll="0"/>
    <pivotField showAll="0"/>
    <pivotField axis="axisCol" showAll="0">
      <items count="13">
        <item x="0"/>
        <item x="1"/>
        <item x="4"/>
        <item x="5"/>
        <item x="3"/>
        <item x="2"/>
        <item m="1" x="7"/>
        <item m="1" x="8"/>
        <item m="1" x="9"/>
        <item m="1" x="10"/>
        <item m="1" x="11"/>
        <item m="1" x="6"/>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Fields count="1">
    <field x="5"/>
  </colFields>
  <colItems count="7">
    <i>
      <x/>
    </i>
    <i>
      <x v="1"/>
    </i>
    <i>
      <x v="2"/>
    </i>
    <i>
      <x v="3"/>
    </i>
    <i>
      <x v="4"/>
    </i>
    <i>
      <x v="5"/>
    </i>
    <i t="grand">
      <x/>
    </i>
  </colItems>
  <dataFields count="1">
    <dataField name="Average of PURCHASE AMOUNT" fld="7" subtotal="average" baseField="9" baseItem="8" numFmtId="1"/>
  </dataFields>
  <chartFormats count="1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48" series="1">
      <pivotArea type="data" outline="0" fieldPosition="0">
        <references count="1">
          <reference field="4294967294" count="1" selected="0">
            <x v="0"/>
          </reference>
        </references>
      </pivotArea>
    </chartFormat>
    <chartFormat chart="0" format="49" series="1">
      <pivotArea type="data" outline="0" fieldPosition="0">
        <references count="2">
          <reference field="4294967294" count="1" selected="0">
            <x v="0"/>
          </reference>
          <reference field="5" count="1" selected="0">
            <x v="6"/>
          </reference>
        </references>
      </pivotArea>
    </chartFormat>
    <chartFormat chart="0" format="50" series="1">
      <pivotArea type="data" outline="0" fieldPosition="0">
        <references count="2">
          <reference field="4294967294" count="1" selected="0">
            <x v="0"/>
          </reference>
          <reference field="5" count="1" selected="0">
            <x v="7"/>
          </reference>
        </references>
      </pivotArea>
    </chartFormat>
    <chartFormat chart="0" format="51" series="1">
      <pivotArea type="data" outline="0" fieldPosition="0">
        <references count="2">
          <reference field="4294967294" count="1" selected="0">
            <x v="0"/>
          </reference>
          <reference field="5" count="1" selected="0">
            <x v="8"/>
          </reference>
        </references>
      </pivotArea>
    </chartFormat>
    <chartFormat chart="0" format="52" series="1">
      <pivotArea type="data" outline="0" fieldPosition="0">
        <references count="2">
          <reference field="4294967294" count="1" selected="0">
            <x v="0"/>
          </reference>
          <reference field="5" count="1" selected="0">
            <x v="9"/>
          </reference>
        </references>
      </pivotArea>
    </chartFormat>
    <chartFormat chart="0" format="53" series="1">
      <pivotArea type="data" outline="0" fieldPosition="0">
        <references count="2">
          <reference field="4294967294" count="1" selected="0">
            <x v="0"/>
          </reference>
          <reference field="5" count="1" selected="0">
            <x v="10"/>
          </reference>
        </references>
      </pivotArea>
    </chartFormat>
    <chartFormat chart="2" format="54" series="1">
      <pivotArea type="data" outline="0" fieldPosition="0">
        <references count="2">
          <reference field="4294967294" count="1" selected="0">
            <x v="0"/>
          </reference>
          <reference field="5" count="1" selected="0">
            <x v="0"/>
          </reference>
        </references>
      </pivotArea>
    </chartFormat>
    <chartFormat chart="2" format="55" series="1">
      <pivotArea type="data" outline="0" fieldPosition="0">
        <references count="2">
          <reference field="4294967294" count="1" selected="0">
            <x v="0"/>
          </reference>
          <reference field="5" count="1" selected="0">
            <x v="1"/>
          </reference>
        </references>
      </pivotArea>
    </chartFormat>
    <chartFormat chart="2" format="56" series="1">
      <pivotArea type="data" outline="0" fieldPosition="0">
        <references count="2">
          <reference field="4294967294" count="1" selected="0">
            <x v="0"/>
          </reference>
          <reference field="5" count="1" selected="0">
            <x v="2"/>
          </reference>
        </references>
      </pivotArea>
    </chartFormat>
    <chartFormat chart="2" format="57" series="1">
      <pivotArea type="data" outline="0" fieldPosition="0">
        <references count="2">
          <reference field="4294967294" count="1" selected="0">
            <x v="0"/>
          </reference>
          <reference field="5" count="1" selected="0">
            <x v="3"/>
          </reference>
        </references>
      </pivotArea>
    </chartFormat>
    <chartFormat chart="2" format="58" series="1">
      <pivotArea type="data" outline="0" fieldPosition="0">
        <references count="2">
          <reference field="4294967294" count="1" selected="0">
            <x v="0"/>
          </reference>
          <reference field="5" count="1" selected="0">
            <x v="4"/>
          </reference>
        </references>
      </pivotArea>
    </chartFormat>
    <chartFormat chart="2" format="5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F6830C-5A81-4644-8E9C-10B30AFFD01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3" firstHeaderRow="1" firstDataRow="1"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axis="axisRow" showAll="0">
      <items count="4">
        <item x="0"/>
        <item x="1"/>
        <item x="2"/>
        <item t="default"/>
      </items>
    </pivotField>
    <pivotField showAll="0"/>
    <pivotField axis="axisRow" dataField="1" showAll="0" measureFilter="1" sortType="descending">
      <items count="130">
        <item x="82"/>
        <item m="1" x="128"/>
        <item m="1" x="127"/>
        <item m="1" x="126"/>
        <item m="1" x="125"/>
        <item m="1" x="124"/>
        <item m="1" x="123"/>
        <item x="60"/>
        <item x="81"/>
        <item x="80"/>
        <item x="79"/>
        <item x="78"/>
        <item x="77"/>
        <item x="76"/>
        <item x="75"/>
        <item x="74"/>
        <item x="73"/>
        <item x="72"/>
        <item m="1" x="122"/>
        <item m="1" x="121"/>
        <item x="71"/>
        <item m="1" x="120"/>
        <item m="1" x="119"/>
        <item m="1" x="118"/>
        <item m="1" x="117"/>
        <item x="70"/>
        <item x="69"/>
        <item x="68"/>
        <item x="67"/>
        <item x="66"/>
        <item x="65"/>
        <item x="64"/>
        <item x="63"/>
        <item x="62"/>
        <item x="61"/>
        <item m="1" x="83"/>
        <item m="1" x="116"/>
        <item m="1" x="115"/>
        <item m="1" x="114"/>
        <item m="1" x="113"/>
        <item m="1" x="112"/>
        <item m="1" x="111"/>
        <item m="1" x="110"/>
        <item m="1" x="109"/>
        <item m="1" x="108"/>
        <item m="1" x="107"/>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m="1" x="106"/>
        <item m="1" x="105"/>
        <item m="1" x="104"/>
        <item x="26"/>
        <item x="25"/>
        <item x="24"/>
        <item x="23"/>
        <item x="22"/>
        <item x="21"/>
        <item x="20"/>
        <item x="19"/>
        <item x="18"/>
        <item x="17"/>
        <item x="16"/>
        <item x="15"/>
        <item x="14"/>
        <item x="13"/>
        <item x="12"/>
        <item m="1" x="103"/>
        <item m="1" x="102"/>
        <item m="1" x="101"/>
        <item m="1" x="100"/>
        <item m="1" x="99"/>
        <item m="1" x="98"/>
        <item x="11"/>
        <item x="10"/>
        <item x="9"/>
        <item m="1" x="97"/>
        <item m="1" x="96"/>
        <item m="1" x="95"/>
        <item m="1" x="94"/>
        <item m="1" x="93"/>
        <item m="1" x="92"/>
        <item x="8"/>
        <item x="7"/>
        <item m="1" x="91"/>
        <item x="6"/>
        <item x="5"/>
        <item x="4"/>
        <item x="3"/>
        <item m="1" x="90"/>
        <item m="1" x="89"/>
        <item m="1" x="88"/>
        <item m="1" x="87"/>
        <item m="1" x="86"/>
        <item x="2"/>
        <item m="1" x="85"/>
        <item m="1" x="8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pivotField multipleItemSelectionAllowed="1" showAll="0" sortType="ascending" defaultSubtotal="0">
      <items count="14">
        <item x="1"/>
        <item x="2"/>
        <item x="3"/>
        <item x="4"/>
        <item x="5"/>
        <item x="6"/>
        <item x="7"/>
        <item x="8"/>
        <item x="9"/>
        <item x="10"/>
        <item x="11"/>
        <item x="12"/>
        <item x="0"/>
        <item x="13"/>
      </items>
    </pivotField>
  </pivotFields>
  <rowFields count="2">
    <field x="3"/>
    <field x="1"/>
  </rowFields>
  <rowItems count="20">
    <i>
      <x v="72"/>
    </i>
    <i r="1">
      <x/>
    </i>
    <i r="1">
      <x v="1"/>
    </i>
    <i r="1">
      <x v="2"/>
    </i>
    <i>
      <x v="14"/>
    </i>
    <i r="1">
      <x v="1"/>
    </i>
    <i r="1">
      <x v="2"/>
    </i>
    <i>
      <x v="116"/>
    </i>
    <i r="1">
      <x/>
    </i>
    <i r="1">
      <x v="1"/>
    </i>
    <i r="1">
      <x v="2"/>
    </i>
    <i>
      <x v="76"/>
    </i>
    <i r="1">
      <x/>
    </i>
    <i r="1">
      <x v="1"/>
    </i>
    <i r="1">
      <x v="2"/>
    </i>
    <i>
      <x v="7"/>
    </i>
    <i r="1">
      <x/>
    </i>
    <i r="1">
      <x v="1"/>
    </i>
    <i r="1">
      <x v="2"/>
    </i>
    <i t="grand">
      <x/>
    </i>
  </rowItems>
  <colItems count="1">
    <i/>
  </colItems>
  <dataFields count="1">
    <dataField name="Count of MAKE" fld="3" subtotal="count" baseField="0" baseItem="0"/>
  </dataFields>
  <chartFormats count="85">
    <chartFormat chart="0" format="0" series="1">
      <pivotArea type="data" outline="0" fieldPosition="0">
        <references count="2">
          <reference field="4294967294" count="1" selected="0">
            <x v="0"/>
          </reference>
          <reference field="3" count="1" selected="0">
            <x v="72"/>
          </reference>
        </references>
      </pivotArea>
    </chartFormat>
    <chartFormat chart="0" format="1" series="1">
      <pivotArea type="data" outline="0" fieldPosition="0">
        <references count="2">
          <reference field="4294967294" count="1" selected="0">
            <x v="0"/>
          </reference>
          <reference field="3" count="1" selected="0">
            <x v="14"/>
          </reference>
        </references>
      </pivotArea>
    </chartFormat>
    <chartFormat chart="0" format="2" series="1">
      <pivotArea type="data" outline="0" fieldPosition="0">
        <references count="2">
          <reference field="4294967294" count="1" selected="0">
            <x v="0"/>
          </reference>
          <reference field="3" count="1" selected="0">
            <x v="116"/>
          </reference>
        </references>
      </pivotArea>
    </chartFormat>
    <chartFormat chart="0" format="3" series="1">
      <pivotArea type="data" outline="0" fieldPosition="0">
        <references count="2">
          <reference field="4294967294" count="1" selected="0">
            <x v="0"/>
          </reference>
          <reference field="3" count="1" selected="0">
            <x v="76"/>
          </reference>
        </references>
      </pivotArea>
    </chartFormat>
    <chartFormat chart="0" format="4" series="1">
      <pivotArea type="data" outline="0" fieldPosition="0">
        <references count="2">
          <reference field="4294967294" count="1" selected="0">
            <x v="0"/>
          </reference>
          <reference field="3" count="1" selected="0">
            <x v="7"/>
          </reference>
        </references>
      </pivotArea>
    </chartFormat>
    <chartFormat chart="0" format="5" series="1">
      <pivotArea type="data" outline="0" fieldPosition="0">
        <references count="2">
          <reference field="4294967294" count="1" selected="0">
            <x v="0"/>
          </reference>
          <reference field="3" count="1" selected="0">
            <x v="27"/>
          </reference>
        </references>
      </pivotArea>
    </chartFormat>
    <chartFormat chart="0" format="6" series="1">
      <pivotArea type="data" outline="0" fieldPosition="0">
        <references count="2">
          <reference field="4294967294" count="1" selected="0">
            <x v="0"/>
          </reference>
          <reference field="3" count="1" selected="0">
            <x v="16"/>
          </reference>
        </references>
      </pivotArea>
    </chartFormat>
    <chartFormat chart="0" format="7" series="1">
      <pivotArea type="data" outline="0" fieldPosition="0">
        <references count="2">
          <reference field="4294967294" count="1" selected="0">
            <x v="0"/>
          </reference>
          <reference field="3" count="1" selected="0">
            <x v="48"/>
          </reference>
        </references>
      </pivotArea>
    </chartFormat>
    <chartFormat chart="0" format="8" series="1">
      <pivotArea type="data" outline="0" fieldPosition="0">
        <references count="2">
          <reference field="4294967294" count="1" selected="0">
            <x v="0"/>
          </reference>
          <reference field="3" count="1" selected="0">
            <x v="66"/>
          </reference>
        </references>
      </pivotArea>
    </chartFormat>
    <chartFormat chart="0" format="9" series="1">
      <pivotArea type="data" outline="0" fieldPosition="0">
        <references count="2">
          <reference field="4294967294" count="1" selected="0">
            <x v="0"/>
          </reference>
          <reference field="3" count="1" selected="0">
            <x v="62"/>
          </reference>
        </references>
      </pivotArea>
    </chartFormat>
    <chartFormat chart="0" format="10" series="1">
      <pivotArea type="data" outline="0" fieldPosition="0">
        <references count="2">
          <reference field="4294967294" count="1" selected="0">
            <x v="0"/>
          </reference>
          <reference field="3" count="1" selected="0">
            <x v="46"/>
          </reference>
        </references>
      </pivotArea>
    </chartFormat>
    <chartFormat chart="0" format="11" series="1">
      <pivotArea type="data" outline="0" fieldPosition="0">
        <references count="2">
          <reference field="4294967294" count="1" selected="0">
            <x v="0"/>
          </reference>
          <reference field="3" count="1" selected="0">
            <x v="13"/>
          </reference>
        </references>
      </pivotArea>
    </chartFormat>
    <chartFormat chart="0" format="12" series="1">
      <pivotArea type="data" outline="0" fieldPosition="0">
        <references count="2">
          <reference field="4294967294" count="1" selected="0">
            <x v="0"/>
          </reference>
          <reference field="3" count="1" selected="0">
            <x v="118"/>
          </reference>
        </references>
      </pivotArea>
    </chartFormat>
    <chartFormat chart="0" format="13" series="1">
      <pivotArea type="data" outline="0" fieldPosition="0">
        <references count="2">
          <reference field="4294967294" count="1" selected="0">
            <x v="0"/>
          </reference>
          <reference field="3" count="1" selected="0">
            <x v="127"/>
          </reference>
        </references>
      </pivotArea>
    </chartFormat>
    <chartFormat chart="0" format="14" series="1">
      <pivotArea type="data" outline="0" fieldPosition="0">
        <references count="2">
          <reference field="4294967294" count="1" selected="0">
            <x v="0"/>
          </reference>
          <reference field="3" count="1" selected="0">
            <x v="64"/>
          </reference>
        </references>
      </pivotArea>
    </chartFormat>
    <chartFormat chart="0" format="15" series="1">
      <pivotArea type="data" outline="0" fieldPosition="0">
        <references count="2">
          <reference field="4294967294" count="1" selected="0">
            <x v="0"/>
          </reference>
          <reference field="3" count="1" selected="0">
            <x v="94"/>
          </reference>
        </references>
      </pivotArea>
    </chartFormat>
    <chartFormat chart="0" format="16" series="1">
      <pivotArea type="data" outline="0" fieldPosition="0">
        <references count="2">
          <reference field="4294967294" count="1" selected="0">
            <x v="0"/>
          </reference>
          <reference field="3" count="1" selected="0">
            <x v="9"/>
          </reference>
        </references>
      </pivotArea>
    </chartFormat>
    <chartFormat chart="0" format="17" series="1">
      <pivotArea type="data" outline="0" fieldPosition="0">
        <references count="2">
          <reference field="4294967294" count="1" selected="0">
            <x v="0"/>
          </reference>
          <reference field="3" count="1" selected="0">
            <x v="113"/>
          </reference>
        </references>
      </pivotArea>
    </chartFormat>
    <chartFormat chart="0" format="18" series="1">
      <pivotArea type="data" outline="0" fieldPosition="0">
        <references count="2">
          <reference field="4294967294" count="1" selected="0">
            <x v="0"/>
          </reference>
          <reference field="3" count="1" selected="0">
            <x v="47"/>
          </reference>
        </references>
      </pivotArea>
    </chartFormat>
    <chartFormat chart="0" format="19" series="1">
      <pivotArea type="data" outline="0" fieldPosition="0">
        <references count="2">
          <reference field="4294967294" count="1" selected="0">
            <x v="0"/>
          </reference>
          <reference field="3" count="1" selected="0">
            <x v="68"/>
          </reference>
        </references>
      </pivotArea>
    </chartFormat>
    <chartFormat chart="0" format="20" series="1">
      <pivotArea type="data" outline="0" fieldPosition="0">
        <references count="2">
          <reference field="4294967294" count="1" selected="0">
            <x v="0"/>
          </reference>
          <reference field="3" count="1" selected="0">
            <x v="29"/>
          </reference>
        </references>
      </pivotArea>
    </chartFormat>
    <chartFormat chart="0" format="21" series="1">
      <pivotArea type="data" outline="0" fieldPosition="0">
        <references count="2">
          <reference field="4294967294" count="1" selected="0">
            <x v="0"/>
          </reference>
          <reference field="3" count="1" selected="0">
            <x v="87"/>
          </reference>
        </references>
      </pivotArea>
    </chartFormat>
    <chartFormat chart="0" format="22" series="1">
      <pivotArea type="data" outline="0" fieldPosition="0">
        <references count="2">
          <reference field="4294967294" count="1" selected="0">
            <x v="0"/>
          </reference>
          <reference field="3" count="1" selected="0">
            <x v="74"/>
          </reference>
        </references>
      </pivotArea>
    </chartFormat>
    <chartFormat chart="0" format="23" series="1">
      <pivotArea type="data" outline="0" fieldPosition="0">
        <references count="2">
          <reference field="4294967294" count="1" selected="0">
            <x v="0"/>
          </reference>
          <reference field="3" count="1" selected="0">
            <x v="12"/>
          </reference>
        </references>
      </pivotArea>
    </chartFormat>
    <chartFormat chart="0" format="24" series="1">
      <pivotArea type="data" outline="0" fieldPosition="0">
        <references count="2">
          <reference field="4294967294" count="1" selected="0">
            <x v="0"/>
          </reference>
          <reference field="3" count="1" selected="0">
            <x v="60"/>
          </reference>
        </references>
      </pivotArea>
    </chartFormat>
    <chartFormat chart="0" format="25" series="1">
      <pivotArea type="data" outline="0" fieldPosition="0">
        <references count="2">
          <reference field="4294967294" count="1" selected="0">
            <x v="0"/>
          </reference>
          <reference field="3" count="1" selected="0">
            <x v="53"/>
          </reference>
        </references>
      </pivotArea>
    </chartFormat>
    <chartFormat chart="0" format="26" series="1">
      <pivotArea type="data" outline="0" fieldPosition="0">
        <references count="2">
          <reference field="4294967294" count="1" selected="0">
            <x v="0"/>
          </reference>
          <reference field="3" count="1" selected="0">
            <x v="63"/>
          </reference>
        </references>
      </pivotArea>
    </chartFormat>
    <chartFormat chart="0" format="27" series="1">
      <pivotArea type="data" outline="0" fieldPosition="0">
        <references count="2">
          <reference field="4294967294" count="1" selected="0">
            <x v="0"/>
          </reference>
          <reference field="3" count="1" selected="0">
            <x v="56"/>
          </reference>
        </references>
      </pivotArea>
    </chartFormat>
    <chartFormat chart="0" format="28" series="1">
      <pivotArea type="data" outline="0" fieldPosition="0">
        <references count="2">
          <reference field="4294967294" count="1" selected="0">
            <x v="0"/>
          </reference>
          <reference field="3" count="1" selected="0">
            <x v="86"/>
          </reference>
        </references>
      </pivotArea>
    </chartFormat>
    <chartFormat chart="0" format="29" series="1">
      <pivotArea type="data" outline="0" fieldPosition="0">
        <references count="2">
          <reference field="4294967294" count="1" selected="0">
            <x v="0"/>
          </reference>
          <reference field="3" count="1" selected="0">
            <x v="57"/>
          </reference>
        </references>
      </pivotArea>
    </chartFormat>
    <chartFormat chart="0" format="30" series="1">
      <pivotArea type="data" outline="0" fieldPosition="0">
        <references count="2">
          <reference field="4294967294" count="1" selected="0">
            <x v="0"/>
          </reference>
          <reference field="3" count="1" selected="0">
            <x v="59"/>
          </reference>
        </references>
      </pivotArea>
    </chartFormat>
    <chartFormat chart="0" format="31" series="1">
      <pivotArea type="data" outline="0" fieldPosition="0">
        <references count="2">
          <reference field="4294967294" count="1" selected="0">
            <x v="0"/>
          </reference>
          <reference field="3" count="1" selected="0">
            <x v="115"/>
          </reference>
        </references>
      </pivotArea>
    </chartFormat>
    <chartFormat chart="0" format="32" series="1">
      <pivotArea type="data" outline="0" fieldPosition="0">
        <references count="2">
          <reference field="4294967294" count="1" selected="0">
            <x v="0"/>
          </reference>
          <reference field="3" count="1" selected="0">
            <x v="90"/>
          </reference>
        </references>
      </pivotArea>
    </chartFormat>
    <chartFormat chart="0" format="33" series="1">
      <pivotArea type="data" outline="0" fieldPosition="0">
        <references count="2">
          <reference field="4294967294" count="1" selected="0">
            <x v="0"/>
          </reference>
          <reference field="3" count="1" selected="0">
            <x v="82"/>
          </reference>
        </references>
      </pivotArea>
    </chartFormat>
    <chartFormat chart="0" format="34" series="1">
      <pivotArea type="data" outline="0" fieldPosition="0">
        <references count="2">
          <reference field="4294967294" count="1" selected="0">
            <x v="0"/>
          </reference>
          <reference field="3" count="1" selected="0">
            <x v="75"/>
          </reference>
        </references>
      </pivotArea>
    </chartFormat>
    <chartFormat chart="0" format="35" series="1">
      <pivotArea type="data" outline="0" fieldPosition="0">
        <references count="2">
          <reference field="4294967294" count="1" selected="0">
            <x v="0"/>
          </reference>
          <reference field="3" count="1" selected="0">
            <x v="33"/>
          </reference>
        </references>
      </pivotArea>
    </chartFormat>
    <chartFormat chart="0" format="36" series="1">
      <pivotArea type="data" outline="0" fieldPosition="0">
        <references count="2">
          <reference field="4294967294" count="1" selected="0">
            <x v="0"/>
          </reference>
          <reference field="3" count="1" selected="0">
            <x v="34"/>
          </reference>
        </references>
      </pivotArea>
    </chartFormat>
    <chartFormat chart="0" format="37" series="1">
      <pivotArea type="data" outline="0" fieldPosition="0">
        <references count="2">
          <reference field="4294967294" count="1" selected="0">
            <x v="0"/>
          </reference>
          <reference field="3" count="1" selected="0">
            <x v="28"/>
          </reference>
        </references>
      </pivotArea>
    </chartFormat>
    <chartFormat chart="0" format="38" series="1">
      <pivotArea type="data" outline="0" fieldPosition="0">
        <references count="2">
          <reference field="4294967294" count="1" selected="0">
            <x v="0"/>
          </reference>
          <reference field="3" count="1" selected="0">
            <x v="30"/>
          </reference>
        </references>
      </pivotArea>
    </chartFormat>
    <chartFormat chart="0" format="39" series="1">
      <pivotArea type="data" outline="0" fieldPosition="0">
        <references count="2">
          <reference field="4294967294" count="1" selected="0">
            <x v="0"/>
          </reference>
          <reference field="3" count="1" selected="0">
            <x v="58"/>
          </reference>
        </references>
      </pivotArea>
    </chartFormat>
    <chartFormat chart="0" format="40" series="1">
      <pivotArea type="data" outline="0" fieldPosition="0">
        <references count="2">
          <reference field="4294967294" count="1" selected="0">
            <x v="0"/>
          </reference>
          <reference field="3" count="1" selected="0">
            <x v="77"/>
          </reference>
        </references>
      </pivotArea>
    </chartFormat>
    <chartFormat chart="0" format="41" series="1">
      <pivotArea type="data" outline="0" fieldPosition="0">
        <references count="2">
          <reference field="4294967294" count="1" selected="0">
            <x v="0"/>
          </reference>
          <reference field="3" count="1" selected="0">
            <x v="8"/>
          </reference>
        </references>
      </pivotArea>
    </chartFormat>
    <chartFormat chart="0" format="42" series="1">
      <pivotArea type="data" outline="0" fieldPosition="0">
        <references count="2">
          <reference field="4294967294" count="1" selected="0">
            <x v="0"/>
          </reference>
          <reference field="3" count="1" selected="0">
            <x v="84"/>
          </reference>
        </references>
      </pivotArea>
    </chartFormat>
    <chartFormat chart="0" format="43" series="1">
      <pivotArea type="data" outline="0" fieldPosition="0">
        <references count="2">
          <reference field="4294967294" count="1" selected="0">
            <x v="0"/>
          </reference>
          <reference field="3" count="1" selected="0">
            <x v="49"/>
          </reference>
        </references>
      </pivotArea>
    </chartFormat>
    <chartFormat chart="0" format="44" series="1">
      <pivotArea type="data" outline="0" fieldPosition="0">
        <references count="2">
          <reference field="4294967294" count="1" selected="0">
            <x v="0"/>
          </reference>
          <reference field="3" count="1" selected="0">
            <x v="88"/>
          </reference>
        </references>
      </pivotArea>
    </chartFormat>
    <chartFormat chart="0" format="45" series="1">
      <pivotArea type="data" outline="0" fieldPosition="0">
        <references count="2">
          <reference field="4294967294" count="1" selected="0">
            <x v="0"/>
          </reference>
          <reference field="3" count="1" selected="0">
            <x v="61"/>
          </reference>
        </references>
      </pivotArea>
    </chartFormat>
    <chartFormat chart="0" format="46" series="1">
      <pivotArea type="data" outline="0" fieldPosition="0">
        <references count="2">
          <reference field="4294967294" count="1" selected="0">
            <x v="0"/>
          </reference>
          <reference field="3" count="1" selected="0">
            <x v="92"/>
          </reference>
        </references>
      </pivotArea>
    </chartFormat>
    <chartFormat chart="0" format="47" series="1">
      <pivotArea type="data" outline="0" fieldPosition="0">
        <references count="2">
          <reference field="4294967294" count="1" selected="0">
            <x v="0"/>
          </reference>
          <reference field="3" count="1" selected="0">
            <x v="50"/>
          </reference>
        </references>
      </pivotArea>
    </chartFormat>
    <chartFormat chart="0" format="48" series="1">
      <pivotArea type="data" outline="0" fieldPosition="0">
        <references count="2">
          <reference field="4294967294" count="1" selected="0">
            <x v="0"/>
          </reference>
          <reference field="3" count="1" selected="0">
            <x v="96"/>
          </reference>
        </references>
      </pivotArea>
    </chartFormat>
    <chartFormat chart="0" format="49" series="1">
      <pivotArea type="data" outline="0" fieldPosition="0">
        <references count="2">
          <reference field="4294967294" count="1" selected="0">
            <x v="0"/>
          </reference>
          <reference field="3" count="1" selected="0">
            <x v="51"/>
          </reference>
        </references>
      </pivotArea>
    </chartFormat>
    <chartFormat chart="0" format="50" series="1">
      <pivotArea type="data" outline="0" fieldPosition="0">
        <references count="2">
          <reference field="4294967294" count="1" selected="0">
            <x v="0"/>
          </reference>
          <reference field="3" count="1" selected="0">
            <x v="17"/>
          </reference>
        </references>
      </pivotArea>
    </chartFormat>
    <chartFormat chart="0" format="51" series="1">
      <pivotArea type="data" outline="0" fieldPosition="0">
        <references count="2">
          <reference field="4294967294" count="1" selected="0">
            <x v="0"/>
          </reference>
          <reference field="3" count="1" selected="0">
            <x v="65"/>
          </reference>
        </references>
      </pivotArea>
    </chartFormat>
    <chartFormat chart="0" format="52" series="1">
      <pivotArea type="data" outline="0" fieldPosition="0">
        <references count="2">
          <reference field="4294967294" count="1" selected="0">
            <x v="0"/>
          </reference>
          <reference field="3" count="1" selected="0">
            <x v="78"/>
          </reference>
        </references>
      </pivotArea>
    </chartFormat>
    <chartFormat chart="0" format="53" series="1">
      <pivotArea type="data" outline="0" fieldPosition="0">
        <references count="2">
          <reference field="4294967294" count="1" selected="0">
            <x v="0"/>
          </reference>
          <reference field="3" count="1" selected="0">
            <x v="15"/>
          </reference>
        </references>
      </pivotArea>
    </chartFormat>
    <chartFormat chart="0" format="54" series="1">
      <pivotArea type="data" outline="0" fieldPosition="0">
        <references count="2">
          <reference field="4294967294" count="1" selected="0">
            <x v="0"/>
          </reference>
          <reference field="3" count="1" selected="0">
            <x v="83"/>
          </reference>
        </references>
      </pivotArea>
    </chartFormat>
    <chartFormat chart="0" format="55" series="1">
      <pivotArea type="data" outline="0" fieldPosition="0">
        <references count="2">
          <reference field="4294967294" count="1" selected="0">
            <x v="0"/>
          </reference>
          <reference field="3" count="1" selected="0">
            <x v="67"/>
          </reference>
        </references>
      </pivotArea>
    </chartFormat>
    <chartFormat chart="0" format="56" series="1">
      <pivotArea type="data" outline="0" fieldPosition="0">
        <references count="2">
          <reference field="4294967294" count="1" selected="0">
            <x v="0"/>
          </reference>
          <reference field="3" count="1" selected="0">
            <x v="85"/>
          </reference>
        </references>
      </pivotArea>
    </chartFormat>
    <chartFormat chart="0" format="57" series="1">
      <pivotArea type="data" outline="0" fieldPosition="0">
        <references count="2">
          <reference field="4294967294" count="1" selected="0">
            <x v="0"/>
          </reference>
          <reference field="3" count="1" selected="0">
            <x v="103"/>
          </reference>
        </references>
      </pivotArea>
    </chartFormat>
    <chartFormat chart="0" format="58" series="1">
      <pivotArea type="data" outline="0" fieldPosition="0">
        <references count="2">
          <reference field="4294967294" count="1" selected="0">
            <x v="0"/>
          </reference>
          <reference field="3" count="1" selected="0">
            <x v="54"/>
          </reference>
        </references>
      </pivotArea>
    </chartFormat>
    <chartFormat chart="0" format="59" series="1">
      <pivotArea type="data" outline="0" fieldPosition="0">
        <references count="2">
          <reference field="4294967294" count="1" selected="0">
            <x v="0"/>
          </reference>
          <reference field="3" count="1" selected="0">
            <x v="104"/>
          </reference>
        </references>
      </pivotArea>
    </chartFormat>
    <chartFormat chart="0" format="60" series="1">
      <pivotArea type="data" outline="0" fieldPosition="0">
        <references count="2">
          <reference field="4294967294" count="1" selected="0">
            <x v="0"/>
          </reference>
          <reference field="3" count="1" selected="0">
            <x v="89"/>
          </reference>
        </references>
      </pivotArea>
    </chartFormat>
    <chartFormat chart="0" format="61" series="1">
      <pivotArea type="data" outline="0" fieldPosition="0">
        <references count="2">
          <reference field="4294967294" count="1" selected="0">
            <x v="0"/>
          </reference>
          <reference field="3" count="1" selected="0">
            <x v="112"/>
          </reference>
        </references>
      </pivotArea>
    </chartFormat>
    <chartFormat chart="0" format="62" series="1">
      <pivotArea type="data" outline="0" fieldPosition="0">
        <references count="2">
          <reference field="4294967294" count="1" selected="0">
            <x v="0"/>
          </reference>
          <reference field="3" count="1" selected="0">
            <x v="91"/>
          </reference>
        </references>
      </pivotArea>
    </chartFormat>
    <chartFormat chart="0" format="63" series="1">
      <pivotArea type="data" outline="0" fieldPosition="0">
        <references count="2">
          <reference field="4294967294" count="1" selected="0">
            <x v="0"/>
          </reference>
          <reference field="3" count="1" selected="0">
            <x v="32"/>
          </reference>
        </references>
      </pivotArea>
    </chartFormat>
    <chartFormat chart="0" format="64" series="1">
      <pivotArea type="data" outline="0" fieldPosition="0">
        <references count="2">
          <reference field="4294967294" count="1" selected="0">
            <x v="0"/>
          </reference>
          <reference field="3" count="1" selected="0">
            <x v="93"/>
          </reference>
        </references>
      </pivotArea>
    </chartFormat>
    <chartFormat chart="0" format="65" series="1">
      <pivotArea type="data" outline="0" fieldPosition="0">
        <references count="2">
          <reference field="4294967294" count="1" selected="0">
            <x v="0"/>
          </reference>
          <reference field="3" count="1" selected="0">
            <x v="10"/>
          </reference>
        </references>
      </pivotArea>
    </chartFormat>
    <chartFormat chart="0" format="66" series="1">
      <pivotArea type="data" outline="0" fieldPosition="0">
        <references count="2">
          <reference field="4294967294" count="1" selected="0">
            <x v="0"/>
          </reference>
          <reference field="3" count="1" selected="0">
            <x v="95"/>
          </reference>
        </references>
      </pivotArea>
    </chartFormat>
    <chartFormat chart="0" format="67" series="1">
      <pivotArea type="data" outline="0" fieldPosition="0">
        <references count="2">
          <reference field="4294967294" count="1" selected="0">
            <x v="0"/>
          </reference>
          <reference field="3" count="1" selected="0">
            <x v="73"/>
          </reference>
        </references>
      </pivotArea>
    </chartFormat>
    <chartFormat chart="0" format="68" series="1">
      <pivotArea type="data" outline="0" fieldPosition="0">
        <references count="2">
          <reference field="4294967294" count="1" selected="0">
            <x v="0"/>
          </reference>
          <reference field="3" count="1" selected="0">
            <x v="55"/>
          </reference>
        </references>
      </pivotArea>
    </chartFormat>
    <chartFormat chart="0" format="69" series="1">
      <pivotArea type="data" outline="0" fieldPosition="0">
        <references count="2">
          <reference field="4294967294" count="1" selected="0">
            <x v="0"/>
          </reference>
          <reference field="3" count="1" selected="0">
            <x v="52"/>
          </reference>
        </references>
      </pivotArea>
    </chartFormat>
    <chartFormat chart="0" format="70" series="1">
      <pivotArea type="data" outline="0" fieldPosition="0">
        <references count="2">
          <reference field="4294967294" count="1" selected="0">
            <x v="0"/>
          </reference>
          <reference field="3" count="1" selected="0">
            <x v="105"/>
          </reference>
        </references>
      </pivotArea>
    </chartFormat>
    <chartFormat chart="0" format="71" series="1">
      <pivotArea type="data" outline="0" fieldPosition="0">
        <references count="2">
          <reference field="4294967294" count="1" selected="0">
            <x v="0"/>
          </reference>
          <reference field="3" count="1" selected="0">
            <x v="20"/>
          </reference>
        </references>
      </pivotArea>
    </chartFormat>
    <chartFormat chart="0" format="72" series="1">
      <pivotArea type="data" outline="0" fieldPosition="0">
        <references count="2">
          <reference field="4294967294" count="1" selected="0">
            <x v="0"/>
          </reference>
          <reference field="3" count="1" selected="0">
            <x v="31"/>
          </reference>
        </references>
      </pivotArea>
    </chartFormat>
    <chartFormat chart="0" format="73" series="1">
      <pivotArea type="data" outline="0" fieldPosition="0">
        <references count="2">
          <reference field="4294967294" count="1" selected="0">
            <x v="0"/>
          </reference>
          <reference field="3" count="1" selected="0">
            <x v="25"/>
          </reference>
        </references>
      </pivotArea>
    </chartFormat>
    <chartFormat chart="0" format="74" series="1">
      <pivotArea type="data" outline="0" fieldPosition="0">
        <references count="2">
          <reference field="4294967294" count="1" selected="0">
            <x v="0"/>
          </reference>
          <reference field="3" count="1" selected="0">
            <x v="26"/>
          </reference>
        </references>
      </pivotArea>
    </chartFormat>
    <chartFormat chart="0" format="75" series="1">
      <pivotArea type="data" outline="0" fieldPosition="0">
        <references count="2">
          <reference field="4294967294" count="1" selected="0">
            <x v="0"/>
          </reference>
          <reference field="3" count="1" selected="0">
            <x v="117"/>
          </reference>
        </references>
      </pivotArea>
    </chartFormat>
    <chartFormat chart="0" format="76" series="1">
      <pivotArea type="data" outline="0" fieldPosition="0">
        <references count="2">
          <reference field="4294967294" count="1" selected="0">
            <x v="0"/>
          </reference>
          <reference field="3" count="1" selected="0">
            <x v="69"/>
          </reference>
        </references>
      </pivotArea>
    </chartFormat>
    <chartFormat chart="0" format="77" series="1">
      <pivotArea type="data" outline="0" fieldPosition="0">
        <references count="2">
          <reference field="4294967294" count="1" selected="0">
            <x v="0"/>
          </reference>
          <reference field="3" count="1" selected="0">
            <x v="124"/>
          </reference>
        </references>
      </pivotArea>
    </chartFormat>
    <chartFormat chart="0" format="78" series="1">
      <pivotArea type="data" outline="0" fieldPosition="0">
        <references count="2">
          <reference field="4294967294" count="1" selected="0">
            <x v="0"/>
          </reference>
          <reference field="3" count="1" selected="0">
            <x v="70"/>
          </reference>
        </references>
      </pivotArea>
    </chartFormat>
    <chartFormat chart="0" format="79" series="1">
      <pivotArea type="data" outline="0" fieldPosition="0">
        <references count="2">
          <reference field="4294967294" count="1" selected="0">
            <x v="0"/>
          </reference>
          <reference field="3" count="1" selected="0">
            <x v="128"/>
          </reference>
        </references>
      </pivotArea>
    </chartFormat>
    <chartFormat chart="0" format="80" series="1">
      <pivotArea type="data" outline="0" fieldPosition="0">
        <references count="2">
          <reference field="4294967294" count="1" selected="0">
            <x v="0"/>
          </reference>
          <reference field="3" count="1" selected="0">
            <x v="11"/>
          </reference>
        </references>
      </pivotArea>
    </chartFormat>
    <chartFormat chart="0" format="81" series="1">
      <pivotArea type="data" outline="0" fieldPosition="0">
        <references count="2">
          <reference field="4294967294" count="1" selected="0">
            <x v="0"/>
          </reference>
          <reference field="3" count="1" selected="0">
            <x v="71"/>
          </reference>
        </references>
      </pivotArea>
    </chartFormat>
    <chartFormat chart="0" format="82" series="1">
      <pivotArea type="data" outline="0" fieldPosition="0">
        <references count="2">
          <reference field="4294967294" count="1" selected="0">
            <x v="0"/>
          </reference>
          <reference field="3" count="1" selected="0">
            <x v="0"/>
          </reference>
        </references>
      </pivotArea>
    </chartFormat>
    <chartFormat chart="0" format="83" series="1">
      <pivotArea type="data" outline="0" fieldPosition="0">
        <references count="1">
          <reference field="4294967294" count="1" selected="0">
            <x v="0"/>
          </reference>
        </references>
      </pivotArea>
    </chartFormat>
    <chartFormat chart="2" format="9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B3174C-AD34-4674-B5F6-C909D2D09DD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11">
    <pivotField showAll="0">
      <items count="231">
        <item x="186"/>
        <item x="122"/>
        <item x="1"/>
        <item x="126"/>
        <item x="190"/>
        <item x="13"/>
        <item x="63"/>
        <item x="113"/>
        <item x="3"/>
        <item x="105"/>
        <item x="209"/>
        <item x="65"/>
        <item x="211"/>
        <item x="212"/>
        <item x="131"/>
        <item x="60"/>
        <item x="114"/>
        <item x="189"/>
        <item x="119"/>
        <item x="46"/>
        <item x="48"/>
        <item x="99"/>
        <item x="55"/>
        <item x="56"/>
        <item x="115"/>
        <item x="6"/>
        <item x="62"/>
        <item x="7"/>
        <item x="64"/>
        <item x="196"/>
        <item x="50"/>
        <item x="69"/>
        <item x="102"/>
        <item x="14"/>
        <item x="51"/>
        <item x="132"/>
        <item x="2"/>
        <item x="116"/>
        <item x="12"/>
        <item x="0"/>
        <item x="106"/>
        <item x="123"/>
        <item x="199"/>
        <item x="107"/>
        <item x="194"/>
        <item x="47"/>
        <item x="187"/>
        <item x="127"/>
        <item x="117"/>
        <item x="108"/>
        <item x="100"/>
        <item x="120"/>
        <item x="70"/>
        <item x="129"/>
        <item x="128"/>
        <item x="67"/>
        <item x="133"/>
        <item x="193"/>
        <item x="68"/>
        <item x="61"/>
        <item x="49"/>
        <item x="109"/>
        <item x="228"/>
        <item x="125"/>
        <item x="118"/>
        <item x="124"/>
        <item x="200"/>
        <item x="121"/>
        <item x="10"/>
        <item x="130"/>
        <item x="71"/>
        <item x="197"/>
        <item x="66"/>
        <item x="101"/>
        <item x="8"/>
        <item x="58"/>
        <item x="198"/>
        <item x="59"/>
        <item x="15"/>
        <item x="229"/>
        <item x="52"/>
        <item x="57"/>
        <item x="213"/>
        <item x="103"/>
        <item x="110"/>
        <item x="104"/>
        <item x="53"/>
        <item x="54"/>
        <item x="4"/>
        <item x="11"/>
        <item x="111"/>
        <item x="112"/>
        <item x="9"/>
        <item x="201"/>
        <item x="210"/>
        <item x="134"/>
        <item x="135"/>
        <item x="136"/>
        <item x="214"/>
        <item x="218"/>
        <item x="202"/>
        <item x="219"/>
        <item x="5"/>
        <item x="137"/>
        <item x="16"/>
        <item x="220"/>
        <item x="17"/>
        <item x="72"/>
        <item x="138"/>
        <item x="18"/>
        <item x="139"/>
        <item x="140"/>
        <item x="73"/>
        <item x="141"/>
        <item x="19"/>
        <item x="142"/>
        <item x="143"/>
        <item x="215"/>
        <item x="144"/>
        <item x="74"/>
        <item x="75"/>
        <item x="76"/>
        <item x="145"/>
        <item x="77"/>
        <item x="20"/>
        <item x="203"/>
        <item x="21"/>
        <item x="22"/>
        <item x="146"/>
        <item x="23"/>
        <item x="216"/>
        <item x="147"/>
        <item x="148"/>
        <item x="78"/>
        <item x="149"/>
        <item x="24"/>
        <item x="79"/>
        <item x="150"/>
        <item x="221"/>
        <item x="151"/>
        <item x="25"/>
        <item x="152"/>
        <item x="153"/>
        <item x="26"/>
        <item x="27"/>
        <item x="191"/>
        <item x="28"/>
        <item x="80"/>
        <item x="188"/>
        <item x="81"/>
        <item x="82"/>
        <item x="29"/>
        <item x="154"/>
        <item x="83"/>
        <item x="84"/>
        <item x="222"/>
        <item x="30"/>
        <item x="223"/>
        <item x="31"/>
        <item x="224"/>
        <item x="32"/>
        <item x="155"/>
        <item x="156"/>
        <item x="85"/>
        <item x="157"/>
        <item x="86"/>
        <item x="33"/>
        <item x="158"/>
        <item x="159"/>
        <item x="160"/>
        <item x="87"/>
        <item x="204"/>
        <item x="161"/>
        <item x="225"/>
        <item x="162"/>
        <item x="88"/>
        <item x="205"/>
        <item x="89"/>
        <item x="163"/>
        <item x="34"/>
        <item x="195"/>
        <item x="164"/>
        <item x="90"/>
        <item x="192"/>
        <item x="91"/>
        <item x="92"/>
        <item x="35"/>
        <item x="165"/>
        <item x="36"/>
        <item x="166"/>
        <item x="206"/>
        <item x="93"/>
        <item x="94"/>
        <item x="37"/>
        <item x="95"/>
        <item x="167"/>
        <item x="38"/>
        <item x="168"/>
        <item x="39"/>
        <item x="169"/>
        <item x="170"/>
        <item x="207"/>
        <item x="171"/>
        <item x="172"/>
        <item x="217"/>
        <item x="40"/>
        <item x="41"/>
        <item x="208"/>
        <item x="96"/>
        <item x="97"/>
        <item x="42"/>
        <item x="173"/>
        <item x="174"/>
        <item x="175"/>
        <item x="176"/>
        <item x="177"/>
        <item x="43"/>
        <item x="178"/>
        <item x="44"/>
        <item x="226"/>
        <item x="179"/>
        <item x="98"/>
        <item x="180"/>
        <item x="181"/>
        <item x="182"/>
        <item x="227"/>
        <item x="183"/>
        <item x="184"/>
        <item x="45"/>
        <item x="185"/>
        <item t="default"/>
      </items>
    </pivotField>
    <pivotField axis="axisRow" showAll="0">
      <items count="4">
        <item x="0"/>
        <item x="1"/>
        <item x="2"/>
        <item t="default"/>
      </items>
    </pivotField>
    <pivotField showAll="0"/>
    <pivotField showAll="0"/>
    <pivotField axis="axisRow" dataField="1" showAll="0" measureFilter="1" sortType="descending">
      <items count="208">
        <item x="120"/>
        <item m="1" x="206"/>
        <item x="151"/>
        <item x="152"/>
        <item x="154"/>
        <item x="153"/>
        <item x="68"/>
        <item x="69"/>
        <item x="70"/>
        <item x="71"/>
        <item m="1" x="205"/>
        <item x="72"/>
        <item x="73"/>
        <item x="115"/>
        <item x="103"/>
        <item x="74"/>
        <item x="75"/>
        <item x="76"/>
        <item x="77"/>
        <item x="78"/>
        <item x="96"/>
        <item x="79"/>
        <item x="80"/>
        <item x="110"/>
        <item x="98"/>
        <item x="109"/>
        <item x="100"/>
        <item x="81"/>
        <item x="82"/>
        <item x="83"/>
        <item x="176"/>
        <item x="164"/>
        <item x="175"/>
        <item x="167"/>
        <item x="4"/>
        <item x="5"/>
        <item x="6"/>
        <item x="7"/>
        <item x="21"/>
        <item x="15"/>
        <item x="8"/>
        <item x="26"/>
        <item x="102"/>
        <item x="150"/>
        <item x="149"/>
        <item x="84"/>
        <item x="91"/>
        <item x="107"/>
        <item x="113"/>
        <item x="85"/>
        <item x="86"/>
        <item x="87"/>
        <item x="108"/>
        <item x="88"/>
        <item x="105"/>
        <item x="89"/>
        <item x="90"/>
        <item x="95"/>
        <item x="93"/>
        <item x="45"/>
        <item x="134"/>
        <item x="135"/>
        <item x="136"/>
        <item x="137"/>
        <item x="138"/>
        <item x="139"/>
        <item x="140"/>
        <item x="141"/>
        <item x="146"/>
        <item x="24"/>
        <item x="97"/>
        <item x="94"/>
        <item x="114"/>
        <item x="101"/>
        <item x="12"/>
        <item x="9"/>
        <item x="14"/>
        <item x="27"/>
        <item x="18"/>
        <item x="106"/>
        <item x="39"/>
        <item x="124"/>
        <item x="186"/>
        <item x="195"/>
        <item x="191"/>
        <item x="190"/>
        <item x="194"/>
        <item x="192"/>
        <item x="181"/>
        <item x="182"/>
        <item x="189"/>
        <item x="196"/>
        <item x="198"/>
        <item x="183"/>
        <item x="37"/>
        <item x="155"/>
        <item x="158"/>
        <item x="64"/>
        <item x="111"/>
        <item x="116"/>
        <item x="126"/>
        <item x="104"/>
        <item x="61"/>
        <item x="59"/>
        <item x="144"/>
        <item x="112"/>
        <item x="143"/>
        <item x="142"/>
        <item x="160"/>
        <item x="162"/>
        <item x="171"/>
        <item x="166"/>
        <item x="177"/>
        <item x="173"/>
        <item x="174"/>
        <item x="169"/>
        <item x="65"/>
        <item x="50"/>
        <item x="157"/>
        <item x="51"/>
        <item x="53"/>
        <item x="41"/>
        <item x="52"/>
        <item x="145"/>
        <item x="193"/>
        <item x="188"/>
        <item x="163"/>
        <item x="170"/>
        <item x="168"/>
        <item x="38"/>
        <item x="47"/>
        <item x="57"/>
        <item x="62"/>
        <item x="63"/>
        <item x="121"/>
        <item x="43"/>
        <item x="55"/>
        <item x="60"/>
        <item x="29"/>
        <item x="20"/>
        <item x="22"/>
        <item x="30"/>
        <item x="31"/>
        <item x="32"/>
        <item x="33"/>
        <item x="13"/>
        <item x="34"/>
        <item x="16"/>
        <item x="23"/>
        <item x="10"/>
        <item x="11"/>
        <item x="17"/>
        <item x="25"/>
        <item x="19"/>
        <item x="35"/>
        <item x="28"/>
        <item x="36"/>
        <item x="133"/>
        <item x="159"/>
        <item x="184"/>
        <item x="123"/>
        <item x="125"/>
        <item x="1"/>
        <item x="2"/>
        <item x="161"/>
        <item x="180"/>
        <item x="172"/>
        <item x="179"/>
        <item x="148"/>
        <item x="117"/>
        <item x="118"/>
        <item x="92"/>
        <item x="119"/>
        <item x="99"/>
        <item x="66"/>
        <item x="67"/>
        <item x="44"/>
        <item x="49"/>
        <item x="56"/>
        <item x="48"/>
        <item x="40"/>
        <item x="122"/>
        <item x="58"/>
        <item x="156"/>
        <item x="3"/>
        <item x="147"/>
        <item x="131"/>
        <item x="127"/>
        <item x="128"/>
        <item x="129"/>
        <item x="130"/>
        <item x="132"/>
        <item x="165"/>
        <item x="178"/>
        <item x="54"/>
        <item x="46"/>
        <item x="42"/>
        <item x="200"/>
        <item x="201"/>
        <item x="202"/>
        <item x="203"/>
        <item x="187"/>
        <item x="204"/>
        <item x="185"/>
        <item x="199"/>
        <item x="19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sortType="ascending" defaultSubtotal="0">
      <items count="14">
        <item x="1"/>
        <item x="2"/>
        <item x="3"/>
        <item x="4"/>
        <item x="5"/>
        <item x="6"/>
        <item x="7"/>
        <item x="8"/>
        <item x="9"/>
        <item x="10"/>
        <item x="11"/>
        <item x="12"/>
        <item x="0"/>
        <item x="13"/>
      </items>
    </pivotField>
  </pivotFields>
  <rowFields count="2">
    <field x="4"/>
    <field x="1"/>
  </rowFields>
  <rowItems count="18">
    <i>
      <x v="9"/>
    </i>
    <i r="1">
      <x/>
    </i>
    <i r="1">
      <x v="1"/>
    </i>
    <i r="1">
      <x v="2"/>
    </i>
    <i>
      <x v="6"/>
    </i>
    <i r="1">
      <x/>
    </i>
    <i r="1">
      <x v="1"/>
    </i>
    <i>
      <x v="108"/>
    </i>
    <i r="1">
      <x v="1"/>
    </i>
    <i r="1">
      <x v="2"/>
    </i>
    <i>
      <x v="16"/>
    </i>
    <i r="1">
      <x/>
    </i>
    <i r="1">
      <x v="1"/>
    </i>
    <i r="1">
      <x v="2"/>
    </i>
    <i>
      <x v="71"/>
    </i>
    <i r="1">
      <x v="1"/>
    </i>
    <i r="1">
      <x v="2"/>
    </i>
    <i t="grand">
      <x/>
    </i>
  </rowItems>
  <colItems count="1">
    <i/>
  </colItems>
  <dataFields count="1">
    <dataField name="Count of Model" fld="4" subtotal="count" baseField="0" baseItem="0"/>
  </dataFields>
  <chartFormats count="2">
    <chartFormat chart="0" format="205" series="1">
      <pivotArea type="data" outline="0" fieldPosition="0">
        <references count="1">
          <reference field="4294967294" count="1" selected="0">
            <x v="0"/>
          </reference>
        </references>
      </pivotArea>
    </chartFormat>
    <chartFormat chart="1" format="20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aran.varma@2wheelr.com" TargetMode="External"/></Relationships>
</file>

<file path=xl/worksheets/_rels/sheet3.xml.rels><?xml version="1.0" encoding="UTF-8" standalone="yes"?>
<Relationships xmlns="http://schemas.openxmlformats.org/package/2006/relationships"><Relationship Id="rId2" Type="http://schemas.openxmlformats.org/officeDocument/2006/relationships/externalLinkPath" Target="file:///C:\Users\Admin\AppData\Roaming\Microsoft\Excel\BA%20Assignment%20-%20Data%20Analytics%20_%202WheelR%20(version%202).xlsb" TargetMode="External"/><Relationship Id="rId1" Type="http://schemas.openxmlformats.org/officeDocument/2006/relationships/externalLinkPath" Target="file:///C:\Users\Admin\AppData\Roaming\Microsoft\Excel\BA%20Assignment%20-%20Data%20Analytics%20_%202WheelR%20(version%202).xlsb"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45"/>
  <sheetViews>
    <sheetView tabSelected="1" workbookViewId="0"/>
  </sheetViews>
  <sheetFormatPr defaultColWidth="14.42578125" defaultRowHeight="15" customHeight="1"/>
  <cols>
    <col min="1" max="1" width="22.42578125" customWidth="1"/>
    <col min="2" max="2" width="68.42578125" customWidth="1"/>
  </cols>
  <sheetData>
    <row r="1" spans="1:13">
      <c r="A1" s="1" t="s">
        <v>0</v>
      </c>
      <c r="B1" s="2"/>
      <c r="C1" s="2"/>
      <c r="D1" s="2"/>
      <c r="E1" s="2"/>
      <c r="F1" s="2"/>
      <c r="G1" s="2"/>
      <c r="H1" s="2"/>
      <c r="I1" s="2"/>
      <c r="J1" s="2"/>
      <c r="K1" s="2"/>
      <c r="L1" s="2"/>
      <c r="M1" s="2"/>
    </row>
    <row r="2" spans="1:13">
      <c r="A2" s="3" t="s">
        <v>1</v>
      </c>
    </row>
    <row r="4" spans="1:13">
      <c r="A4" s="1" t="s">
        <v>2</v>
      </c>
      <c r="B4" s="2"/>
      <c r="C4" s="2"/>
      <c r="D4" s="2"/>
      <c r="E4" s="2"/>
      <c r="F4" s="2"/>
      <c r="G4" s="2"/>
      <c r="H4" s="2"/>
      <c r="I4" s="2"/>
      <c r="J4" s="2"/>
      <c r="K4" s="2"/>
      <c r="L4" s="2"/>
      <c r="M4" s="2"/>
    </row>
    <row r="5" spans="1:13">
      <c r="A5" s="3" t="s">
        <v>3</v>
      </c>
    </row>
    <row r="6" spans="1:13">
      <c r="A6" s="3" t="s">
        <v>4</v>
      </c>
    </row>
    <row r="7" spans="1:13">
      <c r="A7" s="3" t="s">
        <v>5</v>
      </c>
    </row>
    <row r="8" spans="1:13">
      <c r="A8" s="4"/>
    </row>
    <row r="9" spans="1:13">
      <c r="A9" s="1" t="s">
        <v>6</v>
      </c>
      <c r="B9" s="2"/>
      <c r="C9" s="2"/>
      <c r="D9" s="2"/>
      <c r="E9" s="2"/>
      <c r="F9" s="2"/>
      <c r="G9" s="2"/>
      <c r="H9" s="2"/>
      <c r="I9" s="2"/>
      <c r="J9" s="2"/>
      <c r="K9" s="2"/>
      <c r="L9" s="2"/>
      <c r="M9" s="2"/>
    </row>
    <row r="10" spans="1:13">
      <c r="A10" s="3" t="s">
        <v>7</v>
      </c>
    </row>
    <row r="11" spans="1:13">
      <c r="A11" s="5" t="s">
        <v>8</v>
      </c>
      <c r="B11" s="5" t="s">
        <v>9</v>
      </c>
    </row>
    <row r="12" spans="1:13">
      <c r="A12" s="6" t="s">
        <v>10</v>
      </c>
      <c r="B12" s="6" t="s">
        <v>11</v>
      </c>
    </row>
    <row r="13" spans="1:13">
      <c r="A13" s="6" t="s">
        <v>12</v>
      </c>
      <c r="B13" s="6" t="s">
        <v>13</v>
      </c>
    </row>
    <row r="14" spans="1:13">
      <c r="A14" s="6" t="s">
        <v>14</v>
      </c>
      <c r="B14" s="6" t="s">
        <v>15</v>
      </c>
    </row>
    <row r="15" spans="1:13">
      <c r="A15" s="6" t="s">
        <v>16</v>
      </c>
      <c r="B15" s="6" t="s">
        <v>17</v>
      </c>
    </row>
    <row r="16" spans="1:13">
      <c r="A16" s="6" t="s">
        <v>18</v>
      </c>
      <c r="B16" s="6" t="s">
        <v>19</v>
      </c>
    </row>
    <row r="17" spans="1:13">
      <c r="A17" s="6" t="s">
        <v>20</v>
      </c>
      <c r="B17" s="6" t="s">
        <v>21</v>
      </c>
    </row>
    <row r="18" spans="1:13">
      <c r="A18" s="6" t="s">
        <v>22</v>
      </c>
      <c r="B18" s="6" t="s">
        <v>23</v>
      </c>
    </row>
    <row r="19" spans="1:13">
      <c r="A19" s="6" t="s">
        <v>24</v>
      </c>
      <c r="B19" s="6" t="s">
        <v>25</v>
      </c>
    </row>
    <row r="20" spans="1:13">
      <c r="A20" s="6" t="s">
        <v>26</v>
      </c>
      <c r="B20" s="6" t="s">
        <v>27</v>
      </c>
    </row>
    <row r="21" spans="1:13">
      <c r="A21" s="6" t="s">
        <v>28</v>
      </c>
      <c r="B21" s="6" t="s">
        <v>29</v>
      </c>
    </row>
    <row r="22" spans="1:13">
      <c r="A22" s="6" t="s">
        <v>30</v>
      </c>
      <c r="B22" s="6" t="s">
        <v>31</v>
      </c>
    </row>
    <row r="23" spans="1:13">
      <c r="A23" s="6" t="s">
        <v>32</v>
      </c>
      <c r="B23" s="6" t="s">
        <v>33</v>
      </c>
    </row>
    <row r="26" spans="1:13">
      <c r="A26" s="1" t="s">
        <v>34</v>
      </c>
      <c r="B26" s="2"/>
      <c r="C26" s="2"/>
      <c r="D26" s="2"/>
      <c r="E26" s="2"/>
      <c r="F26" s="2"/>
      <c r="G26" s="2"/>
      <c r="H26" s="2"/>
      <c r="I26" s="2"/>
      <c r="J26" s="2"/>
      <c r="K26" s="2"/>
      <c r="L26" s="2"/>
      <c r="M26" s="2"/>
    </row>
    <row r="27" spans="1:13">
      <c r="A27" s="3" t="s">
        <v>35</v>
      </c>
    </row>
    <row r="28" spans="1:13">
      <c r="A28" s="3" t="s">
        <v>36</v>
      </c>
    </row>
    <row r="29" spans="1:13">
      <c r="A29" s="3" t="s">
        <v>37</v>
      </c>
    </row>
    <row r="30" spans="1:13">
      <c r="A30" s="3" t="s">
        <v>38</v>
      </c>
    </row>
    <row r="31" spans="1:13">
      <c r="A31" s="3"/>
      <c r="B31" s="3"/>
      <c r="C31" s="3"/>
      <c r="D31" s="3"/>
      <c r="E31" s="3"/>
      <c r="F31" s="3"/>
      <c r="G31" s="3"/>
      <c r="H31" s="3"/>
      <c r="I31" s="3"/>
      <c r="J31" s="3"/>
      <c r="K31" s="3"/>
      <c r="L31" s="3"/>
      <c r="M31" s="3"/>
    </row>
    <row r="32" spans="1:13">
      <c r="A32" s="1" t="s">
        <v>39</v>
      </c>
      <c r="B32" s="2"/>
      <c r="C32" s="2"/>
      <c r="D32" s="2"/>
      <c r="E32" s="2"/>
      <c r="F32" s="2"/>
      <c r="G32" s="2"/>
      <c r="H32" s="2"/>
      <c r="I32" s="2"/>
      <c r="J32" s="2"/>
      <c r="K32" s="2"/>
      <c r="L32" s="2"/>
      <c r="M32" s="2"/>
    </row>
    <row r="33" spans="1:13">
      <c r="A33" s="3" t="s">
        <v>40</v>
      </c>
      <c r="B33" s="3" t="s">
        <v>41</v>
      </c>
    </row>
    <row r="34" spans="1:13">
      <c r="A34" s="3" t="s">
        <v>42</v>
      </c>
      <c r="B34" s="3" t="s">
        <v>43</v>
      </c>
    </row>
    <row r="35" spans="1:13">
      <c r="A35" s="3" t="s">
        <v>44</v>
      </c>
      <c r="B35" s="3" t="s">
        <v>45</v>
      </c>
    </row>
    <row r="37" spans="1:13">
      <c r="A37" s="1" t="s">
        <v>46</v>
      </c>
      <c r="B37" s="2"/>
      <c r="C37" s="2"/>
      <c r="D37" s="2"/>
      <c r="E37" s="2"/>
      <c r="F37" s="2"/>
      <c r="G37" s="2"/>
      <c r="H37" s="2"/>
      <c r="I37" s="2"/>
      <c r="J37" s="2"/>
      <c r="K37" s="2"/>
      <c r="L37" s="2"/>
      <c r="M37" s="2"/>
    </row>
    <row r="38" spans="1:13">
      <c r="A38" s="3" t="s">
        <v>47</v>
      </c>
    </row>
    <row r="39" spans="1:13">
      <c r="A39" s="3" t="s">
        <v>48</v>
      </c>
    </row>
    <row r="40" spans="1:13">
      <c r="A40" s="4" t="s">
        <v>49</v>
      </c>
    </row>
    <row r="41" spans="1:13">
      <c r="A41" s="7" t="s">
        <v>50</v>
      </c>
    </row>
    <row r="42" spans="1:13">
      <c r="A42" s="3" t="s">
        <v>51</v>
      </c>
    </row>
    <row r="43" spans="1:13">
      <c r="A43" s="3" t="s">
        <v>52</v>
      </c>
    </row>
    <row r="44" spans="1:13">
      <c r="A44" s="3"/>
    </row>
    <row r="45" spans="1:13">
      <c r="A45" s="3"/>
    </row>
  </sheetData>
  <hyperlinks>
    <hyperlink ref="A4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9D797-70DC-4EEC-819E-3C9B22586384}">
  <dimension ref="A1:L422"/>
  <sheetViews>
    <sheetView workbookViewId="0">
      <pane ySplit="1" topLeftCell="A2" activePane="bottomLeft" state="frozen"/>
      <selection activeCell="B1" sqref="B1"/>
      <selection pane="bottomLeft"/>
    </sheetView>
  </sheetViews>
  <sheetFormatPr defaultRowHeight="15"/>
  <cols>
    <col min="1" max="12" width="15.7109375" customWidth="1"/>
  </cols>
  <sheetData>
    <row r="1" spans="1:12">
      <c r="A1" s="46" t="s">
        <v>10</v>
      </c>
      <c r="B1" s="46" t="s">
        <v>712</v>
      </c>
      <c r="C1" s="46" t="s">
        <v>713</v>
      </c>
      <c r="D1" s="46" t="s">
        <v>18</v>
      </c>
      <c r="E1" s="46" t="s">
        <v>16</v>
      </c>
      <c r="F1" s="46" t="s">
        <v>714</v>
      </c>
      <c r="G1" s="46" t="s">
        <v>26</v>
      </c>
      <c r="H1" s="46" t="s">
        <v>28</v>
      </c>
      <c r="I1" s="46" t="s">
        <v>715</v>
      </c>
      <c r="J1" s="46" t="s">
        <v>1719</v>
      </c>
      <c r="K1" s="46" t="s">
        <v>1720</v>
      </c>
      <c r="L1" s="46" t="s">
        <v>1721</v>
      </c>
    </row>
    <row r="2" spans="1:12">
      <c r="A2" s="47">
        <v>45506</v>
      </c>
      <c r="B2" s="48" t="s">
        <v>716</v>
      </c>
      <c r="C2" s="49" t="s">
        <v>717</v>
      </c>
      <c r="D2" s="50" t="str">
        <f>_xlfn.XLOOKUP(J2,'Store Code'!B:B,'Store Code'!A:A)</f>
        <v>SOMWAR PETH</v>
      </c>
      <c r="E2" s="48" t="s">
        <v>719</v>
      </c>
      <c r="F2" s="48">
        <v>152000</v>
      </c>
      <c r="G2" s="48" t="s">
        <v>720</v>
      </c>
      <c r="H2" s="48" t="s">
        <v>721</v>
      </c>
      <c r="I2" s="48" t="s">
        <v>722</v>
      </c>
      <c r="J2" s="48" t="s">
        <v>1710</v>
      </c>
      <c r="K2" s="54" t="s">
        <v>1722</v>
      </c>
      <c r="L2" s="54">
        <v>100077</v>
      </c>
    </row>
    <row r="3" spans="1:12">
      <c r="A3" s="47">
        <v>45506</v>
      </c>
      <c r="B3" s="48" t="s">
        <v>724</v>
      </c>
      <c r="C3" s="49" t="s">
        <v>725</v>
      </c>
      <c r="D3" s="50" t="str">
        <f>_xlfn.XLOOKUP(J3,'Store Code'!B:B,'Store Code'!A:A)</f>
        <v>WAKAD</v>
      </c>
      <c r="E3" s="48" t="s">
        <v>726</v>
      </c>
      <c r="F3" s="48">
        <v>65000</v>
      </c>
      <c r="G3" s="48" t="s">
        <v>720</v>
      </c>
      <c r="H3" s="48" t="s">
        <v>721</v>
      </c>
      <c r="I3" s="48" t="s">
        <v>722</v>
      </c>
      <c r="J3" s="48" t="s">
        <v>1718</v>
      </c>
      <c r="K3" s="54" t="s">
        <v>1722</v>
      </c>
      <c r="L3" s="54">
        <v>100081</v>
      </c>
    </row>
    <row r="4" spans="1:12">
      <c r="A4" s="47">
        <v>45507</v>
      </c>
      <c r="B4" s="48" t="s">
        <v>728</v>
      </c>
      <c r="C4" s="49" t="s">
        <v>725</v>
      </c>
      <c r="D4" s="50" t="str">
        <f>_xlfn.XLOOKUP(J4,'Store Code'!B:B,'Store Code'!A:A)</f>
        <v>RASTA PETH</v>
      </c>
      <c r="E4" s="48" t="s">
        <v>729</v>
      </c>
      <c r="F4" s="48">
        <v>28000</v>
      </c>
      <c r="G4" s="48" t="s">
        <v>720</v>
      </c>
      <c r="H4" s="48" t="s">
        <v>721</v>
      </c>
      <c r="I4" s="48" t="s">
        <v>722</v>
      </c>
      <c r="J4" s="48" t="s">
        <v>1716</v>
      </c>
      <c r="K4" s="54" t="s">
        <v>1722</v>
      </c>
      <c r="L4" s="54">
        <v>100086</v>
      </c>
    </row>
    <row r="5" spans="1:12">
      <c r="A5" s="47">
        <v>45507</v>
      </c>
      <c r="B5" s="48" t="s">
        <v>731</v>
      </c>
      <c r="C5" s="49" t="s">
        <v>732</v>
      </c>
      <c r="D5" s="50" t="str">
        <f>_xlfn.XLOOKUP(J5,'Store Code'!B:B,'Store Code'!A:A)</f>
        <v>KHARADI</v>
      </c>
      <c r="E5" s="48" t="s">
        <v>694</v>
      </c>
      <c r="F5" s="48">
        <v>166000</v>
      </c>
      <c r="G5" s="51" t="s">
        <v>733</v>
      </c>
      <c r="H5" s="48" t="s">
        <v>721</v>
      </c>
      <c r="I5" s="48" t="s">
        <v>722</v>
      </c>
      <c r="J5" s="48" t="s">
        <v>1717</v>
      </c>
      <c r="K5" s="54" t="s">
        <v>1722</v>
      </c>
      <c r="L5" s="54">
        <v>100083</v>
      </c>
    </row>
    <row r="6" spans="1:12">
      <c r="A6" s="47">
        <v>45508</v>
      </c>
      <c r="B6" s="48" t="s">
        <v>735</v>
      </c>
      <c r="C6" s="49" t="s">
        <v>736</v>
      </c>
      <c r="D6" s="50" t="str">
        <f>_xlfn.XLOOKUP(J6,'Store Code'!B:B,'Store Code'!A:A)</f>
        <v>RASTA PETH</v>
      </c>
      <c r="E6" s="48" t="s">
        <v>737</v>
      </c>
      <c r="F6" s="48">
        <v>45500</v>
      </c>
      <c r="G6" s="48" t="s">
        <v>738</v>
      </c>
      <c r="H6" s="48" t="s">
        <v>721</v>
      </c>
      <c r="I6" s="48" t="s">
        <v>722</v>
      </c>
      <c r="J6" s="48" t="s">
        <v>1716</v>
      </c>
      <c r="K6" s="54" t="s">
        <v>1722</v>
      </c>
      <c r="L6" s="54">
        <v>100087</v>
      </c>
    </row>
    <row r="7" spans="1:12">
      <c r="A7" s="47">
        <v>45508</v>
      </c>
      <c r="B7" s="48" t="s">
        <v>740</v>
      </c>
      <c r="C7" s="49" t="s">
        <v>725</v>
      </c>
      <c r="D7" s="50" t="str">
        <f>_xlfn.XLOOKUP(J7,'Store Code'!B:B,'Store Code'!A:A)</f>
        <v>RASTA PETH</v>
      </c>
      <c r="E7" s="48" t="s">
        <v>356</v>
      </c>
      <c r="F7" s="48">
        <v>31000</v>
      </c>
      <c r="G7" s="48" t="s">
        <v>738</v>
      </c>
      <c r="H7" s="48" t="s">
        <v>721</v>
      </c>
      <c r="I7" s="48" t="s">
        <v>722</v>
      </c>
      <c r="J7" s="48" t="s">
        <v>1716</v>
      </c>
      <c r="K7" s="54" t="s">
        <v>1722</v>
      </c>
      <c r="L7" s="54">
        <v>100088</v>
      </c>
    </row>
    <row r="8" spans="1:12">
      <c r="A8" s="47">
        <v>45509</v>
      </c>
      <c r="B8" s="48" t="s">
        <v>742</v>
      </c>
      <c r="C8" s="49" t="s">
        <v>743</v>
      </c>
      <c r="D8" s="50" t="str">
        <f>_xlfn.XLOOKUP(J8,'Store Code'!B:B,'Store Code'!A:A)</f>
        <v>WAKAD</v>
      </c>
      <c r="E8" s="48" t="s">
        <v>744</v>
      </c>
      <c r="F8" s="48">
        <v>35300</v>
      </c>
      <c r="G8" s="48" t="s">
        <v>720</v>
      </c>
      <c r="H8" s="48" t="s">
        <v>721</v>
      </c>
      <c r="I8" s="48" t="s">
        <v>722</v>
      </c>
      <c r="J8" s="48" t="s">
        <v>1718</v>
      </c>
      <c r="K8" s="54" t="s">
        <v>1722</v>
      </c>
      <c r="L8" s="54">
        <v>100082</v>
      </c>
    </row>
    <row r="9" spans="1:12">
      <c r="A9" s="47">
        <v>45510</v>
      </c>
      <c r="B9" s="48" t="s">
        <v>746</v>
      </c>
      <c r="C9" s="49" t="s">
        <v>736</v>
      </c>
      <c r="D9" s="50" t="str">
        <f>_xlfn.XLOOKUP(J9,'Store Code'!B:B,'Store Code'!A:A)</f>
        <v>WAKAD</v>
      </c>
      <c r="E9" s="48" t="s">
        <v>224</v>
      </c>
      <c r="F9" s="48">
        <v>55000</v>
      </c>
      <c r="G9" s="48" t="s">
        <v>747</v>
      </c>
      <c r="H9" s="48" t="s">
        <v>721</v>
      </c>
      <c r="I9" s="48" t="s">
        <v>722</v>
      </c>
      <c r="J9" s="48" t="s">
        <v>1718</v>
      </c>
      <c r="K9" s="54" t="s">
        <v>1722</v>
      </c>
      <c r="L9" s="54">
        <v>100083</v>
      </c>
    </row>
    <row r="10" spans="1:12">
      <c r="A10" s="47">
        <v>45510</v>
      </c>
      <c r="B10" s="48" t="s">
        <v>749</v>
      </c>
      <c r="C10" s="49" t="s">
        <v>736</v>
      </c>
      <c r="D10" s="50" t="str">
        <f>_xlfn.XLOOKUP(J10,'Store Code'!B:B,'Store Code'!A:A)</f>
        <v>RASTA PETH</v>
      </c>
      <c r="E10" s="48" t="s">
        <v>750</v>
      </c>
      <c r="F10" s="48">
        <v>40500</v>
      </c>
      <c r="G10" s="51" t="s">
        <v>733</v>
      </c>
      <c r="H10" s="48" t="s">
        <v>721</v>
      </c>
      <c r="I10" s="48" t="s">
        <v>722</v>
      </c>
      <c r="J10" s="48" t="s">
        <v>1716</v>
      </c>
      <c r="K10" s="54" t="s">
        <v>1722</v>
      </c>
      <c r="L10" s="54">
        <v>100089</v>
      </c>
    </row>
    <row r="11" spans="1:12">
      <c r="A11" s="47">
        <v>45511</v>
      </c>
      <c r="B11" s="48" t="s">
        <v>752</v>
      </c>
      <c r="C11" s="49" t="s">
        <v>732</v>
      </c>
      <c r="D11" s="50" t="str">
        <f>_xlfn.XLOOKUP(J11,'Store Code'!B:B,'Store Code'!A:A)</f>
        <v>RASTA PETH</v>
      </c>
      <c r="E11" s="48" t="s">
        <v>484</v>
      </c>
      <c r="F11" s="48">
        <v>5000</v>
      </c>
      <c r="G11" s="48" t="s">
        <v>738</v>
      </c>
      <c r="H11" s="48" t="s">
        <v>721</v>
      </c>
      <c r="I11" s="48" t="s">
        <v>722</v>
      </c>
      <c r="J11" s="48" t="s">
        <v>1716</v>
      </c>
      <c r="K11" s="54" t="s">
        <v>1722</v>
      </c>
      <c r="L11" s="54">
        <v>100090</v>
      </c>
    </row>
    <row r="12" spans="1:12">
      <c r="A12" s="47">
        <v>45511</v>
      </c>
      <c r="B12" s="48" t="s">
        <v>754</v>
      </c>
      <c r="C12" s="49" t="s">
        <v>755</v>
      </c>
      <c r="D12" s="50" t="str">
        <f>_xlfn.XLOOKUP(J12,'Store Code'!B:B,'Store Code'!A:A)</f>
        <v>RASTA PETH</v>
      </c>
      <c r="E12" s="48" t="s">
        <v>756</v>
      </c>
      <c r="F12" s="48">
        <v>20000</v>
      </c>
      <c r="G12" s="48" t="s">
        <v>738</v>
      </c>
      <c r="H12" s="48" t="s">
        <v>757</v>
      </c>
      <c r="I12" s="48" t="s">
        <v>722</v>
      </c>
      <c r="J12" s="48" t="s">
        <v>1716</v>
      </c>
      <c r="K12" s="54" t="s">
        <v>1722</v>
      </c>
      <c r="L12" s="54">
        <v>100091</v>
      </c>
    </row>
    <row r="13" spans="1:12">
      <c r="A13" s="47">
        <v>45512</v>
      </c>
      <c r="B13" s="48" t="s">
        <v>759</v>
      </c>
      <c r="C13" s="49" t="s">
        <v>736</v>
      </c>
      <c r="D13" s="50" t="str">
        <f>_xlfn.XLOOKUP(J13,'Store Code'!B:B,'Store Code'!A:A)</f>
        <v>WAKAD</v>
      </c>
      <c r="E13" s="48" t="s">
        <v>205</v>
      </c>
      <c r="F13" s="48">
        <v>45000</v>
      </c>
      <c r="G13" s="48" t="s">
        <v>760</v>
      </c>
      <c r="H13" s="48" t="s">
        <v>721</v>
      </c>
      <c r="I13" s="48" t="s">
        <v>722</v>
      </c>
      <c r="J13" s="48" t="s">
        <v>1718</v>
      </c>
      <c r="K13" s="54" t="s">
        <v>1722</v>
      </c>
      <c r="L13" s="54">
        <v>100084</v>
      </c>
    </row>
    <row r="14" spans="1:12">
      <c r="A14" s="47">
        <v>45513</v>
      </c>
      <c r="B14" s="48" t="s">
        <v>762</v>
      </c>
      <c r="C14" s="49" t="s">
        <v>732</v>
      </c>
      <c r="D14" s="50" t="str">
        <f>_xlfn.XLOOKUP(J14,'Store Code'!B:B,'Store Code'!A:A)</f>
        <v>KHARADI</v>
      </c>
      <c r="E14" s="48" t="s">
        <v>694</v>
      </c>
      <c r="F14" s="48">
        <v>25000</v>
      </c>
      <c r="G14" s="51" t="s">
        <v>733</v>
      </c>
      <c r="H14" s="48" t="s">
        <v>721</v>
      </c>
      <c r="I14" s="48" t="s">
        <v>722</v>
      </c>
      <c r="J14" s="48" t="s">
        <v>1717</v>
      </c>
      <c r="K14" s="54" t="s">
        <v>1722</v>
      </c>
      <c r="L14" s="54">
        <v>100085</v>
      </c>
    </row>
    <row r="15" spans="1:12">
      <c r="A15" s="47">
        <v>45513</v>
      </c>
      <c r="B15" s="48" t="s">
        <v>764</v>
      </c>
      <c r="C15" s="49" t="s">
        <v>765</v>
      </c>
      <c r="D15" s="50" t="str">
        <f>_xlfn.XLOOKUP(J15,'Store Code'!B:B,'Store Code'!A:A)</f>
        <v>RASTA PETH</v>
      </c>
      <c r="E15" s="48" t="s">
        <v>766</v>
      </c>
      <c r="F15" s="48">
        <v>14000</v>
      </c>
      <c r="G15" s="48" t="s">
        <v>738</v>
      </c>
      <c r="H15" s="48" t="s">
        <v>757</v>
      </c>
      <c r="I15" s="48" t="s">
        <v>722</v>
      </c>
      <c r="J15" s="48" t="s">
        <v>1716</v>
      </c>
      <c r="K15" s="54" t="s">
        <v>1722</v>
      </c>
      <c r="L15" s="54">
        <v>100094</v>
      </c>
    </row>
    <row r="16" spans="1:12">
      <c r="A16" s="47">
        <v>45513</v>
      </c>
      <c r="B16" s="48" t="s">
        <v>768</v>
      </c>
      <c r="C16" s="49" t="s">
        <v>769</v>
      </c>
      <c r="D16" s="50" t="str">
        <f>_xlfn.XLOOKUP(J16,'Store Code'!B:B,'Store Code'!A:A)</f>
        <v>RASTA PETH</v>
      </c>
      <c r="E16" s="48" t="s">
        <v>433</v>
      </c>
      <c r="F16" s="48">
        <v>50000</v>
      </c>
      <c r="G16" s="48" t="s">
        <v>770</v>
      </c>
      <c r="H16" s="48" t="s">
        <v>721</v>
      </c>
      <c r="I16" s="48" t="s">
        <v>722</v>
      </c>
      <c r="J16" s="48" t="s">
        <v>1716</v>
      </c>
      <c r="K16" s="54" t="s">
        <v>1722</v>
      </c>
      <c r="L16" s="54">
        <v>100093</v>
      </c>
    </row>
    <row r="17" spans="1:12">
      <c r="A17" s="47">
        <v>45514</v>
      </c>
      <c r="B17" s="48" t="s">
        <v>772</v>
      </c>
      <c r="C17" s="49" t="s">
        <v>773</v>
      </c>
      <c r="D17" s="50" t="str">
        <f>_xlfn.XLOOKUP(J17,'Store Code'!B:B,'Store Code'!A:A)</f>
        <v>RASTA PETH</v>
      </c>
      <c r="E17" s="48" t="s">
        <v>774</v>
      </c>
      <c r="F17" s="48">
        <v>26000</v>
      </c>
      <c r="G17" s="48" t="s">
        <v>738</v>
      </c>
      <c r="H17" s="48" t="s">
        <v>721</v>
      </c>
      <c r="I17" s="48" t="s">
        <v>722</v>
      </c>
      <c r="J17" s="48" t="s">
        <v>1716</v>
      </c>
      <c r="K17" s="54" t="s">
        <v>1722</v>
      </c>
      <c r="L17" s="54">
        <v>100096</v>
      </c>
    </row>
    <row r="18" spans="1:12">
      <c r="A18" s="47">
        <v>45514</v>
      </c>
      <c r="B18" s="48" t="s">
        <v>776</v>
      </c>
      <c r="C18" s="49" t="s">
        <v>725</v>
      </c>
      <c r="D18" s="50" t="str">
        <f>_xlfn.XLOOKUP(J18,'Store Code'!B:B,'Store Code'!A:A)</f>
        <v>RASTA PETH</v>
      </c>
      <c r="E18" s="48" t="s">
        <v>515</v>
      </c>
      <c r="F18" s="48">
        <v>28000</v>
      </c>
      <c r="G18" s="48" t="s">
        <v>720</v>
      </c>
      <c r="H18" s="48" t="s">
        <v>721</v>
      </c>
      <c r="I18" s="48" t="s">
        <v>722</v>
      </c>
      <c r="J18" s="48" t="s">
        <v>1716</v>
      </c>
      <c r="K18" s="54" t="s">
        <v>1722</v>
      </c>
      <c r="L18" s="54">
        <v>100095</v>
      </c>
    </row>
    <row r="19" spans="1:12">
      <c r="A19" s="47">
        <v>45515</v>
      </c>
      <c r="B19" s="48" t="s">
        <v>778</v>
      </c>
      <c r="C19" s="49" t="s">
        <v>725</v>
      </c>
      <c r="D19" s="50" t="str">
        <f>_xlfn.XLOOKUP(J19,'Store Code'!B:B,'Store Code'!A:A)</f>
        <v>RASTA PETH</v>
      </c>
      <c r="E19" s="48" t="s">
        <v>292</v>
      </c>
      <c r="F19" s="48">
        <v>52800</v>
      </c>
      <c r="G19" s="51" t="s">
        <v>733</v>
      </c>
      <c r="H19" s="48" t="s">
        <v>721</v>
      </c>
      <c r="I19" s="48" t="s">
        <v>722</v>
      </c>
      <c r="J19" s="48" t="s">
        <v>1716</v>
      </c>
      <c r="K19" s="54" t="s">
        <v>1722</v>
      </c>
      <c r="L19" s="54">
        <v>100100</v>
      </c>
    </row>
    <row r="20" spans="1:12">
      <c r="A20" s="47">
        <v>45515</v>
      </c>
      <c r="B20" s="48" t="s">
        <v>780</v>
      </c>
      <c r="C20" s="49" t="s">
        <v>781</v>
      </c>
      <c r="D20" s="50" t="str">
        <f>_xlfn.XLOOKUP(J20,'Store Code'!B:B,'Store Code'!A:A)</f>
        <v>RASTA PETH</v>
      </c>
      <c r="E20" s="48" t="s">
        <v>782</v>
      </c>
      <c r="F20" s="48">
        <v>17500</v>
      </c>
      <c r="G20" s="48" t="s">
        <v>738</v>
      </c>
      <c r="H20" s="48" t="s">
        <v>721</v>
      </c>
      <c r="I20" s="48" t="s">
        <v>722</v>
      </c>
      <c r="J20" s="48" t="s">
        <v>1716</v>
      </c>
      <c r="K20" s="54" t="s">
        <v>1722</v>
      </c>
      <c r="L20" s="54">
        <v>100099</v>
      </c>
    </row>
    <row r="21" spans="1:12">
      <c r="A21" s="47">
        <v>45515</v>
      </c>
      <c r="B21" s="48" t="s">
        <v>784</v>
      </c>
      <c r="C21" s="49" t="s">
        <v>781</v>
      </c>
      <c r="D21" s="50" t="str">
        <f>_xlfn.XLOOKUP(J21,'Store Code'!B:B,'Store Code'!A:A)</f>
        <v>RASTA PETH</v>
      </c>
      <c r="E21" s="48" t="s">
        <v>615</v>
      </c>
      <c r="F21" s="48">
        <v>33000</v>
      </c>
      <c r="G21" s="48" t="s">
        <v>738</v>
      </c>
      <c r="H21" s="48" t="s">
        <v>721</v>
      </c>
      <c r="I21" s="48" t="s">
        <v>722</v>
      </c>
      <c r="J21" s="48" t="s">
        <v>1716</v>
      </c>
      <c r="K21" s="54" t="s">
        <v>1722</v>
      </c>
      <c r="L21" s="54">
        <v>100098</v>
      </c>
    </row>
    <row r="22" spans="1:12">
      <c r="A22" s="47">
        <v>45515</v>
      </c>
      <c r="B22" s="48" t="s">
        <v>786</v>
      </c>
      <c r="C22" s="49" t="s">
        <v>725</v>
      </c>
      <c r="D22" s="50" t="str">
        <f>_xlfn.XLOOKUP(J22,'Store Code'!B:B,'Store Code'!A:A)</f>
        <v>KHARADI</v>
      </c>
      <c r="E22" s="48" t="s">
        <v>356</v>
      </c>
      <c r="F22" s="48">
        <v>75000</v>
      </c>
      <c r="G22" s="51" t="s">
        <v>733</v>
      </c>
      <c r="H22" s="48" t="s">
        <v>721</v>
      </c>
      <c r="I22" s="48" t="s">
        <v>722</v>
      </c>
      <c r="J22" s="48" t="s">
        <v>1717</v>
      </c>
      <c r="K22" s="54" t="s">
        <v>1722</v>
      </c>
      <c r="L22" s="54">
        <v>100091</v>
      </c>
    </row>
    <row r="23" spans="1:12">
      <c r="A23" s="47">
        <v>45515</v>
      </c>
      <c r="B23" s="48" t="s">
        <v>788</v>
      </c>
      <c r="C23" s="49" t="s">
        <v>736</v>
      </c>
      <c r="D23" s="50" t="str">
        <f>_xlfn.XLOOKUP(J23,'Store Code'!B:B,'Store Code'!A:A)</f>
        <v>RASTA PETH</v>
      </c>
      <c r="E23" s="48" t="s">
        <v>750</v>
      </c>
      <c r="F23" s="48">
        <v>8000</v>
      </c>
      <c r="G23" s="48" t="s">
        <v>738</v>
      </c>
      <c r="H23" s="48" t="s">
        <v>721</v>
      </c>
      <c r="I23" s="48" t="s">
        <v>722</v>
      </c>
      <c r="J23" s="48" t="s">
        <v>1716</v>
      </c>
      <c r="K23" s="54" t="s">
        <v>1722</v>
      </c>
      <c r="L23" s="54">
        <v>100101</v>
      </c>
    </row>
    <row r="24" spans="1:12">
      <c r="A24" s="47">
        <v>45515</v>
      </c>
      <c r="B24" s="48" t="s">
        <v>790</v>
      </c>
      <c r="C24" s="49" t="s">
        <v>725</v>
      </c>
      <c r="D24" s="50" t="str">
        <f>_xlfn.XLOOKUP(J24,'Store Code'!B:B,'Store Code'!A:A)</f>
        <v>RASTA PETH</v>
      </c>
      <c r="E24" s="48" t="s">
        <v>607</v>
      </c>
      <c r="F24" s="48">
        <v>14000</v>
      </c>
      <c r="G24" s="51" t="s">
        <v>733</v>
      </c>
      <c r="H24" s="48" t="s">
        <v>721</v>
      </c>
      <c r="I24" s="48" t="s">
        <v>722</v>
      </c>
      <c r="J24" s="48" t="s">
        <v>1716</v>
      </c>
      <c r="K24" s="54" t="s">
        <v>1722</v>
      </c>
      <c r="L24" s="54">
        <v>100097</v>
      </c>
    </row>
    <row r="25" spans="1:12">
      <c r="A25" s="47">
        <v>45516</v>
      </c>
      <c r="B25" s="48" t="s">
        <v>792</v>
      </c>
      <c r="C25" s="49" t="s">
        <v>736</v>
      </c>
      <c r="D25" s="50" t="str">
        <f>_xlfn.XLOOKUP(J25,'Store Code'!B:B,'Store Code'!A:A)</f>
        <v>WAKAD</v>
      </c>
      <c r="E25" s="48" t="s">
        <v>793</v>
      </c>
      <c r="F25" s="48">
        <v>15000</v>
      </c>
      <c r="G25" s="48" t="s">
        <v>738</v>
      </c>
      <c r="H25" s="48" t="s">
        <v>721</v>
      </c>
      <c r="I25" s="48" t="s">
        <v>722</v>
      </c>
      <c r="J25" s="48" t="s">
        <v>1718</v>
      </c>
      <c r="K25" s="54" t="s">
        <v>1722</v>
      </c>
      <c r="L25" s="54">
        <v>100085</v>
      </c>
    </row>
    <row r="26" spans="1:12">
      <c r="A26" s="47">
        <v>45517</v>
      </c>
      <c r="B26" s="48" t="s">
        <v>795</v>
      </c>
      <c r="C26" s="49" t="s">
        <v>725</v>
      </c>
      <c r="D26" s="50" t="str">
        <f>_xlfn.XLOOKUP(J26,'Store Code'!B:B,'Store Code'!A:A)</f>
        <v>WAKAD</v>
      </c>
      <c r="E26" s="48" t="s">
        <v>324</v>
      </c>
      <c r="F26" s="48">
        <v>27200</v>
      </c>
      <c r="G26" s="48" t="s">
        <v>720</v>
      </c>
      <c r="H26" s="48" t="s">
        <v>721</v>
      </c>
      <c r="I26" s="48" t="s">
        <v>722</v>
      </c>
      <c r="J26" s="48" t="s">
        <v>1718</v>
      </c>
      <c r="K26" s="54" t="s">
        <v>1722</v>
      </c>
      <c r="L26" s="54">
        <v>100086</v>
      </c>
    </row>
    <row r="27" spans="1:12">
      <c r="A27" s="47">
        <v>45517</v>
      </c>
      <c r="B27" s="48" t="s">
        <v>797</v>
      </c>
      <c r="C27" s="49" t="s">
        <v>278</v>
      </c>
      <c r="D27" s="50" t="str">
        <f>_xlfn.XLOOKUP(J27,'Store Code'!B:B,'Store Code'!A:A)</f>
        <v>RASTA PETH</v>
      </c>
      <c r="E27" s="48" t="s">
        <v>581</v>
      </c>
      <c r="F27" s="48">
        <v>33000</v>
      </c>
      <c r="G27" s="51" t="s">
        <v>733</v>
      </c>
      <c r="H27" s="48" t="s">
        <v>757</v>
      </c>
      <c r="I27" s="48" t="s">
        <v>722</v>
      </c>
      <c r="J27" s="48" t="s">
        <v>1716</v>
      </c>
      <c r="K27" s="54" t="s">
        <v>1722</v>
      </c>
      <c r="L27" s="54">
        <v>100110</v>
      </c>
    </row>
    <row r="28" spans="1:12">
      <c r="A28" s="47">
        <v>45517</v>
      </c>
      <c r="B28" s="48" t="s">
        <v>799</v>
      </c>
      <c r="C28" s="49" t="s">
        <v>725</v>
      </c>
      <c r="D28" s="50" t="str">
        <f>_xlfn.XLOOKUP(J28,'Store Code'!B:B,'Store Code'!A:A)</f>
        <v>RASTA PETH</v>
      </c>
      <c r="E28" s="48" t="s">
        <v>800</v>
      </c>
      <c r="F28" s="48">
        <v>116500</v>
      </c>
      <c r="G28" s="51" t="s">
        <v>733</v>
      </c>
      <c r="H28" s="48" t="s">
        <v>721</v>
      </c>
      <c r="I28" s="48" t="s">
        <v>722</v>
      </c>
      <c r="J28" s="48" t="s">
        <v>1716</v>
      </c>
      <c r="K28" s="54" t="s">
        <v>1722</v>
      </c>
      <c r="L28" s="54">
        <v>100107</v>
      </c>
    </row>
    <row r="29" spans="1:12">
      <c r="A29" s="47">
        <v>45517</v>
      </c>
      <c r="B29" s="48" t="s">
        <v>802</v>
      </c>
      <c r="C29" s="49" t="s">
        <v>725</v>
      </c>
      <c r="D29" s="50" t="str">
        <f>_xlfn.XLOOKUP(J29,'Store Code'!B:B,'Store Code'!A:A)</f>
        <v>RASTA PETH</v>
      </c>
      <c r="E29" s="48" t="s">
        <v>441</v>
      </c>
      <c r="F29" s="48">
        <v>150000</v>
      </c>
      <c r="G29" s="48" t="s">
        <v>738</v>
      </c>
      <c r="H29" s="48" t="s">
        <v>721</v>
      </c>
      <c r="I29" s="48" t="s">
        <v>722</v>
      </c>
      <c r="J29" s="48" t="s">
        <v>1716</v>
      </c>
      <c r="K29" s="54" t="s">
        <v>1722</v>
      </c>
      <c r="L29" s="54">
        <v>100104</v>
      </c>
    </row>
    <row r="30" spans="1:12">
      <c r="A30" s="47">
        <v>45517</v>
      </c>
      <c r="B30" s="48" t="s">
        <v>804</v>
      </c>
      <c r="C30" s="49" t="s">
        <v>725</v>
      </c>
      <c r="D30" s="50" t="str">
        <f>_xlfn.XLOOKUP(J30,'Store Code'!B:B,'Store Code'!A:A)</f>
        <v>RASTA PETH</v>
      </c>
      <c r="E30" s="48" t="s">
        <v>501</v>
      </c>
      <c r="F30" s="48">
        <v>41800</v>
      </c>
      <c r="G30" s="48" t="s">
        <v>770</v>
      </c>
      <c r="H30" s="48" t="s">
        <v>721</v>
      </c>
      <c r="I30" s="48" t="s">
        <v>722</v>
      </c>
      <c r="J30" s="48" t="s">
        <v>1716</v>
      </c>
      <c r="K30" s="54" t="s">
        <v>1722</v>
      </c>
      <c r="L30" s="54">
        <v>100109</v>
      </c>
    </row>
    <row r="31" spans="1:12">
      <c r="A31" s="47">
        <v>45517</v>
      </c>
      <c r="B31" s="48" t="s">
        <v>806</v>
      </c>
      <c r="C31" s="49" t="s">
        <v>725</v>
      </c>
      <c r="D31" s="50" t="str">
        <f>_xlfn.XLOOKUP(J31,'Store Code'!B:B,'Store Code'!A:A)</f>
        <v>RASTA PETH</v>
      </c>
      <c r="E31" s="48" t="s">
        <v>807</v>
      </c>
      <c r="F31" s="48">
        <v>35000</v>
      </c>
      <c r="G31" s="48" t="s">
        <v>738</v>
      </c>
      <c r="H31" s="48" t="s">
        <v>721</v>
      </c>
      <c r="I31" s="48" t="s">
        <v>722</v>
      </c>
      <c r="J31" s="48" t="s">
        <v>1716</v>
      </c>
      <c r="K31" s="54" t="s">
        <v>1722</v>
      </c>
      <c r="L31" s="54">
        <v>100106</v>
      </c>
    </row>
    <row r="32" spans="1:12">
      <c r="A32" s="47">
        <v>45517</v>
      </c>
      <c r="B32" s="48" t="s">
        <v>809</v>
      </c>
      <c r="C32" s="49" t="s">
        <v>781</v>
      </c>
      <c r="D32" s="50" t="str">
        <f>_xlfn.XLOOKUP(J32,'Store Code'!B:B,'Store Code'!A:A)</f>
        <v>RASTA PETH</v>
      </c>
      <c r="E32" s="48" t="s">
        <v>810</v>
      </c>
      <c r="F32" s="48">
        <v>70000</v>
      </c>
      <c r="G32" s="48" t="s">
        <v>738</v>
      </c>
      <c r="H32" s="48" t="s">
        <v>721</v>
      </c>
      <c r="I32" s="48" t="s">
        <v>722</v>
      </c>
      <c r="J32" s="48" t="s">
        <v>1716</v>
      </c>
      <c r="K32" s="54" t="s">
        <v>1722</v>
      </c>
      <c r="L32" s="54">
        <v>100108</v>
      </c>
    </row>
    <row r="33" spans="1:12">
      <c r="A33" s="47">
        <v>45517</v>
      </c>
      <c r="B33" s="48" t="s">
        <v>812</v>
      </c>
      <c r="C33" s="49" t="s">
        <v>736</v>
      </c>
      <c r="D33" s="50" t="str">
        <f>_xlfn.XLOOKUP(J33,'Store Code'!B:B,'Store Code'!A:A)</f>
        <v>RASTA PETH</v>
      </c>
      <c r="E33" s="48" t="s">
        <v>813</v>
      </c>
      <c r="F33" s="48">
        <v>55500</v>
      </c>
      <c r="G33" s="48" t="s">
        <v>738</v>
      </c>
      <c r="H33" s="48" t="s">
        <v>721</v>
      </c>
      <c r="I33" s="48" t="s">
        <v>722</v>
      </c>
      <c r="J33" s="48" t="s">
        <v>1716</v>
      </c>
      <c r="K33" s="54" t="s">
        <v>1722</v>
      </c>
      <c r="L33" s="54">
        <v>100103</v>
      </c>
    </row>
    <row r="34" spans="1:12">
      <c r="A34" s="47">
        <v>45517</v>
      </c>
      <c r="B34" s="48" t="s">
        <v>815</v>
      </c>
      <c r="C34" s="49" t="s">
        <v>769</v>
      </c>
      <c r="D34" s="50" t="str">
        <f>_xlfn.XLOOKUP(J34,'Store Code'!B:B,'Store Code'!A:A)</f>
        <v>RASTA PETH</v>
      </c>
      <c r="E34" s="48" t="s">
        <v>816</v>
      </c>
      <c r="F34" s="48">
        <v>28000</v>
      </c>
      <c r="G34" s="48" t="s">
        <v>738</v>
      </c>
      <c r="H34" s="48" t="s">
        <v>721</v>
      </c>
      <c r="I34" s="48" t="s">
        <v>722</v>
      </c>
      <c r="J34" s="48" t="s">
        <v>1716</v>
      </c>
      <c r="K34" s="54" t="s">
        <v>1722</v>
      </c>
      <c r="L34" s="54">
        <v>100105</v>
      </c>
    </row>
    <row r="35" spans="1:12">
      <c r="A35" s="47">
        <v>45518</v>
      </c>
      <c r="B35" s="48" t="s">
        <v>818</v>
      </c>
      <c r="C35" s="49" t="s">
        <v>769</v>
      </c>
      <c r="D35" s="50" t="str">
        <f>_xlfn.XLOOKUP(J35,'Store Code'!B:B,'Store Code'!A:A)</f>
        <v>RASTA PETH</v>
      </c>
      <c r="E35" s="48" t="s">
        <v>819</v>
      </c>
      <c r="F35" s="48">
        <v>19000</v>
      </c>
      <c r="G35" s="48" t="s">
        <v>738</v>
      </c>
      <c r="H35" s="48" t="s">
        <v>721</v>
      </c>
      <c r="I35" s="48" t="s">
        <v>722</v>
      </c>
      <c r="J35" s="48" t="s">
        <v>1716</v>
      </c>
      <c r="K35" s="54" t="s">
        <v>1722</v>
      </c>
      <c r="L35" s="54">
        <v>100112</v>
      </c>
    </row>
    <row r="36" spans="1:12">
      <c r="A36" s="47">
        <v>45518</v>
      </c>
      <c r="B36" s="48" t="s">
        <v>821</v>
      </c>
      <c r="C36" s="49" t="s">
        <v>773</v>
      </c>
      <c r="D36" s="50" t="str">
        <f>_xlfn.XLOOKUP(J36,'Store Code'!B:B,'Store Code'!A:A)</f>
        <v>RASTA PETH</v>
      </c>
      <c r="E36" s="48" t="s">
        <v>822</v>
      </c>
      <c r="F36" s="48">
        <v>50000</v>
      </c>
      <c r="G36" s="48" t="s">
        <v>738</v>
      </c>
      <c r="H36" s="48" t="s">
        <v>721</v>
      </c>
      <c r="I36" s="48" t="s">
        <v>722</v>
      </c>
      <c r="J36" s="48" t="s">
        <v>1716</v>
      </c>
      <c r="K36" s="54" t="s">
        <v>1722</v>
      </c>
      <c r="L36" s="54">
        <v>100111</v>
      </c>
    </row>
    <row r="37" spans="1:12">
      <c r="A37" s="47">
        <v>45518</v>
      </c>
      <c r="B37" s="48" t="s">
        <v>824</v>
      </c>
      <c r="C37" s="49" t="s">
        <v>725</v>
      </c>
      <c r="D37" s="50" t="str">
        <f>_xlfn.XLOOKUP(J37,'Store Code'!B:B,'Store Code'!A:A)</f>
        <v>KHARADI</v>
      </c>
      <c r="E37" s="48" t="s">
        <v>825</v>
      </c>
      <c r="F37" s="48">
        <v>36000</v>
      </c>
      <c r="G37" s="51" t="s">
        <v>733</v>
      </c>
      <c r="H37" s="48" t="s">
        <v>721</v>
      </c>
      <c r="I37" s="48" t="s">
        <v>722</v>
      </c>
      <c r="J37" s="48" t="s">
        <v>1717</v>
      </c>
      <c r="K37" s="54" t="s">
        <v>1722</v>
      </c>
      <c r="L37" s="54">
        <v>100099</v>
      </c>
    </row>
    <row r="38" spans="1:12">
      <c r="A38" s="47">
        <v>45519</v>
      </c>
      <c r="B38" s="48" t="s">
        <v>827</v>
      </c>
      <c r="C38" s="49" t="s">
        <v>725</v>
      </c>
      <c r="D38" s="50" t="str">
        <f>_xlfn.XLOOKUP(J38,'Store Code'!B:B,'Store Code'!A:A)</f>
        <v>KHARADI</v>
      </c>
      <c r="E38" s="48" t="s">
        <v>828</v>
      </c>
      <c r="F38" s="48">
        <v>50000</v>
      </c>
      <c r="G38" s="51" t="s">
        <v>733</v>
      </c>
      <c r="H38" s="48" t="s">
        <v>721</v>
      </c>
      <c r="I38" s="48" t="s">
        <v>722</v>
      </c>
      <c r="J38" s="48" t="s">
        <v>1717</v>
      </c>
      <c r="K38" s="54" t="s">
        <v>1722</v>
      </c>
      <c r="L38" s="54">
        <v>100100</v>
      </c>
    </row>
    <row r="39" spans="1:12">
      <c r="A39" s="47">
        <v>45519</v>
      </c>
      <c r="B39" s="48" t="s">
        <v>830</v>
      </c>
      <c r="C39" s="49" t="s">
        <v>732</v>
      </c>
      <c r="D39" s="50" t="str">
        <f>_xlfn.XLOOKUP(J39,'Store Code'!B:B,'Store Code'!A:A)</f>
        <v>WAKAD</v>
      </c>
      <c r="E39" s="48" t="s">
        <v>831</v>
      </c>
      <c r="F39" s="48">
        <v>61000</v>
      </c>
      <c r="G39" s="48" t="s">
        <v>738</v>
      </c>
      <c r="H39" s="48" t="s">
        <v>757</v>
      </c>
      <c r="I39" s="48" t="s">
        <v>722</v>
      </c>
      <c r="J39" s="48" t="s">
        <v>1718</v>
      </c>
      <c r="K39" s="54" t="s">
        <v>1722</v>
      </c>
      <c r="L39" s="54">
        <v>100112</v>
      </c>
    </row>
    <row r="40" spans="1:12">
      <c r="A40" s="47">
        <v>45519</v>
      </c>
      <c r="B40" s="48" t="s">
        <v>833</v>
      </c>
      <c r="C40" s="49" t="s">
        <v>732</v>
      </c>
      <c r="D40" s="50" t="str">
        <f>_xlfn.XLOOKUP(J40,'Store Code'!B:B,'Store Code'!A:A)</f>
        <v>WAKAD</v>
      </c>
      <c r="E40" s="48" t="s">
        <v>834</v>
      </c>
      <c r="F40" s="48">
        <v>14000</v>
      </c>
      <c r="G40" s="48" t="s">
        <v>738</v>
      </c>
      <c r="H40" s="48" t="s">
        <v>721</v>
      </c>
      <c r="I40" s="48" t="s">
        <v>722</v>
      </c>
      <c r="J40" s="48" t="s">
        <v>1718</v>
      </c>
      <c r="K40" s="54" t="s">
        <v>1722</v>
      </c>
      <c r="L40" s="54">
        <v>100087</v>
      </c>
    </row>
    <row r="41" spans="1:12">
      <c r="A41" s="47">
        <v>45519</v>
      </c>
      <c r="B41" s="48" t="s">
        <v>204</v>
      </c>
      <c r="C41" s="49" t="s">
        <v>736</v>
      </c>
      <c r="D41" s="50" t="str">
        <f>_xlfn.XLOOKUP(J41,'Store Code'!B:B,'Store Code'!A:A)</f>
        <v>RASTA PETH</v>
      </c>
      <c r="E41" s="48" t="s">
        <v>205</v>
      </c>
      <c r="F41" s="48">
        <v>150000</v>
      </c>
      <c r="G41" s="51" t="s">
        <v>733</v>
      </c>
      <c r="H41" s="48" t="s">
        <v>721</v>
      </c>
      <c r="I41" s="48" t="s">
        <v>722</v>
      </c>
      <c r="J41" s="48" t="s">
        <v>1716</v>
      </c>
      <c r="K41" s="54" t="s">
        <v>1722</v>
      </c>
      <c r="L41" s="54">
        <v>100114</v>
      </c>
    </row>
    <row r="42" spans="1:12">
      <c r="A42" s="47">
        <v>45519</v>
      </c>
      <c r="B42" s="48" t="s">
        <v>837</v>
      </c>
      <c r="C42" s="49" t="s">
        <v>725</v>
      </c>
      <c r="D42" s="50" t="str">
        <f>_xlfn.XLOOKUP(J42,'Store Code'!B:B,'Store Code'!A:A)</f>
        <v>RASTA PETH</v>
      </c>
      <c r="E42" s="48" t="s">
        <v>607</v>
      </c>
      <c r="F42" s="48">
        <v>25000</v>
      </c>
      <c r="G42" s="48" t="s">
        <v>738</v>
      </c>
      <c r="H42" s="48" t="s">
        <v>757</v>
      </c>
      <c r="I42" s="48" t="s">
        <v>722</v>
      </c>
      <c r="J42" s="48" t="s">
        <v>1716</v>
      </c>
      <c r="K42" s="54" t="s">
        <v>1722</v>
      </c>
      <c r="L42" s="54">
        <v>100115</v>
      </c>
    </row>
    <row r="43" spans="1:12">
      <c r="A43" s="47">
        <v>45520</v>
      </c>
      <c r="B43" s="48" t="s">
        <v>839</v>
      </c>
      <c r="C43" s="49" t="s">
        <v>769</v>
      </c>
      <c r="D43" s="50" t="str">
        <f>_xlfn.XLOOKUP(J43,'Store Code'!B:B,'Store Code'!A:A)</f>
        <v>WAKAD</v>
      </c>
      <c r="E43" s="48" t="s">
        <v>840</v>
      </c>
      <c r="F43" s="48">
        <v>58000</v>
      </c>
      <c r="G43" s="48" t="s">
        <v>760</v>
      </c>
      <c r="H43" s="48" t="s">
        <v>721</v>
      </c>
      <c r="I43" s="48" t="s">
        <v>722</v>
      </c>
      <c r="J43" s="48" t="s">
        <v>1718</v>
      </c>
      <c r="K43" s="54" t="s">
        <v>1722</v>
      </c>
      <c r="L43" s="54">
        <v>100113</v>
      </c>
    </row>
    <row r="44" spans="1:12">
      <c r="A44" s="47">
        <v>45520</v>
      </c>
      <c r="B44" s="48" t="s">
        <v>842</v>
      </c>
      <c r="C44" s="49" t="s">
        <v>781</v>
      </c>
      <c r="D44" s="50" t="str">
        <f>_xlfn.XLOOKUP(J44,'Store Code'!B:B,'Store Code'!A:A)</f>
        <v>RASTA PETH</v>
      </c>
      <c r="E44" s="48" t="s">
        <v>843</v>
      </c>
      <c r="F44" s="48">
        <v>17500</v>
      </c>
      <c r="G44" s="48" t="s">
        <v>738</v>
      </c>
      <c r="H44" s="48" t="s">
        <v>757</v>
      </c>
      <c r="I44" s="48" t="s">
        <v>722</v>
      </c>
      <c r="J44" s="48" t="s">
        <v>1716</v>
      </c>
      <c r="K44" s="54" t="s">
        <v>1722</v>
      </c>
      <c r="L44" s="54">
        <v>100116</v>
      </c>
    </row>
    <row r="45" spans="1:12">
      <c r="A45" s="47">
        <v>45521</v>
      </c>
      <c r="B45" s="48" t="s">
        <v>845</v>
      </c>
      <c r="C45" s="49" t="s">
        <v>736</v>
      </c>
      <c r="D45" s="50" t="str">
        <f>_xlfn.XLOOKUP(J45,'Store Code'!B:B,'Store Code'!A:A)</f>
        <v>RASTA PETH</v>
      </c>
      <c r="E45" s="48" t="s">
        <v>846</v>
      </c>
      <c r="F45" s="48">
        <v>35300</v>
      </c>
      <c r="G45" s="48" t="s">
        <v>738</v>
      </c>
      <c r="H45" s="48" t="s">
        <v>721</v>
      </c>
      <c r="I45" s="48" t="s">
        <v>722</v>
      </c>
      <c r="J45" s="48" t="s">
        <v>1716</v>
      </c>
      <c r="K45" s="54" t="s">
        <v>1722</v>
      </c>
      <c r="L45" s="54">
        <v>100122</v>
      </c>
    </row>
    <row r="46" spans="1:12">
      <c r="A46" s="47">
        <v>45521</v>
      </c>
      <c r="B46" s="48" t="s">
        <v>848</v>
      </c>
      <c r="C46" s="49" t="s">
        <v>736</v>
      </c>
      <c r="D46" s="50" t="str">
        <f>_xlfn.XLOOKUP(J46,'Store Code'!B:B,'Store Code'!A:A)</f>
        <v>KHARADI</v>
      </c>
      <c r="E46" s="48" t="s">
        <v>224</v>
      </c>
      <c r="F46" s="48">
        <v>25000</v>
      </c>
      <c r="G46" s="51" t="s">
        <v>733</v>
      </c>
      <c r="H46" s="48" t="s">
        <v>721</v>
      </c>
      <c r="I46" s="48" t="s">
        <v>722</v>
      </c>
      <c r="J46" s="48" t="s">
        <v>1717</v>
      </c>
      <c r="K46" s="54" t="s">
        <v>1722</v>
      </c>
      <c r="L46" s="54">
        <v>100101</v>
      </c>
    </row>
    <row r="47" spans="1:12">
      <c r="A47" s="47">
        <v>45521</v>
      </c>
      <c r="B47" s="48" t="s">
        <v>850</v>
      </c>
      <c r="C47" s="49" t="s">
        <v>755</v>
      </c>
      <c r="D47" s="50" t="str">
        <f>_xlfn.XLOOKUP(J47,'Store Code'!B:B,'Store Code'!A:A)</f>
        <v>WAKAD</v>
      </c>
      <c r="E47" s="48" t="s">
        <v>499</v>
      </c>
      <c r="F47" s="48">
        <v>102000</v>
      </c>
      <c r="G47" s="51" t="s">
        <v>733</v>
      </c>
      <c r="H47" s="48" t="s">
        <v>721</v>
      </c>
      <c r="I47" s="48" t="s">
        <v>722</v>
      </c>
      <c r="J47" s="48" t="s">
        <v>1718</v>
      </c>
      <c r="K47" s="54" t="s">
        <v>1722</v>
      </c>
      <c r="L47" s="54">
        <v>100114</v>
      </c>
    </row>
    <row r="48" spans="1:12">
      <c r="A48" s="47">
        <v>45521</v>
      </c>
      <c r="B48" s="48" t="s">
        <v>852</v>
      </c>
      <c r="C48" s="49" t="s">
        <v>736</v>
      </c>
      <c r="D48" s="50" t="str">
        <f>_xlfn.XLOOKUP(J48,'Store Code'!B:B,'Store Code'!A:A)</f>
        <v>RASTA PETH</v>
      </c>
      <c r="E48" s="48" t="s">
        <v>853</v>
      </c>
      <c r="F48" s="48">
        <v>63000</v>
      </c>
      <c r="G48" s="51" t="s">
        <v>733</v>
      </c>
      <c r="H48" s="48" t="s">
        <v>721</v>
      </c>
      <c r="I48" s="48" t="s">
        <v>722</v>
      </c>
      <c r="J48" s="48" t="s">
        <v>1716</v>
      </c>
      <c r="K48" s="54" t="s">
        <v>1722</v>
      </c>
      <c r="L48" s="54">
        <v>100119</v>
      </c>
    </row>
    <row r="49" spans="1:12">
      <c r="A49" s="47">
        <v>45521</v>
      </c>
      <c r="B49" s="48" t="s">
        <v>855</v>
      </c>
      <c r="C49" s="49" t="s">
        <v>725</v>
      </c>
      <c r="D49" s="50" t="str">
        <f>_xlfn.XLOOKUP(J49,'Store Code'!B:B,'Store Code'!A:A)</f>
        <v>RASTA PETH</v>
      </c>
      <c r="E49" s="48" t="s">
        <v>292</v>
      </c>
      <c r="F49" s="48">
        <v>36000</v>
      </c>
      <c r="G49" s="48" t="s">
        <v>738</v>
      </c>
      <c r="H49" s="48" t="s">
        <v>721</v>
      </c>
      <c r="I49" s="48" t="s">
        <v>722</v>
      </c>
      <c r="J49" s="48" t="s">
        <v>1716</v>
      </c>
      <c r="K49" s="54" t="s">
        <v>1722</v>
      </c>
      <c r="L49" s="54">
        <v>100117</v>
      </c>
    </row>
    <row r="50" spans="1:12">
      <c r="A50" s="47">
        <v>45522</v>
      </c>
      <c r="B50" s="48" t="s">
        <v>857</v>
      </c>
      <c r="C50" s="49" t="s">
        <v>743</v>
      </c>
      <c r="D50" s="50" t="str">
        <f>_xlfn.XLOOKUP(J50,'Store Code'!B:B,'Store Code'!A:A)</f>
        <v>RASTA PETH</v>
      </c>
      <c r="E50" s="48" t="s">
        <v>684</v>
      </c>
      <c r="F50" s="48">
        <v>33500</v>
      </c>
      <c r="G50" s="51" t="s">
        <v>733</v>
      </c>
      <c r="H50" s="48" t="s">
        <v>721</v>
      </c>
      <c r="I50" s="48" t="s">
        <v>722</v>
      </c>
      <c r="J50" s="48" t="s">
        <v>1716</v>
      </c>
      <c r="K50" s="54" t="s">
        <v>1722</v>
      </c>
      <c r="L50" s="54">
        <v>100125</v>
      </c>
    </row>
    <row r="51" spans="1:12">
      <c r="A51" s="47">
        <v>45522</v>
      </c>
      <c r="B51" s="48" t="s">
        <v>859</v>
      </c>
      <c r="C51" s="49" t="s">
        <v>725</v>
      </c>
      <c r="D51" s="50" t="str">
        <f>_xlfn.XLOOKUP(J51,'Store Code'!B:B,'Store Code'!A:A)</f>
        <v>RASTA PETH</v>
      </c>
      <c r="E51" s="48" t="s">
        <v>501</v>
      </c>
      <c r="F51" s="48">
        <v>33000</v>
      </c>
      <c r="G51" s="51" t="s">
        <v>733</v>
      </c>
      <c r="H51" s="48" t="s">
        <v>721</v>
      </c>
      <c r="I51" s="48" t="s">
        <v>722</v>
      </c>
      <c r="J51" s="48" t="s">
        <v>1716</v>
      </c>
      <c r="K51" s="54" t="s">
        <v>1722</v>
      </c>
      <c r="L51" s="54">
        <v>100124</v>
      </c>
    </row>
    <row r="52" spans="1:12">
      <c r="A52" s="47">
        <v>45522</v>
      </c>
      <c r="B52" s="48" t="s">
        <v>861</v>
      </c>
      <c r="C52" s="49" t="s">
        <v>755</v>
      </c>
      <c r="D52" s="50" t="str">
        <f>_xlfn.XLOOKUP(J52,'Store Code'!B:B,'Store Code'!A:A)</f>
        <v>RASTA PETH</v>
      </c>
      <c r="E52" s="48" t="s">
        <v>862</v>
      </c>
      <c r="F52" s="48">
        <v>38000</v>
      </c>
      <c r="G52" s="48" t="s">
        <v>738</v>
      </c>
      <c r="H52" s="48" t="s">
        <v>721</v>
      </c>
      <c r="I52" s="48" t="s">
        <v>722</v>
      </c>
      <c r="J52" s="48" t="s">
        <v>1716</v>
      </c>
      <c r="K52" s="54" t="s">
        <v>1722</v>
      </c>
      <c r="L52" s="54">
        <v>100128</v>
      </c>
    </row>
    <row r="53" spans="1:12">
      <c r="A53" s="47">
        <v>45522</v>
      </c>
      <c r="B53" s="48" t="s">
        <v>864</v>
      </c>
      <c r="C53" s="49" t="s">
        <v>743</v>
      </c>
      <c r="D53" s="50" t="str">
        <f>_xlfn.XLOOKUP(J53,'Store Code'!B:B,'Store Code'!A:A)</f>
        <v>RASTA PETH</v>
      </c>
      <c r="E53" s="48" t="s">
        <v>684</v>
      </c>
      <c r="F53" s="48">
        <v>24000</v>
      </c>
      <c r="G53" s="48" t="s">
        <v>738</v>
      </c>
      <c r="H53" s="48" t="s">
        <v>721</v>
      </c>
      <c r="I53" s="48" t="s">
        <v>722</v>
      </c>
      <c r="J53" s="48" t="s">
        <v>1716</v>
      </c>
      <c r="K53" s="54" t="s">
        <v>1722</v>
      </c>
      <c r="L53" s="54">
        <v>100131</v>
      </c>
    </row>
    <row r="54" spans="1:12">
      <c r="A54" s="47">
        <v>45522</v>
      </c>
      <c r="B54" s="48" t="s">
        <v>866</v>
      </c>
      <c r="C54" s="49" t="s">
        <v>725</v>
      </c>
      <c r="D54" s="50" t="str">
        <f>_xlfn.XLOOKUP(J54,'Store Code'!B:B,'Store Code'!A:A)</f>
        <v>RASTA PETH</v>
      </c>
      <c r="E54" s="48" t="s">
        <v>867</v>
      </c>
      <c r="F54" s="48">
        <v>40000</v>
      </c>
      <c r="G54" s="48" t="s">
        <v>738</v>
      </c>
      <c r="H54" s="48" t="s">
        <v>721</v>
      </c>
      <c r="I54" s="48" t="s">
        <v>722</v>
      </c>
      <c r="J54" s="48" t="s">
        <v>1716</v>
      </c>
      <c r="K54" s="54" t="s">
        <v>1722</v>
      </c>
      <c r="L54" s="54">
        <v>100127</v>
      </c>
    </row>
    <row r="55" spans="1:12">
      <c r="A55" s="47">
        <v>45522</v>
      </c>
      <c r="B55" s="48" t="s">
        <v>869</v>
      </c>
      <c r="C55" s="49" t="s">
        <v>736</v>
      </c>
      <c r="D55" s="50" t="str">
        <f>_xlfn.XLOOKUP(J55,'Store Code'!B:B,'Store Code'!A:A)</f>
        <v>RASTA PETH</v>
      </c>
      <c r="E55" s="48" t="s">
        <v>750</v>
      </c>
      <c r="F55" s="48">
        <v>8800</v>
      </c>
      <c r="G55" s="48" t="s">
        <v>770</v>
      </c>
      <c r="H55" s="48" t="s">
        <v>721</v>
      </c>
      <c r="I55" s="48" t="s">
        <v>722</v>
      </c>
      <c r="J55" s="48" t="s">
        <v>1716</v>
      </c>
      <c r="K55" s="54" t="s">
        <v>1722</v>
      </c>
      <c r="L55" s="54">
        <v>100130</v>
      </c>
    </row>
    <row r="56" spans="1:12">
      <c r="A56" s="47">
        <v>45522</v>
      </c>
      <c r="B56" s="48" t="s">
        <v>871</v>
      </c>
      <c r="C56" s="49" t="s">
        <v>725</v>
      </c>
      <c r="D56" s="50" t="str">
        <f>_xlfn.XLOOKUP(J56,'Store Code'!B:B,'Store Code'!A:A)</f>
        <v>RASTA PETH</v>
      </c>
      <c r="E56" s="48" t="s">
        <v>872</v>
      </c>
      <c r="F56" s="48">
        <v>28000</v>
      </c>
      <c r="G56" s="48" t="s">
        <v>738</v>
      </c>
      <c r="H56" s="48" t="s">
        <v>721</v>
      </c>
      <c r="I56" s="48" t="s">
        <v>722</v>
      </c>
      <c r="J56" s="48" t="s">
        <v>1716</v>
      </c>
      <c r="K56" s="54" t="s">
        <v>1722</v>
      </c>
      <c r="L56" s="54">
        <v>100126</v>
      </c>
    </row>
    <row r="57" spans="1:12">
      <c r="A57" s="47">
        <v>45523</v>
      </c>
      <c r="B57" s="48" t="s">
        <v>874</v>
      </c>
      <c r="C57" s="49" t="s">
        <v>725</v>
      </c>
      <c r="D57" s="50" t="str">
        <f>_xlfn.XLOOKUP(J57,'Store Code'!B:B,'Store Code'!A:A)</f>
        <v>WAKAD</v>
      </c>
      <c r="E57" s="48" t="s">
        <v>807</v>
      </c>
      <c r="F57" s="48">
        <v>65000</v>
      </c>
      <c r="G57" s="51" t="s">
        <v>733</v>
      </c>
      <c r="H57" s="48" t="s">
        <v>721</v>
      </c>
      <c r="I57" s="48" t="s">
        <v>722</v>
      </c>
      <c r="J57" s="48" t="s">
        <v>1718</v>
      </c>
      <c r="K57" s="54" t="s">
        <v>1722</v>
      </c>
      <c r="L57" s="54">
        <v>100116</v>
      </c>
    </row>
    <row r="58" spans="1:12">
      <c r="A58" s="47">
        <v>45523</v>
      </c>
      <c r="B58" s="48" t="s">
        <v>876</v>
      </c>
      <c r="C58" s="49" t="s">
        <v>725</v>
      </c>
      <c r="D58" s="50" t="str">
        <f>_xlfn.XLOOKUP(J58,'Store Code'!B:B,'Store Code'!A:A)</f>
        <v>KHARADI</v>
      </c>
      <c r="E58" s="48" t="s">
        <v>877</v>
      </c>
      <c r="F58" s="48">
        <v>11000</v>
      </c>
      <c r="G58" s="51" t="s">
        <v>733</v>
      </c>
      <c r="H58" s="48" t="s">
        <v>721</v>
      </c>
      <c r="I58" s="48" t="s">
        <v>722</v>
      </c>
      <c r="J58" s="48" t="s">
        <v>1717</v>
      </c>
      <c r="K58" s="54" t="s">
        <v>1722</v>
      </c>
      <c r="L58" s="54">
        <v>100102</v>
      </c>
    </row>
    <row r="59" spans="1:12">
      <c r="A59" s="47">
        <v>45523</v>
      </c>
      <c r="B59" s="48" t="s">
        <v>879</v>
      </c>
      <c r="C59" s="49" t="s">
        <v>769</v>
      </c>
      <c r="D59" s="50" t="str">
        <f>_xlfn.XLOOKUP(J59,'Store Code'!B:B,'Store Code'!A:A)</f>
        <v>WAKAD</v>
      </c>
      <c r="E59" s="48" t="s">
        <v>880</v>
      </c>
      <c r="F59" s="48">
        <v>75000</v>
      </c>
      <c r="G59" s="48" t="s">
        <v>720</v>
      </c>
      <c r="H59" s="48" t="s">
        <v>721</v>
      </c>
      <c r="I59" s="48" t="s">
        <v>722</v>
      </c>
      <c r="J59" s="48" t="s">
        <v>1718</v>
      </c>
      <c r="K59" s="54" t="s">
        <v>1722</v>
      </c>
      <c r="L59" s="54">
        <v>100115</v>
      </c>
    </row>
    <row r="60" spans="1:12">
      <c r="A60" s="47">
        <v>45524</v>
      </c>
      <c r="B60" s="48" t="s">
        <v>882</v>
      </c>
      <c r="C60" s="49" t="s">
        <v>725</v>
      </c>
      <c r="D60" s="50" t="str">
        <f>_xlfn.XLOOKUP(J60,'Store Code'!B:B,'Store Code'!A:A)</f>
        <v>RASTA PETH</v>
      </c>
      <c r="E60" s="48" t="s">
        <v>883</v>
      </c>
      <c r="F60" s="48">
        <v>50000</v>
      </c>
      <c r="G60" s="48" t="s">
        <v>738</v>
      </c>
      <c r="H60" s="48" t="s">
        <v>757</v>
      </c>
      <c r="I60" s="48" t="s">
        <v>722</v>
      </c>
      <c r="J60" s="48" t="s">
        <v>1716</v>
      </c>
      <c r="K60" s="54" t="s">
        <v>1722</v>
      </c>
      <c r="L60" s="54">
        <v>100134</v>
      </c>
    </row>
    <row r="61" spans="1:12">
      <c r="A61" s="47">
        <v>45524</v>
      </c>
      <c r="B61" s="48" t="s">
        <v>885</v>
      </c>
      <c r="C61" s="49" t="s">
        <v>755</v>
      </c>
      <c r="D61" s="50" t="str">
        <f>_xlfn.XLOOKUP(J61,'Store Code'!B:B,'Store Code'!A:A)</f>
        <v>RASTA PETH</v>
      </c>
      <c r="E61" s="48" t="s">
        <v>886</v>
      </c>
      <c r="F61" s="48">
        <v>27200</v>
      </c>
      <c r="G61" s="48" t="s">
        <v>738</v>
      </c>
      <c r="H61" s="48" t="s">
        <v>721</v>
      </c>
      <c r="I61" s="48" t="s">
        <v>722</v>
      </c>
      <c r="J61" s="48" t="s">
        <v>1716</v>
      </c>
      <c r="K61" s="54" t="s">
        <v>1722</v>
      </c>
      <c r="L61" s="54">
        <v>100132</v>
      </c>
    </row>
    <row r="62" spans="1:12">
      <c r="A62" s="47">
        <v>45524</v>
      </c>
      <c r="B62" s="48" t="s">
        <v>888</v>
      </c>
      <c r="C62" s="49" t="s">
        <v>732</v>
      </c>
      <c r="D62" s="50" t="str">
        <f>_xlfn.XLOOKUP(J62,'Store Code'!B:B,'Store Code'!A:A)</f>
        <v>RASTA PETH</v>
      </c>
      <c r="E62" s="48" t="s">
        <v>526</v>
      </c>
      <c r="F62" s="48">
        <v>19000</v>
      </c>
      <c r="G62" s="48" t="s">
        <v>720</v>
      </c>
      <c r="H62" s="48" t="s">
        <v>757</v>
      </c>
      <c r="I62" s="48" t="s">
        <v>722</v>
      </c>
      <c r="J62" s="48" t="s">
        <v>1716</v>
      </c>
      <c r="K62" s="54" t="s">
        <v>1722</v>
      </c>
      <c r="L62" s="54">
        <v>100133</v>
      </c>
    </row>
    <row r="63" spans="1:12">
      <c r="A63" s="47">
        <v>45525</v>
      </c>
      <c r="B63" s="48" t="s">
        <v>890</v>
      </c>
      <c r="C63" s="49" t="s">
        <v>769</v>
      </c>
      <c r="D63" s="50" t="str">
        <f>_xlfn.XLOOKUP(J63,'Store Code'!B:B,'Store Code'!A:A)</f>
        <v>RASTA PETH</v>
      </c>
      <c r="E63" s="48" t="s">
        <v>891</v>
      </c>
      <c r="F63" s="48">
        <v>14000</v>
      </c>
      <c r="G63" s="51" t="s">
        <v>733</v>
      </c>
      <c r="H63" s="48" t="s">
        <v>721</v>
      </c>
      <c r="I63" s="48" t="s">
        <v>722</v>
      </c>
      <c r="J63" s="48" t="s">
        <v>1716</v>
      </c>
      <c r="K63" s="54" t="s">
        <v>1722</v>
      </c>
      <c r="L63" s="54">
        <v>100135</v>
      </c>
    </row>
    <row r="64" spans="1:12">
      <c r="A64" s="47">
        <v>45525</v>
      </c>
      <c r="B64" s="48" t="s">
        <v>893</v>
      </c>
      <c r="C64" s="49" t="s">
        <v>781</v>
      </c>
      <c r="D64" s="50" t="str">
        <f>_xlfn.XLOOKUP(J64,'Store Code'!B:B,'Store Code'!A:A)</f>
        <v>RASTA PETH</v>
      </c>
      <c r="E64" s="48" t="s">
        <v>894</v>
      </c>
      <c r="F64" s="48">
        <v>50000</v>
      </c>
      <c r="G64" s="51" t="s">
        <v>733</v>
      </c>
      <c r="H64" s="48" t="s">
        <v>721</v>
      </c>
      <c r="I64" s="48" t="s">
        <v>722</v>
      </c>
      <c r="J64" s="48" t="s">
        <v>1716</v>
      </c>
      <c r="K64" s="54" t="s">
        <v>1722</v>
      </c>
      <c r="L64" s="54">
        <v>100136</v>
      </c>
    </row>
    <row r="65" spans="1:12">
      <c r="A65" s="47">
        <v>45525</v>
      </c>
      <c r="B65" s="48" t="s">
        <v>896</v>
      </c>
      <c r="C65" s="49" t="s">
        <v>769</v>
      </c>
      <c r="D65" s="50" t="str">
        <f>_xlfn.XLOOKUP(J65,'Store Code'!B:B,'Store Code'!A:A)</f>
        <v>WAKAD</v>
      </c>
      <c r="E65" s="48" t="s">
        <v>897</v>
      </c>
      <c r="F65" s="48">
        <v>116500</v>
      </c>
      <c r="G65" s="51" t="s">
        <v>733</v>
      </c>
      <c r="H65" s="48" t="s">
        <v>721</v>
      </c>
      <c r="I65" s="48" t="s">
        <v>722</v>
      </c>
      <c r="J65" s="48" t="s">
        <v>1718</v>
      </c>
      <c r="K65" s="54" t="s">
        <v>1722</v>
      </c>
      <c r="L65" s="54">
        <v>100117</v>
      </c>
    </row>
    <row r="66" spans="1:12">
      <c r="A66" s="47">
        <v>45526</v>
      </c>
      <c r="B66" s="48" t="s">
        <v>899</v>
      </c>
      <c r="C66" s="49" t="s">
        <v>725</v>
      </c>
      <c r="D66" s="50" t="str">
        <f>_xlfn.XLOOKUP(J66,'Store Code'!B:B,'Store Code'!A:A)</f>
        <v>RASTA PETH</v>
      </c>
      <c r="E66" s="48" t="s">
        <v>501</v>
      </c>
      <c r="F66" s="48">
        <v>81000</v>
      </c>
      <c r="G66" s="48" t="s">
        <v>738</v>
      </c>
      <c r="H66" s="48" t="s">
        <v>721</v>
      </c>
      <c r="I66" s="48" t="s">
        <v>722</v>
      </c>
      <c r="J66" s="48" t="s">
        <v>1716</v>
      </c>
      <c r="K66" s="54" t="s">
        <v>1722</v>
      </c>
      <c r="L66" s="54">
        <v>100138</v>
      </c>
    </row>
    <row r="67" spans="1:12">
      <c r="A67" s="47">
        <v>45526</v>
      </c>
      <c r="B67" s="48" t="s">
        <v>901</v>
      </c>
      <c r="C67" s="49" t="s">
        <v>736</v>
      </c>
      <c r="D67" s="50" t="str">
        <f>_xlfn.XLOOKUP(J67,'Store Code'!B:B,'Store Code'!A:A)</f>
        <v>RASTA PETH</v>
      </c>
      <c r="E67" s="48" t="s">
        <v>902</v>
      </c>
      <c r="F67" s="48">
        <v>26000</v>
      </c>
      <c r="G67" s="48" t="s">
        <v>738</v>
      </c>
      <c r="H67" s="48" t="s">
        <v>721</v>
      </c>
      <c r="I67" s="48" t="s">
        <v>722</v>
      </c>
      <c r="J67" s="48" t="s">
        <v>1716</v>
      </c>
      <c r="K67" s="54" t="s">
        <v>1722</v>
      </c>
      <c r="L67" s="54">
        <v>100139</v>
      </c>
    </row>
    <row r="68" spans="1:12">
      <c r="A68" s="47">
        <v>45526</v>
      </c>
      <c r="B68" s="48" t="s">
        <v>904</v>
      </c>
      <c r="C68" s="49" t="s">
        <v>725</v>
      </c>
      <c r="D68" s="50" t="str">
        <f>_xlfn.XLOOKUP(J68,'Store Code'!B:B,'Store Code'!A:A)</f>
        <v>RASTA PETH</v>
      </c>
      <c r="E68" s="48" t="s">
        <v>441</v>
      </c>
      <c r="F68" s="48">
        <v>57500</v>
      </c>
      <c r="G68" s="48" t="s">
        <v>738</v>
      </c>
      <c r="H68" s="48" t="s">
        <v>721</v>
      </c>
      <c r="I68" s="48" t="s">
        <v>722</v>
      </c>
      <c r="J68" s="48" t="s">
        <v>1716</v>
      </c>
      <c r="K68" s="54" t="s">
        <v>1722</v>
      </c>
      <c r="L68" s="54">
        <v>100137</v>
      </c>
    </row>
    <row r="69" spans="1:12">
      <c r="A69" s="47">
        <v>45526</v>
      </c>
      <c r="B69" s="48" t="s">
        <v>906</v>
      </c>
      <c r="C69" s="49" t="s">
        <v>743</v>
      </c>
      <c r="D69" s="50" t="str">
        <f>_xlfn.XLOOKUP(J69,'Store Code'!B:B,'Store Code'!A:A)</f>
        <v>WAKAD</v>
      </c>
      <c r="E69" s="48" t="s">
        <v>684</v>
      </c>
      <c r="F69" s="48">
        <v>19000</v>
      </c>
      <c r="G69" s="48" t="s">
        <v>720</v>
      </c>
      <c r="H69" s="48" t="s">
        <v>721</v>
      </c>
      <c r="I69" s="48" t="s">
        <v>722</v>
      </c>
      <c r="J69" s="48" t="s">
        <v>1718</v>
      </c>
      <c r="K69" s="54" t="s">
        <v>1722</v>
      </c>
      <c r="L69" s="54">
        <v>100118</v>
      </c>
    </row>
    <row r="70" spans="1:12">
      <c r="A70" s="47">
        <v>45528</v>
      </c>
      <c r="B70" s="48" t="s">
        <v>908</v>
      </c>
      <c r="C70" s="49" t="s">
        <v>725</v>
      </c>
      <c r="D70" s="50" t="str">
        <f>_xlfn.XLOOKUP(J70,'Store Code'!B:B,'Store Code'!A:A)</f>
        <v>RASTA PETH</v>
      </c>
      <c r="E70" s="48" t="s">
        <v>909</v>
      </c>
      <c r="F70" s="48">
        <v>26500</v>
      </c>
      <c r="G70" s="51" t="s">
        <v>733</v>
      </c>
      <c r="H70" s="48" t="s">
        <v>721</v>
      </c>
      <c r="I70" s="48" t="s">
        <v>722</v>
      </c>
      <c r="J70" s="48" t="s">
        <v>1716</v>
      </c>
      <c r="K70" s="54" t="s">
        <v>1722</v>
      </c>
      <c r="L70" s="54">
        <v>100155</v>
      </c>
    </row>
    <row r="71" spans="1:12">
      <c r="A71" s="47">
        <v>45528</v>
      </c>
      <c r="B71" s="48" t="s">
        <v>911</v>
      </c>
      <c r="C71" s="49" t="s">
        <v>725</v>
      </c>
      <c r="D71" s="50" t="str">
        <f>_xlfn.XLOOKUP(J71,'Store Code'!B:B,'Store Code'!A:A)</f>
        <v>RASTA PETH</v>
      </c>
      <c r="E71" s="48" t="s">
        <v>441</v>
      </c>
      <c r="F71" s="48">
        <v>40000</v>
      </c>
      <c r="G71" s="48" t="s">
        <v>738</v>
      </c>
      <c r="H71" s="48" t="s">
        <v>721</v>
      </c>
      <c r="I71" s="48" t="s">
        <v>722</v>
      </c>
      <c r="J71" s="48" t="s">
        <v>1716</v>
      </c>
      <c r="K71" s="54" t="s">
        <v>1722</v>
      </c>
      <c r="L71" s="54">
        <v>100140</v>
      </c>
    </row>
    <row r="72" spans="1:12">
      <c r="A72" s="47">
        <v>45528</v>
      </c>
      <c r="B72" s="48" t="s">
        <v>913</v>
      </c>
      <c r="C72" s="49" t="s">
        <v>736</v>
      </c>
      <c r="D72" s="50" t="str">
        <f>_xlfn.XLOOKUP(J72,'Store Code'!B:B,'Store Code'!A:A)</f>
        <v>RASTA PETH</v>
      </c>
      <c r="E72" s="48" t="s">
        <v>224</v>
      </c>
      <c r="F72" s="48">
        <v>45000</v>
      </c>
      <c r="G72" s="48" t="s">
        <v>738</v>
      </c>
      <c r="H72" s="48" t="s">
        <v>721</v>
      </c>
      <c r="I72" s="48" t="s">
        <v>722</v>
      </c>
      <c r="J72" s="48" t="s">
        <v>1716</v>
      </c>
      <c r="K72" s="54" t="s">
        <v>1722</v>
      </c>
      <c r="L72" s="54">
        <v>100156</v>
      </c>
    </row>
    <row r="73" spans="1:12">
      <c r="A73" s="47">
        <v>45529</v>
      </c>
      <c r="B73" s="48" t="s">
        <v>915</v>
      </c>
      <c r="C73" s="49" t="s">
        <v>743</v>
      </c>
      <c r="D73" s="50" t="str">
        <f>_xlfn.XLOOKUP(J73,'Store Code'!B:B,'Store Code'!A:A)</f>
        <v>UNDRI</v>
      </c>
      <c r="E73" s="48" t="s">
        <v>684</v>
      </c>
      <c r="F73" s="48">
        <v>70000</v>
      </c>
      <c r="G73" s="51" t="s">
        <v>733</v>
      </c>
      <c r="H73" s="48" t="s">
        <v>721</v>
      </c>
      <c r="I73" s="48" t="s">
        <v>722</v>
      </c>
      <c r="J73" s="48" t="s">
        <v>1711</v>
      </c>
      <c r="K73" s="54" t="s">
        <v>1722</v>
      </c>
      <c r="L73" s="54">
        <v>100050</v>
      </c>
    </row>
    <row r="74" spans="1:12">
      <c r="A74" s="47">
        <v>45530</v>
      </c>
      <c r="B74" s="48" t="s">
        <v>917</v>
      </c>
      <c r="C74" s="49" t="s">
        <v>725</v>
      </c>
      <c r="D74" s="50" t="str">
        <f>_xlfn.XLOOKUP(J74,'Store Code'!B:B,'Store Code'!A:A)</f>
        <v>SINHAGAD ROAD</v>
      </c>
      <c r="E74" s="48" t="s">
        <v>909</v>
      </c>
      <c r="F74" s="48">
        <v>10000</v>
      </c>
      <c r="G74" s="48" t="s">
        <v>770</v>
      </c>
      <c r="H74" s="48" t="s">
        <v>721</v>
      </c>
      <c r="I74" s="48" t="s">
        <v>722</v>
      </c>
      <c r="J74" s="48" t="s">
        <v>1709</v>
      </c>
      <c r="K74" s="54" t="s">
        <v>1722</v>
      </c>
      <c r="L74" s="54">
        <v>9178</v>
      </c>
    </row>
    <row r="75" spans="1:12">
      <c r="A75" s="47">
        <v>45530</v>
      </c>
      <c r="B75" s="48" t="s">
        <v>919</v>
      </c>
      <c r="C75" s="49" t="s">
        <v>736</v>
      </c>
      <c r="D75" s="50" t="str">
        <f>_xlfn.XLOOKUP(J75,'Store Code'!B:B,'Store Code'!A:A)</f>
        <v>RASTA PETH</v>
      </c>
      <c r="E75" s="48" t="s">
        <v>846</v>
      </c>
      <c r="F75" s="48">
        <v>33000</v>
      </c>
      <c r="G75" s="48" t="s">
        <v>738</v>
      </c>
      <c r="H75" s="48" t="s">
        <v>721</v>
      </c>
      <c r="I75" s="48" t="s">
        <v>722</v>
      </c>
      <c r="J75" s="48" t="s">
        <v>1716</v>
      </c>
      <c r="K75" s="54" t="s">
        <v>1722</v>
      </c>
      <c r="L75" s="54">
        <v>100141</v>
      </c>
    </row>
    <row r="76" spans="1:12">
      <c r="A76" s="47">
        <v>45531</v>
      </c>
      <c r="B76" s="48" t="s">
        <v>921</v>
      </c>
      <c r="C76" s="49" t="s">
        <v>769</v>
      </c>
      <c r="D76" s="50" t="str">
        <f>_xlfn.XLOOKUP(J76,'Store Code'!B:B,'Store Code'!A:A)</f>
        <v>WAKAD</v>
      </c>
      <c r="E76" s="48" t="s">
        <v>840</v>
      </c>
      <c r="F76" s="48">
        <v>25000</v>
      </c>
      <c r="G76" s="48" t="s">
        <v>760</v>
      </c>
      <c r="H76" s="48" t="s">
        <v>721</v>
      </c>
      <c r="I76" s="48" t="s">
        <v>722</v>
      </c>
      <c r="J76" s="48" t="s">
        <v>1718</v>
      </c>
      <c r="K76" s="54" t="s">
        <v>1722</v>
      </c>
      <c r="L76" s="54">
        <v>100127</v>
      </c>
    </row>
    <row r="77" spans="1:12">
      <c r="A77" s="47">
        <v>45531</v>
      </c>
      <c r="B77" s="48" t="s">
        <v>923</v>
      </c>
      <c r="C77" s="49" t="s">
        <v>743</v>
      </c>
      <c r="D77" s="50" t="str">
        <f>_xlfn.XLOOKUP(J77,'Store Code'!B:B,'Store Code'!A:A)</f>
        <v>RASTA PETH</v>
      </c>
      <c r="E77" s="48" t="s">
        <v>684</v>
      </c>
      <c r="F77" s="48">
        <v>28000</v>
      </c>
      <c r="G77" s="48" t="s">
        <v>770</v>
      </c>
      <c r="H77" s="48" t="s">
        <v>721</v>
      </c>
      <c r="I77" s="48" t="s">
        <v>722</v>
      </c>
      <c r="J77" s="48" t="s">
        <v>1716</v>
      </c>
      <c r="K77" s="54" t="s">
        <v>1722</v>
      </c>
      <c r="L77" s="54">
        <v>100144</v>
      </c>
    </row>
    <row r="78" spans="1:12">
      <c r="A78" s="47">
        <v>45531</v>
      </c>
      <c r="B78" s="48" t="s">
        <v>925</v>
      </c>
      <c r="C78" s="49" t="s">
        <v>769</v>
      </c>
      <c r="D78" s="50" t="str">
        <f>_xlfn.XLOOKUP(J78,'Store Code'!B:B,'Store Code'!A:A)</f>
        <v>RASTA PETH</v>
      </c>
      <c r="E78" s="48" t="s">
        <v>816</v>
      </c>
      <c r="F78" s="48">
        <v>33000</v>
      </c>
      <c r="G78" s="51" t="s">
        <v>733</v>
      </c>
      <c r="H78" s="48" t="s">
        <v>721</v>
      </c>
      <c r="I78" s="48" t="s">
        <v>722</v>
      </c>
      <c r="J78" s="48" t="s">
        <v>1716</v>
      </c>
      <c r="K78" s="54" t="s">
        <v>1722</v>
      </c>
      <c r="L78" s="54">
        <v>100152</v>
      </c>
    </row>
    <row r="79" spans="1:12">
      <c r="A79" s="47">
        <v>45531</v>
      </c>
      <c r="B79" s="48" t="s">
        <v>927</v>
      </c>
      <c r="C79" s="49" t="s">
        <v>725</v>
      </c>
      <c r="D79" s="50" t="str">
        <f>_xlfn.XLOOKUP(J79,'Store Code'!B:B,'Store Code'!A:A)</f>
        <v>RASTA PETH</v>
      </c>
      <c r="E79" s="48" t="s">
        <v>292</v>
      </c>
      <c r="F79" s="48">
        <v>50000</v>
      </c>
      <c r="G79" s="48" t="s">
        <v>738</v>
      </c>
      <c r="H79" s="48" t="s">
        <v>721</v>
      </c>
      <c r="I79" s="48" t="s">
        <v>722</v>
      </c>
      <c r="J79" s="48" t="s">
        <v>1716</v>
      </c>
      <c r="K79" s="54" t="s">
        <v>1722</v>
      </c>
      <c r="L79" s="54">
        <v>100143</v>
      </c>
    </row>
    <row r="80" spans="1:12">
      <c r="A80" s="47">
        <v>45531</v>
      </c>
      <c r="B80" s="48" t="s">
        <v>929</v>
      </c>
      <c r="C80" s="49" t="s">
        <v>725</v>
      </c>
      <c r="D80" s="50" t="str">
        <f>_xlfn.XLOOKUP(J80,'Store Code'!B:B,'Store Code'!A:A)</f>
        <v>RASTA PETH</v>
      </c>
      <c r="E80" s="48" t="s">
        <v>292</v>
      </c>
      <c r="F80" s="48">
        <v>166000</v>
      </c>
      <c r="G80" s="48" t="s">
        <v>738</v>
      </c>
      <c r="H80" s="48" t="s">
        <v>721</v>
      </c>
      <c r="I80" s="48" t="s">
        <v>722</v>
      </c>
      <c r="J80" s="48" t="s">
        <v>1716</v>
      </c>
      <c r="K80" s="54" t="s">
        <v>1722</v>
      </c>
      <c r="L80" s="54">
        <v>100153</v>
      </c>
    </row>
    <row r="81" spans="1:12">
      <c r="A81" s="47">
        <v>45531</v>
      </c>
      <c r="B81" s="48" t="s">
        <v>931</v>
      </c>
      <c r="C81" s="49" t="s">
        <v>769</v>
      </c>
      <c r="D81" s="50" t="str">
        <f>_xlfn.XLOOKUP(J81,'Store Code'!B:B,'Store Code'!A:A)</f>
        <v>RASTA PETH</v>
      </c>
      <c r="E81" s="48" t="s">
        <v>932</v>
      </c>
      <c r="F81" s="48">
        <v>150000</v>
      </c>
      <c r="G81" s="48" t="s">
        <v>770</v>
      </c>
      <c r="H81" s="48" t="s">
        <v>721</v>
      </c>
      <c r="I81" s="48" t="s">
        <v>722</v>
      </c>
      <c r="J81" s="48" t="s">
        <v>1716</v>
      </c>
      <c r="K81" s="54" t="s">
        <v>1722</v>
      </c>
      <c r="L81" s="54">
        <v>100142</v>
      </c>
    </row>
    <row r="82" spans="1:12">
      <c r="A82" s="47">
        <v>45532</v>
      </c>
      <c r="B82" s="48" t="s">
        <v>934</v>
      </c>
      <c r="C82" s="49" t="s">
        <v>769</v>
      </c>
      <c r="D82" s="50" t="str">
        <f>_xlfn.XLOOKUP(J82,'Store Code'!B:B,'Store Code'!A:A)</f>
        <v>KHARADI</v>
      </c>
      <c r="E82" s="48" t="s">
        <v>433</v>
      </c>
      <c r="F82" s="48">
        <v>152000</v>
      </c>
      <c r="G82" s="51" t="s">
        <v>733</v>
      </c>
      <c r="H82" s="48" t="s">
        <v>721</v>
      </c>
      <c r="I82" s="48" t="s">
        <v>722</v>
      </c>
      <c r="J82" s="48" t="s">
        <v>1717</v>
      </c>
      <c r="K82" s="54" t="s">
        <v>1722</v>
      </c>
      <c r="L82" s="54">
        <v>100141</v>
      </c>
    </row>
    <row r="83" spans="1:12">
      <c r="A83" s="47">
        <v>45533</v>
      </c>
      <c r="B83" s="48" t="s">
        <v>936</v>
      </c>
      <c r="C83" s="49" t="s">
        <v>769</v>
      </c>
      <c r="D83" s="50" t="str">
        <f>_xlfn.XLOOKUP(J83,'Store Code'!B:B,'Store Code'!A:A)</f>
        <v>WAKAD</v>
      </c>
      <c r="E83" s="48" t="s">
        <v>937</v>
      </c>
      <c r="F83" s="48">
        <v>28000</v>
      </c>
      <c r="G83" s="51" t="s">
        <v>733</v>
      </c>
      <c r="H83" s="48" t="s">
        <v>721</v>
      </c>
      <c r="I83" s="48" t="s">
        <v>722</v>
      </c>
      <c r="J83" s="48" t="s">
        <v>1718</v>
      </c>
      <c r="K83" s="54" t="s">
        <v>1722</v>
      </c>
      <c r="L83" s="54">
        <v>100128</v>
      </c>
    </row>
    <row r="84" spans="1:12">
      <c r="A84" s="47">
        <v>45533</v>
      </c>
      <c r="B84" s="48" t="s">
        <v>939</v>
      </c>
      <c r="C84" s="49" t="s">
        <v>755</v>
      </c>
      <c r="D84" s="50" t="str">
        <f>_xlfn.XLOOKUP(J84,'Store Code'!B:B,'Store Code'!A:A)</f>
        <v>KHARADI</v>
      </c>
      <c r="E84" s="48" t="s">
        <v>940</v>
      </c>
      <c r="F84" s="48">
        <v>56000</v>
      </c>
      <c r="G84" s="48" t="s">
        <v>770</v>
      </c>
      <c r="H84" s="48" t="s">
        <v>721</v>
      </c>
      <c r="I84" s="48" t="s">
        <v>722</v>
      </c>
      <c r="J84" s="48" t="s">
        <v>1717</v>
      </c>
      <c r="K84" s="54" t="s">
        <v>1722</v>
      </c>
      <c r="L84" s="54">
        <v>100142</v>
      </c>
    </row>
    <row r="85" spans="1:12">
      <c r="A85" s="47">
        <v>45533</v>
      </c>
      <c r="B85" s="48" t="s">
        <v>942</v>
      </c>
      <c r="C85" s="49" t="s">
        <v>755</v>
      </c>
      <c r="D85" s="50" t="str">
        <f>_xlfn.XLOOKUP(J85,'Store Code'!B:B,'Store Code'!A:A)</f>
        <v>WAKAD</v>
      </c>
      <c r="E85" s="48" t="s">
        <v>943</v>
      </c>
      <c r="F85" s="48">
        <v>41800</v>
      </c>
      <c r="G85" s="51" t="s">
        <v>733</v>
      </c>
      <c r="H85" s="48" t="s">
        <v>721</v>
      </c>
      <c r="I85" s="48" t="s">
        <v>722</v>
      </c>
      <c r="J85" s="48" t="s">
        <v>1718</v>
      </c>
      <c r="K85" s="54" t="s">
        <v>1722</v>
      </c>
      <c r="L85" s="54">
        <v>100129</v>
      </c>
    </row>
    <row r="86" spans="1:12">
      <c r="A86" s="47">
        <v>45534</v>
      </c>
      <c r="B86" s="48" t="s">
        <v>945</v>
      </c>
      <c r="C86" s="49" t="s">
        <v>732</v>
      </c>
      <c r="D86" s="50" t="str">
        <f>_xlfn.XLOOKUP(J86,'Store Code'!B:B,'Store Code'!A:A)</f>
        <v>KHARADI</v>
      </c>
      <c r="E86" s="48" t="s">
        <v>946</v>
      </c>
      <c r="F86" s="48">
        <v>45000</v>
      </c>
      <c r="G86" s="51" t="s">
        <v>733</v>
      </c>
      <c r="H86" s="48" t="s">
        <v>721</v>
      </c>
      <c r="I86" s="48" t="s">
        <v>722</v>
      </c>
      <c r="J86" s="48" t="s">
        <v>1717</v>
      </c>
      <c r="K86" s="54" t="s">
        <v>1722</v>
      </c>
      <c r="L86" s="54">
        <v>100143</v>
      </c>
    </row>
    <row r="87" spans="1:12">
      <c r="A87" s="47">
        <v>45534</v>
      </c>
      <c r="B87" s="48" t="s">
        <v>948</v>
      </c>
      <c r="C87" s="49" t="s">
        <v>725</v>
      </c>
      <c r="D87" s="50" t="str">
        <f>_xlfn.XLOOKUP(J87,'Store Code'!B:B,'Store Code'!A:A)</f>
        <v>RASTA PETH</v>
      </c>
      <c r="E87" s="48" t="s">
        <v>501</v>
      </c>
      <c r="F87" s="48">
        <v>20000</v>
      </c>
      <c r="G87" s="48" t="s">
        <v>720</v>
      </c>
      <c r="H87" s="48" t="s">
        <v>721</v>
      </c>
      <c r="I87" s="48" t="s">
        <v>722</v>
      </c>
      <c r="J87" s="48" t="s">
        <v>1716</v>
      </c>
      <c r="K87" s="54" t="s">
        <v>1722</v>
      </c>
      <c r="L87" s="54">
        <v>100145</v>
      </c>
    </row>
    <row r="88" spans="1:12">
      <c r="A88" s="47">
        <v>45534</v>
      </c>
      <c r="B88" s="48" t="s">
        <v>950</v>
      </c>
      <c r="C88" s="49" t="s">
        <v>725</v>
      </c>
      <c r="D88" s="50" t="str">
        <f>_xlfn.XLOOKUP(J88,'Store Code'!B:B,'Store Code'!A:A)</f>
        <v>RASTA PETH</v>
      </c>
      <c r="E88" s="48" t="s">
        <v>800</v>
      </c>
      <c r="F88" s="48">
        <v>100000</v>
      </c>
      <c r="G88" s="48" t="s">
        <v>738</v>
      </c>
      <c r="H88" s="48" t="s">
        <v>721</v>
      </c>
      <c r="I88" s="48" t="s">
        <v>722</v>
      </c>
      <c r="J88" s="48" t="s">
        <v>1716</v>
      </c>
      <c r="K88" s="54" t="s">
        <v>1722</v>
      </c>
      <c r="L88" s="54">
        <v>100146</v>
      </c>
    </row>
    <row r="89" spans="1:12">
      <c r="A89" s="47">
        <v>45534</v>
      </c>
      <c r="B89" s="48" t="s">
        <v>952</v>
      </c>
      <c r="C89" s="49" t="s">
        <v>725</v>
      </c>
      <c r="D89" s="50" t="str">
        <f>_xlfn.XLOOKUP(J89,'Store Code'!B:B,'Store Code'!A:A)</f>
        <v>KHARADI</v>
      </c>
      <c r="E89" s="48" t="s">
        <v>524</v>
      </c>
      <c r="F89" s="48">
        <v>17000</v>
      </c>
      <c r="G89" s="48" t="s">
        <v>738</v>
      </c>
      <c r="H89" s="48" t="s">
        <v>721</v>
      </c>
      <c r="I89" s="48" t="s">
        <v>722</v>
      </c>
      <c r="J89" s="48" t="s">
        <v>1717</v>
      </c>
      <c r="K89" s="54" t="s">
        <v>1722</v>
      </c>
      <c r="L89" s="54">
        <v>100144</v>
      </c>
    </row>
    <row r="90" spans="1:12">
      <c r="A90" s="47">
        <v>45535</v>
      </c>
      <c r="B90" s="48" t="s">
        <v>954</v>
      </c>
      <c r="C90" s="49" t="s">
        <v>725</v>
      </c>
      <c r="D90" s="50" t="str">
        <f>_xlfn.XLOOKUP(J90,'Store Code'!B:B,'Store Code'!A:A)</f>
        <v>RASTA PETH</v>
      </c>
      <c r="E90" s="48" t="s">
        <v>800</v>
      </c>
      <c r="F90" s="48">
        <v>48000</v>
      </c>
      <c r="G90" s="48" t="s">
        <v>738</v>
      </c>
      <c r="H90" s="48" t="s">
        <v>757</v>
      </c>
      <c r="I90" s="48" t="s">
        <v>722</v>
      </c>
      <c r="J90" s="48" t="s">
        <v>1716</v>
      </c>
      <c r="K90" s="54" t="s">
        <v>1722</v>
      </c>
      <c r="L90" s="54">
        <v>100147</v>
      </c>
    </row>
    <row r="91" spans="1:12">
      <c r="A91" s="47">
        <v>45535</v>
      </c>
      <c r="B91" s="48" t="s">
        <v>956</v>
      </c>
      <c r="C91" s="49" t="s">
        <v>769</v>
      </c>
      <c r="D91" s="50" t="str">
        <f>_xlfn.XLOOKUP(J91,'Store Code'!B:B,'Store Code'!A:A)</f>
        <v>WAKAD</v>
      </c>
      <c r="E91" s="48" t="s">
        <v>957</v>
      </c>
      <c r="F91" s="48">
        <v>34000</v>
      </c>
      <c r="G91" s="48" t="s">
        <v>720</v>
      </c>
      <c r="H91" s="48" t="s">
        <v>721</v>
      </c>
      <c r="I91" s="48" t="s">
        <v>722</v>
      </c>
      <c r="J91" s="48" t="s">
        <v>1718</v>
      </c>
      <c r="K91" s="54" t="s">
        <v>1722</v>
      </c>
      <c r="L91" s="54">
        <v>100130</v>
      </c>
    </row>
    <row r="92" spans="1:12">
      <c r="A92" s="47">
        <v>45535</v>
      </c>
      <c r="B92" s="48" t="s">
        <v>959</v>
      </c>
      <c r="C92" s="49" t="s">
        <v>743</v>
      </c>
      <c r="D92" s="50" t="str">
        <f>_xlfn.XLOOKUP(J92,'Store Code'!B:B,'Store Code'!A:A)</f>
        <v>RASTA PETH</v>
      </c>
      <c r="E92" s="48" t="s">
        <v>684</v>
      </c>
      <c r="F92" s="48">
        <v>55000</v>
      </c>
      <c r="G92" s="51" t="s">
        <v>733</v>
      </c>
      <c r="H92" s="48" t="s">
        <v>721</v>
      </c>
      <c r="I92" s="48" t="s">
        <v>722</v>
      </c>
      <c r="J92" s="48" t="s">
        <v>1716</v>
      </c>
      <c r="K92" s="54" t="s">
        <v>1722</v>
      </c>
      <c r="L92" s="54">
        <v>100148</v>
      </c>
    </row>
    <row r="93" spans="1:12">
      <c r="A93" s="47">
        <v>45535</v>
      </c>
      <c r="B93" s="48" t="s">
        <v>961</v>
      </c>
      <c r="C93" s="49" t="s">
        <v>769</v>
      </c>
      <c r="D93" s="50" t="str">
        <f>_xlfn.XLOOKUP(J93,'Store Code'!B:B,'Store Code'!A:A)</f>
        <v>RASTA PETH</v>
      </c>
      <c r="E93" s="48" t="s">
        <v>962</v>
      </c>
      <c r="F93" s="48">
        <v>59000</v>
      </c>
      <c r="G93" s="48" t="s">
        <v>720</v>
      </c>
      <c r="H93" s="48" t="s">
        <v>721</v>
      </c>
      <c r="I93" s="48" t="s">
        <v>722</v>
      </c>
      <c r="J93" s="48" t="s">
        <v>1716</v>
      </c>
      <c r="K93" s="54" t="s">
        <v>1722</v>
      </c>
      <c r="L93" s="54">
        <v>100149</v>
      </c>
    </row>
    <row r="94" spans="1:12">
      <c r="A94" s="52">
        <v>45536</v>
      </c>
      <c r="B94" s="48" t="s">
        <v>964</v>
      </c>
      <c r="C94" s="48" t="s">
        <v>725</v>
      </c>
      <c r="D94" s="50" t="str">
        <f>_xlfn.XLOOKUP(J94,'Store Code'!B:B,'Store Code'!A:A)</f>
        <v>WAKAD</v>
      </c>
      <c r="E94" s="48" t="s">
        <v>609</v>
      </c>
      <c r="F94" s="48">
        <v>52100</v>
      </c>
      <c r="G94" s="51" t="s">
        <v>733</v>
      </c>
      <c r="H94" s="48" t="s">
        <v>721</v>
      </c>
      <c r="I94" s="48" t="s">
        <v>722</v>
      </c>
      <c r="J94" s="48" t="s">
        <v>1718</v>
      </c>
      <c r="K94" s="54" t="s">
        <v>1722</v>
      </c>
      <c r="L94" s="54">
        <v>100139</v>
      </c>
    </row>
    <row r="95" spans="1:12">
      <c r="A95" s="52">
        <v>45536</v>
      </c>
      <c r="B95" s="48" t="s">
        <v>966</v>
      </c>
      <c r="C95" s="48" t="s">
        <v>781</v>
      </c>
      <c r="D95" s="50" t="str">
        <f>_xlfn.XLOOKUP(J95,'Store Code'!B:B,'Store Code'!A:A)</f>
        <v>RASTA PETH</v>
      </c>
      <c r="E95" s="48" t="s">
        <v>326</v>
      </c>
      <c r="F95" s="48">
        <v>18300</v>
      </c>
      <c r="G95" s="48" t="s">
        <v>738</v>
      </c>
      <c r="H95" s="48" t="s">
        <v>757</v>
      </c>
      <c r="I95" s="48" t="s">
        <v>722</v>
      </c>
      <c r="J95" s="48" t="s">
        <v>1716</v>
      </c>
      <c r="K95" s="54" t="s">
        <v>1722</v>
      </c>
      <c r="L95" s="54">
        <v>100150</v>
      </c>
    </row>
    <row r="96" spans="1:12">
      <c r="A96" s="52">
        <v>45536</v>
      </c>
      <c r="B96" s="48" t="s">
        <v>968</v>
      </c>
      <c r="C96" s="48" t="s">
        <v>736</v>
      </c>
      <c r="D96" s="50" t="str">
        <f>_xlfn.XLOOKUP(J96,'Store Code'!B:B,'Store Code'!A:A)</f>
        <v>RASTA PETH</v>
      </c>
      <c r="E96" s="48" t="s">
        <v>969</v>
      </c>
      <c r="F96" s="48">
        <v>64000</v>
      </c>
      <c r="G96" s="51" t="s">
        <v>733</v>
      </c>
      <c r="H96" s="48" t="s">
        <v>757</v>
      </c>
      <c r="I96" s="48" t="s">
        <v>722</v>
      </c>
      <c r="J96" s="48" t="s">
        <v>1716</v>
      </c>
      <c r="K96" s="54" t="s">
        <v>1722</v>
      </c>
      <c r="L96" s="54">
        <v>100151</v>
      </c>
    </row>
    <row r="97" spans="1:12">
      <c r="A97" s="52">
        <v>45536</v>
      </c>
      <c r="B97" s="48" t="s">
        <v>971</v>
      </c>
      <c r="C97" s="48" t="s">
        <v>736</v>
      </c>
      <c r="D97" s="50" t="str">
        <f>_xlfn.XLOOKUP(J97,'Store Code'!B:B,'Store Code'!A:A)</f>
        <v>WAKAD</v>
      </c>
      <c r="E97" s="48" t="s">
        <v>205</v>
      </c>
      <c r="F97" s="48">
        <v>43300</v>
      </c>
      <c r="G97" s="51" t="s">
        <v>733</v>
      </c>
      <c r="H97" s="48" t="s">
        <v>721</v>
      </c>
      <c r="I97" s="48" t="s">
        <v>722</v>
      </c>
      <c r="J97" s="48" t="s">
        <v>1718</v>
      </c>
      <c r="K97" s="54" t="s">
        <v>1722</v>
      </c>
      <c r="L97" s="54">
        <v>100140</v>
      </c>
    </row>
    <row r="98" spans="1:12">
      <c r="A98" s="52">
        <v>45536</v>
      </c>
      <c r="B98" s="48" t="s">
        <v>973</v>
      </c>
      <c r="C98" s="48" t="s">
        <v>773</v>
      </c>
      <c r="D98" s="50" t="str">
        <f>_xlfn.XLOOKUP(J98,'Store Code'!B:B,'Store Code'!A:A)</f>
        <v>RASTA PETH</v>
      </c>
      <c r="E98" s="48" t="s">
        <v>974</v>
      </c>
      <c r="F98" s="48">
        <v>65000</v>
      </c>
      <c r="G98" s="48" t="s">
        <v>738</v>
      </c>
      <c r="H98" s="48" t="s">
        <v>721</v>
      </c>
      <c r="I98" s="48" t="s">
        <v>722</v>
      </c>
      <c r="J98" s="48" t="s">
        <v>1716</v>
      </c>
      <c r="K98" s="54" t="s">
        <v>1722</v>
      </c>
      <c r="L98" s="54">
        <v>100154</v>
      </c>
    </row>
    <row r="99" spans="1:12">
      <c r="A99" s="52">
        <v>45537</v>
      </c>
      <c r="B99" s="48" t="s">
        <v>976</v>
      </c>
      <c r="C99" s="48" t="s">
        <v>732</v>
      </c>
      <c r="D99" s="50" t="str">
        <f>_xlfn.XLOOKUP(J99,'Store Code'!B:B,'Store Code'!A:A)</f>
        <v>KHARADI</v>
      </c>
      <c r="E99" s="48" t="s">
        <v>526</v>
      </c>
      <c r="F99" s="48">
        <v>53000</v>
      </c>
      <c r="G99" s="51" t="s">
        <v>733</v>
      </c>
      <c r="H99" s="48" t="s">
        <v>721</v>
      </c>
      <c r="I99" s="48" t="s">
        <v>722</v>
      </c>
      <c r="J99" s="48" t="s">
        <v>1717</v>
      </c>
      <c r="K99" s="54" t="s">
        <v>1722</v>
      </c>
      <c r="L99" s="54">
        <v>100145</v>
      </c>
    </row>
    <row r="100" spans="1:12">
      <c r="A100" s="52">
        <v>45538</v>
      </c>
      <c r="B100" s="48" t="s">
        <v>978</v>
      </c>
      <c r="C100" s="48" t="s">
        <v>769</v>
      </c>
      <c r="D100" s="50" t="str">
        <f>_xlfn.XLOOKUP(J100,'Store Code'!B:B,'Store Code'!A:A)</f>
        <v>RASTA PETH</v>
      </c>
      <c r="E100" s="48" t="s">
        <v>979</v>
      </c>
      <c r="F100" s="48">
        <v>24215</v>
      </c>
      <c r="G100" s="48" t="s">
        <v>738</v>
      </c>
      <c r="H100" s="48" t="s">
        <v>721</v>
      </c>
      <c r="I100" s="48" t="s">
        <v>722</v>
      </c>
      <c r="J100" s="48" t="s">
        <v>1716</v>
      </c>
      <c r="K100" s="54" t="s">
        <v>1722</v>
      </c>
      <c r="L100" s="54">
        <v>100162</v>
      </c>
    </row>
    <row r="101" spans="1:12">
      <c r="A101" s="52">
        <v>45538</v>
      </c>
      <c r="B101" s="48" t="s">
        <v>981</v>
      </c>
      <c r="C101" s="48" t="s">
        <v>725</v>
      </c>
      <c r="D101" s="50" t="str">
        <f>_xlfn.XLOOKUP(J101,'Store Code'!B:B,'Store Code'!A:A)</f>
        <v>RASTA PETH</v>
      </c>
      <c r="E101" s="48" t="s">
        <v>292</v>
      </c>
      <c r="F101" s="48">
        <v>47000</v>
      </c>
      <c r="G101" s="51" t="s">
        <v>733</v>
      </c>
      <c r="H101" s="48" t="s">
        <v>721</v>
      </c>
      <c r="I101" s="48" t="s">
        <v>722</v>
      </c>
      <c r="J101" s="48" t="s">
        <v>1716</v>
      </c>
      <c r="K101" s="54" t="s">
        <v>1722</v>
      </c>
      <c r="L101" s="54">
        <v>100161</v>
      </c>
    </row>
    <row r="102" spans="1:12">
      <c r="A102" s="52">
        <v>45538</v>
      </c>
      <c r="B102" s="48" t="s">
        <v>983</v>
      </c>
      <c r="C102" s="48" t="s">
        <v>278</v>
      </c>
      <c r="D102" s="50" t="str">
        <f>_xlfn.XLOOKUP(J102,'Store Code'!B:B,'Store Code'!A:A)</f>
        <v>UNDRI</v>
      </c>
      <c r="E102" s="48" t="s">
        <v>581</v>
      </c>
      <c r="F102" s="48">
        <v>40000</v>
      </c>
      <c r="G102" s="51" t="s">
        <v>733</v>
      </c>
      <c r="H102" s="48" t="s">
        <v>721</v>
      </c>
      <c r="I102" s="48" t="s">
        <v>722</v>
      </c>
      <c r="J102" s="48" t="s">
        <v>1711</v>
      </c>
      <c r="K102" s="54" t="s">
        <v>1722</v>
      </c>
      <c r="L102" s="54">
        <v>100051</v>
      </c>
    </row>
    <row r="103" spans="1:12">
      <c r="A103" s="52">
        <v>45538</v>
      </c>
      <c r="B103" s="48" t="s">
        <v>985</v>
      </c>
      <c r="C103" s="48" t="s">
        <v>736</v>
      </c>
      <c r="D103" s="50" t="str">
        <f>_xlfn.XLOOKUP(J103,'Store Code'!B:B,'Store Code'!A:A)</f>
        <v>RASTA PETH</v>
      </c>
      <c r="E103" s="48" t="s">
        <v>224</v>
      </c>
      <c r="F103" s="48">
        <v>159500</v>
      </c>
      <c r="G103" s="48" t="s">
        <v>770</v>
      </c>
      <c r="H103" s="48" t="s">
        <v>721</v>
      </c>
      <c r="I103" s="48" t="s">
        <v>722</v>
      </c>
      <c r="J103" s="48" t="s">
        <v>1716</v>
      </c>
      <c r="K103" s="54" t="s">
        <v>1722</v>
      </c>
      <c r="L103" s="54">
        <v>100164</v>
      </c>
    </row>
    <row r="104" spans="1:12">
      <c r="A104" s="52">
        <v>45538</v>
      </c>
      <c r="B104" s="48" t="s">
        <v>987</v>
      </c>
      <c r="C104" s="48" t="s">
        <v>725</v>
      </c>
      <c r="D104" s="50" t="str">
        <f>_xlfn.XLOOKUP(J104,'Store Code'!B:B,'Store Code'!A:A)</f>
        <v>RASTA PETH</v>
      </c>
      <c r="E104" s="48" t="s">
        <v>800</v>
      </c>
      <c r="F104" s="48">
        <v>275000</v>
      </c>
      <c r="G104" s="48" t="s">
        <v>738</v>
      </c>
      <c r="H104" s="48" t="s">
        <v>721</v>
      </c>
      <c r="I104" s="48" t="s">
        <v>722</v>
      </c>
      <c r="J104" s="48" t="s">
        <v>1716</v>
      </c>
      <c r="K104" s="54" t="s">
        <v>1722</v>
      </c>
      <c r="L104" s="54">
        <v>100157</v>
      </c>
    </row>
    <row r="105" spans="1:12">
      <c r="A105" s="52">
        <v>45538</v>
      </c>
      <c r="B105" s="48" t="s">
        <v>989</v>
      </c>
      <c r="C105" s="48" t="s">
        <v>725</v>
      </c>
      <c r="D105" s="50" t="str">
        <f>_xlfn.XLOOKUP(J105,'Store Code'!B:B,'Store Code'!A:A)</f>
        <v>RASTA PETH</v>
      </c>
      <c r="E105" s="48" t="s">
        <v>990</v>
      </c>
      <c r="F105" s="48">
        <v>34000</v>
      </c>
      <c r="G105" s="48" t="s">
        <v>738</v>
      </c>
      <c r="H105" s="48" t="s">
        <v>721</v>
      </c>
      <c r="I105" s="48" t="s">
        <v>722</v>
      </c>
      <c r="J105" s="48" t="s">
        <v>1716</v>
      </c>
      <c r="K105" s="54" t="s">
        <v>1722</v>
      </c>
      <c r="L105" s="54">
        <v>100165</v>
      </c>
    </row>
    <row r="106" spans="1:12">
      <c r="A106" s="52">
        <v>45538</v>
      </c>
      <c r="B106" s="48" t="s">
        <v>992</v>
      </c>
      <c r="C106" s="48" t="s">
        <v>725</v>
      </c>
      <c r="D106" s="50" t="str">
        <f>_xlfn.XLOOKUP(J106,'Store Code'!B:B,'Store Code'!A:A)</f>
        <v>RASTA PETH</v>
      </c>
      <c r="E106" s="48" t="s">
        <v>800</v>
      </c>
      <c r="F106" s="48">
        <v>83000</v>
      </c>
      <c r="G106" s="48" t="s">
        <v>738</v>
      </c>
      <c r="H106" s="48" t="s">
        <v>721</v>
      </c>
      <c r="I106" s="48" t="s">
        <v>722</v>
      </c>
      <c r="J106" s="48" t="s">
        <v>1716</v>
      </c>
      <c r="K106" s="54" t="s">
        <v>1722</v>
      </c>
      <c r="L106" s="54">
        <v>100160</v>
      </c>
    </row>
    <row r="107" spans="1:12">
      <c r="A107" s="52">
        <v>45538</v>
      </c>
      <c r="B107" s="48" t="s">
        <v>994</v>
      </c>
      <c r="C107" s="48" t="s">
        <v>725</v>
      </c>
      <c r="D107" s="50" t="str">
        <f>_xlfn.XLOOKUP(J107,'Store Code'!B:B,'Store Code'!A:A)</f>
        <v>RASTA PETH</v>
      </c>
      <c r="E107" s="48" t="s">
        <v>800</v>
      </c>
      <c r="F107" s="48">
        <v>35000</v>
      </c>
      <c r="G107" s="48" t="s">
        <v>738</v>
      </c>
      <c r="H107" s="48" t="s">
        <v>721</v>
      </c>
      <c r="I107" s="48" t="s">
        <v>722</v>
      </c>
      <c r="J107" s="48" t="s">
        <v>1716</v>
      </c>
      <c r="K107" s="54" t="s">
        <v>1722</v>
      </c>
      <c r="L107" s="54">
        <v>100158</v>
      </c>
    </row>
    <row r="108" spans="1:12">
      <c r="A108" s="52">
        <v>45538</v>
      </c>
      <c r="B108" s="48" t="s">
        <v>996</v>
      </c>
      <c r="C108" s="48" t="s">
        <v>781</v>
      </c>
      <c r="D108" s="50" t="str">
        <f>_xlfn.XLOOKUP(J108,'Store Code'!B:B,'Store Code'!A:A)</f>
        <v>RASTA PETH</v>
      </c>
      <c r="E108" s="48" t="s">
        <v>997</v>
      </c>
      <c r="F108" s="48">
        <v>29500</v>
      </c>
      <c r="G108" s="48" t="s">
        <v>738</v>
      </c>
      <c r="H108" s="48" t="s">
        <v>721</v>
      </c>
      <c r="I108" s="48" t="s">
        <v>722</v>
      </c>
      <c r="J108" s="48" t="s">
        <v>1716</v>
      </c>
      <c r="K108" s="54" t="s">
        <v>1722</v>
      </c>
      <c r="L108" s="54">
        <v>100159</v>
      </c>
    </row>
    <row r="109" spans="1:12">
      <c r="A109" s="52">
        <v>45538</v>
      </c>
      <c r="B109" s="48" t="s">
        <v>999</v>
      </c>
      <c r="C109" s="48" t="s">
        <v>717</v>
      </c>
      <c r="D109" s="50" t="str">
        <f>_xlfn.XLOOKUP(J109,'Store Code'!B:B,'Store Code'!A:A)</f>
        <v>RASTA PETH</v>
      </c>
      <c r="E109" s="48" t="s">
        <v>1000</v>
      </c>
      <c r="F109" s="48">
        <v>28800</v>
      </c>
      <c r="G109" s="51" t="s">
        <v>733</v>
      </c>
      <c r="H109" s="48" t="s">
        <v>721</v>
      </c>
      <c r="I109" s="48" t="s">
        <v>722</v>
      </c>
      <c r="J109" s="48" t="s">
        <v>1716</v>
      </c>
      <c r="K109" s="54" t="s">
        <v>1722</v>
      </c>
      <c r="L109" s="54">
        <v>100163</v>
      </c>
    </row>
    <row r="110" spans="1:12">
      <c r="A110" s="52">
        <v>45539</v>
      </c>
      <c r="B110" s="48" t="s">
        <v>1002</v>
      </c>
      <c r="C110" s="48" t="s">
        <v>781</v>
      </c>
      <c r="D110" s="50" t="str">
        <f>_xlfn.XLOOKUP(J110,'Store Code'!B:B,'Store Code'!A:A)</f>
        <v>KHARADI</v>
      </c>
      <c r="E110" s="48" t="s">
        <v>1003</v>
      </c>
      <c r="F110" s="48">
        <v>72000</v>
      </c>
      <c r="G110" s="51" t="s">
        <v>733</v>
      </c>
      <c r="H110" s="48" t="s">
        <v>721</v>
      </c>
      <c r="I110" s="48" t="s">
        <v>722</v>
      </c>
      <c r="J110" s="48" t="s">
        <v>1717</v>
      </c>
      <c r="K110" s="54" t="s">
        <v>1722</v>
      </c>
      <c r="L110" s="54">
        <v>100147</v>
      </c>
    </row>
    <row r="111" spans="1:12">
      <c r="A111" s="52">
        <v>45539</v>
      </c>
      <c r="B111" s="48" t="s">
        <v>1005</v>
      </c>
      <c r="C111" s="48" t="s">
        <v>725</v>
      </c>
      <c r="D111" s="50" t="str">
        <f>_xlfn.XLOOKUP(J111,'Store Code'!B:B,'Store Code'!A:A)</f>
        <v>KHARADI</v>
      </c>
      <c r="E111" s="48" t="s">
        <v>872</v>
      </c>
      <c r="F111" s="48">
        <v>15100</v>
      </c>
      <c r="G111" s="48" t="s">
        <v>1006</v>
      </c>
      <c r="H111" s="48" t="s">
        <v>721</v>
      </c>
      <c r="I111" s="48" t="s">
        <v>722</v>
      </c>
      <c r="J111" s="48" t="s">
        <v>1717</v>
      </c>
      <c r="K111" s="54" t="s">
        <v>1722</v>
      </c>
      <c r="L111" s="54">
        <v>100146</v>
      </c>
    </row>
    <row r="112" spans="1:12">
      <c r="A112" s="52">
        <v>45540</v>
      </c>
      <c r="B112" s="48" t="s">
        <v>1008</v>
      </c>
      <c r="C112" s="48" t="s">
        <v>725</v>
      </c>
      <c r="D112" s="50" t="str">
        <f>_xlfn.XLOOKUP(J112,'Store Code'!B:B,'Store Code'!A:A)</f>
        <v>RASTA PETH</v>
      </c>
      <c r="E112" s="48" t="s">
        <v>452</v>
      </c>
      <c r="F112" s="48">
        <v>18800</v>
      </c>
      <c r="G112" s="48" t="s">
        <v>770</v>
      </c>
      <c r="H112" s="48" t="s">
        <v>721</v>
      </c>
      <c r="I112" s="48" t="s">
        <v>722</v>
      </c>
      <c r="J112" s="48" t="s">
        <v>1716</v>
      </c>
      <c r="K112" s="54" t="s">
        <v>1722</v>
      </c>
      <c r="L112" s="54">
        <v>100166</v>
      </c>
    </row>
    <row r="113" spans="1:12">
      <c r="A113" s="52">
        <v>45540</v>
      </c>
      <c r="B113" s="48" t="s">
        <v>1010</v>
      </c>
      <c r="C113" s="48" t="s">
        <v>736</v>
      </c>
      <c r="D113" s="50" t="str">
        <f>_xlfn.XLOOKUP(J113,'Store Code'!B:B,'Store Code'!A:A)</f>
        <v>RASTA PETH</v>
      </c>
      <c r="E113" s="48" t="s">
        <v>205</v>
      </c>
      <c r="F113" s="48">
        <v>72000</v>
      </c>
      <c r="G113" s="48" t="s">
        <v>1011</v>
      </c>
      <c r="H113" s="48" t="s">
        <v>721</v>
      </c>
      <c r="I113" s="48" t="s">
        <v>722</v>
      </c>
      <c r="J113" s="48" t="s">
        <v>1716</v>
      </c>
      <c r="K113" s="54" t="s">
        <v>1722</v>
      </c>
      <c r="L113" s="54">
        <v>100167</v>
      </c>
    </row>
    <row r="114" spans="1:12">
      <c r="A114" s="52">
        <v>45541</v>
      </c>
      <c r="B114" s="48" t="s">
        <v>1013</v>
      </c>
      <c r="C114" s="48" t="s">
        <v>736</v>
      </c>
      <c r="D114" s="50" t="str">
        <f>_xlfn.XLOOKUP(J114,'Store Code'!B:B,'Store Code'!A:A)</f>
        <v>KHARADI</v>
      </c>
      <c r="E114" s="48" t="s">
        <v>1014</v>
      </c>
      <c r="F114" s="48">
        <v>39000</v>
      </c>
      <c r="G114" s="51" t="s">
        <v>733</v>
      </c>
      <c r="H114" s="48" t="s">
        <v>721</v>
      </c>
      <c r="I114" s="48" t="s">
        <v>722</v>
      </c>
      <c r="J114" s="48" t="s">
        <v>1717</v>
      </c>
      <c r="K114" s="54" t="s">
        <v>1722</v>
      </c>
      <c r="L114" s="54">
        <v>100165</v>
      </c>
    </row>
    <row r="115" spans="1:12">
      <c r="A115" s="52">
        <v>45541</v>
      </c>
      <c r="B115" s="48" t="s">
        <v>1016</v>
      </c>
      <c r="C115" s="48" t="s">
        <v>725</v>
      </c>
      <c r="D115" s="50" t="str">
        <f>_xlfn.XLOOKUP(J115,'Store Code'!B:B,'Store Code'!A:A)</f>
        <v>KHARADI</v>
      </c>
      <c r="E115" s="48" t="s">
        <v>543</v>
      </c>
      <c r="F115" s="48">
        <v>24000</v>
      </c>
      <c r="G115" s="51" t="s">
        <v>733</v>
      </c>
      <c r="H115" s="48" t="s">
        <v>721</v>
      </c>
      <c r="I115" s="48" t="s">
        <v>722</v>
      </c>
      <c r="J115" s="48" t="s">
        <v>1717</v>
      </c>
      <c r="K115" s="54" t="s">
        <v>1722</v>
      </c>
      <c r="L115" s="54">
        <v>100164</v>
      </c>
    </row>
    <row r="116" spans="1:12">
      <c r="A116" s="52">
        <v>45541</v>
      </c>
      <c r="B116" s="48" t="s">
        <v>1018</v>
      </c>
      <c r="C116" s="48" t="s">
        <v>781</v>
      </c>
      <c r="D116" s="50" t="str">
        <f>_xlfn.XLOOKUP(J116,'Store Code'!B:B,'Store Code'!A:A)</f>
        <v>WAKAD</v>
      </c>
      <c r="E116" s="48" t="s">
        <v>1019</v>
      </c>
      <c r="F116" s="48">
        <v>11500</v>
      </c>
      <c r="G116" s="51" t="s">
        <v>733</v>
      </c>
      <c r="H116" s="48" t="s">
        <v>757</v>
      </c>
      <c r="I116" s="48" t="s">
        <v>722</v>
      </c>
      <c r="J116" s="48" t="s">
        <v>1718</v>
      </c>
      <c r="K116" s="54" t="s">
        <v>1722</v>
      </c>
      <c r="L116" s="54">
        <v>100148</v>
      </c>
    </row>
    <row r="117" spans="1:12">
      <c r="A117" s="52">
        <v>45541</v>
      </c>
      <c r="B117" s="48" t="s">
        <v>1021</v>
      </c>
      <c r="C117" s="48" t="s">
        <v>725</v>
      </c>
      <c r="D117" s="50" t="str">
        <f>_xlfn.XLOOKUP(J117,'Store Code'!B:B,'Store Code'!A:A)</f>
        <v>RASTA PETH</v>
      </c>
      <c r="E117" s="48" t="s">
        <v>292</v>
      </c>
      <c r="F117" s="48">
        <v>23000</v>
      </c>
      <c r="G117" s="48" t="s">
        <v>770</v>
      </c>
      <c r="H117" s="48" t="s">
        <v>721</v>
      </c>
      <c r="I117" s="48" t="s">
        <v>722</v>
      </c>
      <c r="J117" s="48" t="s">
        <v>1716</v>
      </c>
      <c r="K117" s="54" t="s">
        <v>1722</v>
      </c>
      <c r="L117" s="54">
        <v>100168</v>
      </c>
    </row>
    <row r="118" spans="1:12">
      <c r="A118" s="52">
        <v>45542</v>
      </c>
      <c r="B118" s="48" t="s">
        <v>1023</v>
      </c>
      <c r="C118" s="48" t="s">
        <v>743</v>
      </c>
      <c r="D118" s="50" t="str">
        <f>_xlfn.XLOOKUP(J118,'Store Code'!B:B,'Store Code'!A:A)</f>
        <v>RASTA PETH</v>
      </c>
      <c r="E118" s="48" t="s">
        <v>1024</v>
      </c>
      <c r="F118" s="48">
        <v>14100</v>
      </c>
      <c r="G118" s="48" t="s">
        <v>770</v>
      </c>
      <c r="H118" s="48" t="s">
        <v>721</v>
      </c>
      <c r="I118" s="48" t="s">
        <v>722</v>
      </c>
      <c r="J118" s="48" t="s">
        <v>1716</v>
      </c>
      <c r="K118" s="54" t="s">
        <v>1722</v>
      </c>
      <c r="L118" s="54">
        <v>100169</v>
      </c>
    </row>
    <row r="119" spans="1:12">
      <c r="A119" s="52">
        <v>45543</v>
      </c>
      <c r="B119" s="48" t="s">
        <v>1026</v>
      </c>
      <c r="C119" s="48" t="s">
        <v>725</v>
      </c>
      <c r="D119" s="50" t="str">
        <f>_xlfn.XLOOKUP(J119,'Store Code'!B:B,'Store Code'!A:A)</f>
        <v>RASTA PETH</v>
      </c>
      <c r="E119" s="48" t="s">
        <v>1027</v>
      </c>
      <c r="F119" s="48">
        <v>90000</v>
      </c>
      <c r="G119" s="48" t="s">
        <v>738</v>
      </c>
      <c r="H119" s="48" t="s">
        <v>757</v>
      </c>
      <c r="I119" s="48" t="s">
        <v>722</v>
      </c>
      <c r="J119" s="48" t="s">
        <v>1716</v>
      </c>
      <c r="K119" s="54" t="s">
        <v>1722</v>
      </c>
      <c r="L119" s="54">
        <v>100170</v>
      </c>
    </row>
    <row r="120" spans="1:12">
      <c r="A120" s="52">
        <v>45543</v>
      </c>
      <c r="B120" s="48" t="s">
        <v>1029</v>
      </c>
      <c r="C120" s="48" t="s">
        <v>725</v>
      </c>
      <c r="D120" s="50" t="str">
        <f>_xlfn.XLOOKUP(J120,'Store Code'!B:B,'Store Code'!A:A)</f>
        <v>KHARADI</v>
      </c>
      <c r="E120" s="48" t="s">
        <v>990</v>
      </c>
      <c r="F120" s="48">
        <v>23000</v>
      </c>
      <c r="G120" s="51" t="s">
        <v>733</v>
      </c>
      <c r="H120" s="48" t="s">
        <v>721</v>
      </c>
      <c r="I120" s="48" t="s">
        <v>722</v>
      </c>
      <c r="J120" s="48" t="s">
        <v>1717</v>
      </c>
      <c r="K120" s="54" t="s">
        <v>1722</v>
      </c>
      <c r="L120" s="54">
        <v>100166</v>
      </c>
    </row>
    <row r="121" spans="1:12">
      <c r="A121" s="52">
        <v>45543</v>
      </c>
      <c r="B121" s="48" t="s">
        <v>1031</v>
      </c>
      <c r="C121" s="48" t="s">
        <v>725</v>
      </c>
      <c r="D121" s="50" t="str">
        <f>_xlfn.XLOOKUP(J121,'Store Code'!B:B,'Store Code'!A:A)</f>
        <v>RASTA PETH</v>
      </c>
      <c r="E121" s="48" t="s">
        <v>1032</v>
      </c>
      <c r="F121" s="48">
        <v>61000</v>
      </c>
      <c r="G121" s="48" t="s">
        <v>770</v>
      </c>
      <c r="H121" s="48" t="s">
        <v>721</v>
      </c>
      <c r="I121" s="48" t="s">
        <v>722</v>
      </c>
      <c r="J121" s="48" t="s">
        <v>1716</v>
      </c>
      <c r="K121" s="54" t="s">
        <v>1722</v>
      </c>
      <c r="L121" s="54">
        <v>100171</v>
      </c>
    </row>
    <row r="122" spans="1:12">
      <c r="A122" s="52">
        <v>45544</v>
      </c>
      <c r="B122" s="48" t="s">
        <v>1034</v>
      </c>
      <c r="C122" s="48" t="s">
        <v>725</v>
      </c>
      <c r="D122" s="50" t="str">
        <f>_xlfn.XLOOKUP(J122,'Store Code'!B:B,'Store Code'!A:A)</f>
        <v>WAKAD</v>
      </c>
      <c r="E122" s="48" t="s">
        <v>867</v>
      </c>
      <c r="F122" s="48">
        <v>20000</v>
      </c>
      <c r="G122" s="51" t="s">
        <v>733</v>
      </c>
      <c r="H122" s="48" t="s">
        <v>721</v>
      </c>
      <c r="I122" s="48" t="s">
        <v>722</v>
      </c>
      <c r="J122" s="48" t="s">
        <v>1718</v>
      </c>
      <c r="K122" s="54" t="s">
        <v>1722</v>
      </c>
      <c r="L122" s="54">
        <v>100159</v>
      </c>
    </row>
    <row r="123" spans="1:12">
      <c r="A123" s="52">
        <v>45544</v>
      </c>
      <c r="B123" s="48" t="s">
        <v>1036</v>
      </c>
      <c r="C123" s="48" t="s">
        <v>743</v>
      </c>
      <c r="D123" s="50" t="str">
        <f>_xlfn.XLOOKUP(J123,'Store Code'!B:B,'Store Code'!A:A)</f>
        <v>RASTA PETH</v>
      </c>
      <c r="E123" s="48" t="s">
        <v>744</v>
      </c>
      <c r="F123" s="48">
        <v>23000</v>
      </c>
      <c r="G123" s="48" t="s">
        <v>720</v>
      </c>
      <c r="H123" s="48" t="s">
        <v>721</v>
      </c>
      <c r="I123" s="48" t="s">
        <v>722</v>
      </c>
      <c r="J123" s="48" t="s">
        <v>1716</v>
      </c>
      <c r="K123" s="54" t="s">
        <v>1722</v>
      </c>
      <c r="L123" s="54">
        <v>100173</v>
      </c>
    </row>
    <row r="124" spans="1:12">
      <c r="A124" s="52">
        <v>45544</v>
      </c>
      <c r="B124" s="48" t="s">
        <v>1038</v>
      </c>
      <c r="C124" s="48" t="s">
        <v>743</v>
      </c>
      <c r="D124" s="50" t="str">
        <f>_xlfn.XLOOKUP(J124,'Store Code'!B:B,'Store Code'!A:A)</f>
        <v>RASTA PETH</v>
      </c>
      <c r="E124" s="48" t="s">
        <v>1039</v>
      </c>
      <c r="F124" s="48">
        <v>17000</v>
      </c>
      <c r="G124" s="48" t="s">
        <v>738</v>
      </c>
      <c r="H124" s="48" t="s">
        <v>721</v>
      </c>
      <c r="I124" s="48" t="s">
        <v>722</v>
      </c>
      <c r="J124" s="48" t="s">
        <v>1716</v>
      </c>
      <c r="K124" s="54" t="s">
        <v>1722</v>
      </c>
      <c r="L124" s="54">
        <v>100174</v>
      </c>
    </row>
    <row r="125" spans="1:12">
      <c r="A125" s="52">
        <v>45544</v>
      </c>
      <c r="B125" s="48" t="s">
        <v>1041</v>
      </c>
      <c r="C125" s="48" t="s">
        <v>732</v>
      </c>
      <c r="D125" s="50" t="str">
        <f>_xlfn.XLOOKUP(J125,'Store Code'!B:B,'Store Code'!A:A)</f>
        <v>RASTA PETH</v>
      </c>
      <c r="E125" s="48" t="s">
        <v>694</v>
      </c>
      <c r="F125" s="48">
        <v>72000</v>
      </c>
      <c r="G125" s="51" t="s">
        <v>733</v>
      </c>
      <c r="H125" s="48" t="s">
        <v>757</v>
      </c>
      <c r="I125" s="48" t="s">
        <v>722</v>
      </c>
      <c r="J125" s="48" t="s">
        <v>1716</v>
      </c>
      <c r="K125" s="54" t="s">
        <v>1722</v>
      </c>
      <c r="L125" s="54">
        <v>100172</v>
      </c>
    </row>
    <row r="126" spans="1:12">
      <c r="A126" s="52">
        <v>45544</v>
      </c>
      <c r="B126" s="48" t="s">
        <v>1043</v>
      </c>
      <c r="C126" s="48" t="s">
        <v>755</v>
      </c>
      <c r="D126" s="50" t="str">
        <f>_xlfn.XLOOKUP(J126,'Store Code'!B:B,'Store Code'!A:A)</f>
        <v>RASTA PETH</v>
      </c>
      <c r="E126" s="48" t="s">
        <v>1044</v>
      </c>
      <c r="F126" s="48">
        <v>15000</v>
      </c>
      <c r="G126" s="51" t="s">
        <v>733</v>
      </c>
      <c r="H126" s="48" t="s">
        <v>721</v>
      </c>
      <c r="I126" s="48" t="s">
        <v>722</v>
      </c>
      <c r="J126" s="48" t="s">
        <v>1716</v>
      </c>
      <c r="K126" s="54" t="s">
        <v>1722</v>
      </c>
      <c r="L126" s="54">
        <v>100173</v>
      </c>
    </row>
    <row r="127" spans="1:12">
      <c r="A127" s="52">
        <v>45545</v>
      </c>
      <c r="B127" s="48" t="s">
        <v>1045</v>
      </c>
      <c r="C127" s="48" t="s">
        <v>755</v>
      </c>
      <c r="D127" s="50" t="str">
        <f>_xlfn.XLOOKUP(J127,'Store Code'!B:B,'Store Code'!A:A)</f>
        <v>RASTA PETH</v>
      </c>
      <c r="E127" s="48" t="s">
        <v>1046</v>
      </c>
      <c r="F127" s="48">
        <v>22000</v>
      </c>
      <c r="G127" s="48" t="s">
        <v>720</v>
      </c>
      <c r="H127" s="48" t="s">
        <v>721</v>
      </c>
      <c r="I127" s="48" t="s">
        <v>722</v>
      </c>
      <c r="J127" s="48" t="s">
        <v>1716</v>
      </c>
      <c r="K127" s="54" t="s">
        <v>1722</v>
      </c>
      <c r="L127" s="54">
        <v>100176</v>
      </c>
    </row>
    <row r="128" spans="1:12">
      <c r="A128" s="52">
        <v>45545</v>
      </c>
      <c r="B128" s="48" t="s">
        <v>1048</v>
      </c>
      <c r="C128" s="48" t="s">
        <v>725</v>
      </c>
      <c r="D128" s="50" t="str">
        <f>_xlfn.XLOOKUP(J128,'Store Code'!B:B,'Store Code'!A:A)</f>
        <v>RASTA PETH</v>
      </c>
      <c r="E128" s="48" t="s">
        <v>1049</v>
      </c>
      <c r="F128" s="48">
        <v>34000</v>
      </c>
      <c r="G128" s="48" t="s">
        <v>720</v>
      </c>
      <c r="H128" s="48" t="s">
        <v>721</v>
      </c>
      <c r="I128" s="48" t="s">
        <v>722</v>
      </c>
      <c r="J128" s="48" t="s">
        <v>1716</v>
      </c>
      <c r="K128" s="54" t="s">
        <v>1722</v>
      </c>
      <c r="L128" s="54">
        <v>100177</v>
      </c>
    </row>
    <row r="129" spans="1:12">
      <c r="A129" s="52">
        <v>45545</v>
      </c>
      <c r="B129" s="48" t="s">
        <v>1051</v>
      </c>
      <c r="C129" s="48" t="s">
        <v>769</v>
      </c>
      <c r="D129" s="50" t="str">
        <f>_xlfn.XLOOKUP(J129,'Store Code'!B:B,'Store Code'!A:A)</f>
        <v>RASTA PETH</v>
      </c>
      <c r="E129" s="48" t="s">
        <v>897</v>
      </c>
      <c r="F129" s="48">
        <v>110000</v>
      </c>
      <c r="G129" s="51" t="s">
        <v>733</v>
      </c>
      <c r="H129" s="48" t="s">
        <v>721</v>
      </c>
      <c r="I129" s="48" t="s">
        <v>722</v>
      </c>
      <c r="J129" s="48" t="s">
        <v>1716</v>
      </c>
      <c r="K129" s="54" t="s">
        <v>1722</v>
      </c>
      <c r="L129" s="54">
        <v>100178</v>
      </c>
    </row>
    <row r="130" spans="1:12">
      <c r="A130" s="52">
        <v>45546</v>
      </c>
      <c r="B130" s="48" t="s">
        <v>1053</v>
      </c>
      <c r="C130" s="48" t="s">
        <v>732</v>
      </c>
      <c r="D130" s="50" t="str">
        <f>_xlfn.XLOOKUP(J130,'Store Code'!B:B,'Store Code'!A:A)</f>
        <v>KHARADI</v>
      </c>
      <c r="E130" s="48" t="s">
        <v>1054</v>
      </c>
      <c r="F130" s="48">
        <v>103500</v>
      </c>
      <c r="G130" s="51" t="s">
        <v>733</v>
      </c>
      <c r="H130" s="48" t="s">
        <v>721</v>
      </c>
      <c r="I130" s="48" t="s">
        <v>722</v>
      </c>
      <c r="J130" s="48" t="s">
        <v>1717</v>
      </c>
      <c r="K130" s="54" t="s">
        <v>1722</v>
      </c>
      <c r="L130" s="54">
        <v>100167</v>
      </c>
    </row>
    <row r="131" spans="1:12">
      <c r="A131" s="52">
        <v>45546</v>
      </c>
      <c r="B131" s="48" t="s">
        <v>1056</v>
      </c>
      <c r="C131" s="48" t="s">
        <v>725</v>
      </c>
      <c r="D131" s="50" t="str">
        <f>_xlfn.XLOOKUP(J131,'Store Code'!B:B,'Store Code'!A:A)</f>
        <v>WAKAD</v>
      </c>
      <c r="E131" s="48" t="s">
        <v>515</v>
      </c>
      <c r="F131" s="48">
        <v>28000</v>
      </c>
      <c r="G131" s="48" t="s">
        <v>770</v>
      </c>
      <c r="H131" s="48" t="s">
        <v>721</v>
      </c>
      <c r="I131" s="48" t="s">
        <v>722</v>
      </c>
      <c r="J131" s="48" t="s">
        <v>1718</v>
      </c>
      <c r="K131" s="54" t="s">
        <v>1722</v>
      </c>
      <c r="L131" s="54">
        <v>100160</v>
      </c>
    </row>
    <row r="132" spans="1:12">
      <c r="A132" s="52">
        <v>45547</v>
      </c>
      <c r="B132" s="48" t="s">
        <v>1058</v>
      </c>
      <c r="C132" s="48" t="s">
        <v>755</v>
      </c>
      <c r="D132" s="50" t="str">
        <f>_xlfn.XLOOKUP(J132,'Store Code'!B:B,'Store Code'!A:A)</f>
        <v>UNDRI</v>
      </c>
      <c r="E132" s="48" t="s">
        <v>439</v>
      </c>
      <c r="F132" s="48">
        <v>159500</v>
      </c>
      <c r="G132" s="51" t="s">
        <v>733</v>
      </c>
      <c r="H132" s="48" t="s">
        <v>721</v>
      </c>
      <c r="I132" s="48" t="s">
        <v>722</v>
      </c>
      <c r="J132" s="48" t="s">
        <v>1711</v>
      </c>
      <c r="K132" s="54" t="s">
        <v>1722</v>
      </c>
      <c r="L132" s="54">
        <v>100144</v>
      </c>
    </row>
    <row r="133" spans="1:12">
      <c r="A133" s="52">
        <v>45547</v>
      </c>
      <c r="B133" s="48" t="s">
        <v>1060</v>
      </c>
      <c r="C133" s="48" t="s">
        <v>732</v>
      </c>
      <c r="D133" s="50" t="str">
        <f>_xlfn.XLOOKUP(J133,'Store Code'!B:B,'Store Code'!A:A)</f>
        <v>RASTA PETH</v>
      </c>
      <c r="E133" s="48" t="s">
        <v>294</v>
      </c>
      <c r="F133" s="48">
        <v>19500</v>
      </c>
      <c r="G133" s="48" t="s">
        <v>1011</v>
      </c>
      <c r="H133" s="48" t="s">
        <v>721</v>
      </c>
      <c r="I133" s="48" t="s">
        <v>722</v>
      </c>
      <c r="J133" s="48" t="s">
        <v>1716</v>
      </c>
      <c r="K133" s="54" t="s">
        <v>1722</v>
      </c>
      <c r="L133" s="54">
        <v>100180</v>
      </c>
    </row>
    <row r="134" spans="1:12">
      <c r="A134" s="52">
        <v>45547</v>
      </c>
      <c r="B134" s="48" t="s">
        <v>1062</v>
      </c>
      <c r="C134" s="48" t="s">
        <v>732</v>
      </c>
      <c r="D134" s="50" t="str">
        <f>_xlfn.XLOOKUP(J134,'Store Code'!B:B,'Store Code'!A:A)</f>
        <v>KHARADI</v>
      </c>
      <c r="E134" s="48" t="s">
        <v>526</v>
      </c>
      <c r="F134" s="48">
        <v>100000</v>
      </c>
      <c r="G134" s="51" t="s">
        <v>733</v>
      </c>
      <c r="H134" s="48" t="s">
        <v>721</v>
      </c>
      <c r="I134" s="48" t="s">
        <v>722</v>
      </c>
      <c r="J134" s="48" t="s">
        <v>1717</v>
      </c>
      <c r="K134" s="54" t="s">
        <v>1722</v>
      </c>
      <c r="L134" s="54">
        <v>100168</v>
      </c>
    </row>
    <row r="135" spans="1:12">
      <c r="A135" s="52">
        <v>45547</v>
      </c>
      <c r="B135" s="48" t="s">
        <v>1064</v>
      </c>
      <c r="C135" s="48" t="s">
        <v>725</v>
      </c>
      <c r="D135" s="50" t="str">
        <f>_xlfn.XLOOKUP(J135,'Store Code'!B:B,'Store Code'!A:A)</f>
        <v>RASTA PETH</v>
      </c>
      <c r="E135" s="48" t="s">
        <v>800</v>
      </c>
      <c r="F135" s="48">
        <v>40000</v>
      </c>
      <c r="G135" s="48" t="s">
        <v>738</v>
      </c>
      <c r="H135" s="48" t="s">
        <v>721</v>
      </c>
      <c r="I135" s="48" t="s">
        <v>722</v>
      </c>
      <c r="J135" s="48" t="s">
        <v>1716</v>
      </c>
      <c r="K135" s="54" t="s">
        <v>1722</v>
      </c>
      <c r="L135" s="54">
        <v>100181</v>
      </c>
    </row>
    <row r="136" spans="1:12">
      <c r="A136" s="52">
        <v>45547</v>
      </c>
      <c r="B136" s="48" t="s">
        <v>1066</v>
      </c>
      <c r="C136" s="48" t="s">
        <v>1067</v>
      </c>
      <c r="D136" s="50" t="str">
        <f>_xlfn.XLOOKUP(J136,'Store Code'!B:B,'Store Code'!A:A)</f>
        <v>RASTA PETH</v>
      </c>
      <c r="E136" s="48" t="s">
        <v>1068</v>
      </c>
      <c r="F136" s="48">
        <v>38000</v>
      </c>
      <c r="G136" s="48" t="s">
        <v>738</v>
      </c>
      <c r="H136" s="48" t="s">
        <v>721</v>
      </c>
      <c r="I136" s="48" t="s">
        <v>722</v>
      </c>
      <c r="J136" s="48" t="s">
        <v>1716</v>
      </c>
      <c r="K136" s="54" t="s">
        <v>1722</v>
      </c>
      <c r="L136" s="54">
        <v>100185</v>
      </c>
    </row>
    <row r="137" spans="1:12">
      <c r="A137" s="52">
        <v>45547</v>
      </c>
      <c r="B137" s="48" t="s">
        <v>1070</v>
      </c>
      <c r="C137" s="48" t="s">
        <v>769</v>
      </c>
      <c r="D137" s="50" t="str">
        <f>_xlfn.XLOOKUP(J137,'Store Code'!B:B,'Store Code'!A:A)</f>
        <v>RASTA PETH</v>
      </c>
      <c r="E137" s="48" t="s">
        <v>1071</v>
      </c>
      <c r="F137" s="48">
        <v>60000</v>
      </c>
      <c r="G137" s="48" t="s">
        <v>770</v>
      </c>
      <c r="H137" s="48" t="s">
        <v>721</v>
      </c>
      <c r="I137" s="48" t="s">
        <v>722</v>
      </c>
      <c r="J137" s="48" t="s">
        <v>1716</v>
      </c>
      <c r="K137" s="54" t="s">
        <v>1722</v>
      </c>
      <c r="L137" s="54">
        <v>100186</v>
      </c>
    </row>
    <row r="138" spans="1:12">
      <c r="A138" s="52">
        <v>45547</v>
      </c>
      <c r="B138" s="48" t="s">
        <v>1073</v>
      </c>
      <c r="C138" s="48" t="s">
        <v>736</v>
      </c>
      <c r="D138" s="50" t="str">
        <f>_xlfn.XLOOKUP(J138,'Store Code'!B:B,'Store Code'!A:A)</f>
        <v>UNDRI</v>
      </c>
      <c r="E138" s="48" t="s">
        <v>793</v>
      </c>
      <c r="F138" s="48">
        <v>70000</v>
      </c>
      <c r="G138" s="51" t="s">
        <v>733</v>
      </c>
      <c r="H138" s="48" t="s">
        <v>721</v>
      </c>
      <c r="I138" s="48" t="s">
        <v>722</v>
      </c>
      <c r="J138" s="48" t="s">
        <v>1711</v>
      </c>
      <c r="K138" s="54" t="s">
        <v>1722</v>
      </c>
      <c r="L138" s="54">
        <v>100143</v>
      </c>
    </row>
    <row r="139" spans="1:12">
      <c r="A139" s="52">
        <v>45547</v>
      </c>
      <c r="B139" s="48" t="s">
        <v>1075</v>
      </c>
      <c r="C139" s="48" t="s">
        <v>781</v>
      </c>
      <c r="D139" s="50" t="str">
        <f>_xlfn.XLOOKUP(J139,'Store Code'!B:B,'Store Code'!A:A)</f>
        <v>RASTA PETH</v>
      </c>
      <c r="E139" s="48" t="s">
        <v>894</v>
      </c>
      <c r="F139" s="48">
        <v>45000</v>
      </c>
      <c r="G139" s="48" t="s">
        <v>738</v>
      </c>
      <c r="H139" s="48" t="s">
        <v>721</v>
      </c>
      <c r="I139" s="48" t="s">
        <v>722</v>
      </c>
      <c r="J139" s="48" t="s">
        <v>1716</v>
      </c>
      <c r="K139" s="54" t="s">
        <v>1722</v>
      </c>
      <c r="L139" s="54">
        <v>100183</v>
      </c>
    </row>
    <row r="140" spans="1:12">
      <c r="A140" s="52">
        <v>45547</v>
      </c>
      <c r="B140" s="48" t="s">
        <v>1077</v>
      </c>
      <c r="C140" s="48" t="s">
        <v>725</v>
      </c>
      <c r="D140" s="50" t="str">
        <f>_xlfn.XLOOKUP(J140,'Store Code'!B:B,'Store Code'!A:A)</f>
        <v>RASTA PETH</v>
      </c>
      <c r="E140" s="48" t="s">
        <v>292</v>
      </c>
      <c r="F140" s="48">
        <v>26000</v>
      </c>
      <c r="G140" s="48" t="s">
        <v>738</v>
      </c>
      <c r="H140" s="48" t="s">
        <v>721</v>
      </c>
      <c r="I140" s="48" t="s">
        <v>722</v>
      </c>
      <c r="J140" s="48" t="s">
        <v>1716</v>
      </c>
      <c r="K140" s="54" t="s">
        <v>1722</v>
      </c>
      <c r="L140" s="54">
        <v>100184</v>
      </c>
    </row>
    <row r="141" spans="1:12">
      <c r="A141" s="52">
        <v>45547</v>
      </c>
      <c r="B141" s="48" t="s">
        <v>1079</v>
      </c>
      <c r="C141" s="48" t="s">
        <v>769</v>
      </c>
      <c r="D141" s="50" t="str">
        <f>_xlfn.XLOOKUP(J141,'Store Code'!B:B,'Store Code'!A:A)</f>
        <v>RASTA PETH</v>
      </c>
      <c r="E141" s="48" t="s">
        <v>1080</v>
      </c>
      <c r="F141" s="48">
        <v>105000</v>
      </c>
      <c r="G141" s="48" t="s">
        <v>738</v>
      </c>
      <c r="H141" s="48" t="s">
        <v>721</v>
      </c>
      <c r="I141" s="48" t="s">
        <v>722</v>
      </c>
      <c r="J141" s="48" t="s">
        <v>1716</v>
      </c>
      <c r="K141" s="54" t="s">
        <v>1722</v>
      </c>
      <c r="L141" s="54">
        <v>100182</v>
      </c>
    </row>
    <row r="142" spans="1:12">
      <c r="A142" s="52">
        <v>45549</v>
      </c>
      <c r="B142" s="48" t="s">
        <v>1082</v>
      </c>
      <c r="C142" s="48" t="s">
        <v>736</v>
      </c>
      <c r="D142" s="50" t="str">
        <f>_xlfn.XLOOKUP(J142,'Store Code'!B:B,'Store Code'!A:A)</f>
        <v>WAKAD</v>
      </c>
      <c r="E142" s="48" t="s">
        <v>902</v>
      </c>
      <c r="F142" s="48">
        <v>6000</v>
      </c>
      <c r="G142" s="48" t="s">
        <v>760</v>
      </c>
      <c r="H142" s="48" t="s">
        <v>721</v>
      </c>
      <c r="I142" s="48" t="s">
        <v>722</v>
      </c>
      <c r="J142" s="48" t="s">
        <v>1718</v>
      </c>
      <c r="K142" s="54" t="s">
        <v>1722</v>
      </c>
      <c r="L142" s="54">
        <v>100161</v>
      </c>
    </row>
    <row r="143" spans="1:12">
      <c r="A143" s="52">
        <v>45549</v>
      </c>
      <c r="B143" s="48" t="s">
        <v>1084</v>
      </c>
      <c r="C143" s="48" t="s">
        <v>769</v>
      </c>
      <c r="D143" s="50" t="str">
        <f>_xlfn.XLOOKUP(J143,'Store Code'!B:B,'Store Code'!A:A)</f>
        <v>RASTA PETH</v>
      </c>
      <c r="E143" s="48" t="s">
        <v>891</v>
      </c>
      <c r="F143" s="48">
        <v>17500</v>
      </c>
      <c r="G143" s="48" t="s">
        <v>720</v>
      </c>
      <c r="H143" s="48" t="s">
        <v>721</v>
      </c>
      <c r="I143" s="48" t="s">
        <v>722</v>
      </c>
      <c r="J143" s="48" t="s">
        <v>1716</v>
      </c>
      <c r="K143" s="54" t="s">
        <v>1722</v>
      </c>
      <c r="L143" s="54">
        <v>100187</v>
      </c>
    </row>
    <row r="144" spans="1:12">
      <c r="A144" s="52">
        <v>45549</v>
      </c>
      <c r="B144" s="48" t="s">
        <v>1086</v>
      </c>
      <c r="C144" s="48" t="s">
        <v>769</v>
      </c>
      <c r="D144" s="50" t="str">
        <f>_xlfn.XLOOKUP(J144,'Store Code'!B:B,'Store Code'!A:A)</f>
        <v>RASTA PETH</v>
      </c>
      <c r="E144" s="48" t="s">
        <v>433</v>
      </c>
      <c r="F144" s="48">
        <v>140000</v>
      </c>
      <c r="G144" s="48" t="s">
        <v>720</v>
      </c>
      <c r="H144" s="48" t="s">
        <v>721</v>
      </c>
      <c r="I144" s="48" t="s">
        <v>722</v>
      </c>
      <c r="J144" s="48" t="s">
        <v>1716</v>
      </c>
      <c r="K144" s="54" t="s">
        <v>1722</v>
      </c>
      <c r="L144" s="54">
        <v>100188</v>
      </c>
    </row>
    <row r="145" spans="1:12">
      <c r="A145" s="52">
        <v>45550</v>
      </c>
      <c r="B145" s="48" t="s">
        <v>1088</v>
      </c>
      <c r="C145" s="48" t="s">
        <v>725</v>
      </c>
      <c r="D145" s="50" t="str">
        <f>_xlfn.XLOOKUP(J145,'Store Code'!B:B,'Store Code'!A:A)</f>
        <v>RASTA PETH</v>
      </c>
      <c r="E145" s="48" t="s">
        <v>990</v>
      </c>
      <c r="F145" s="48">
        <v>120000</v>
      </c>
      <c r="G145" s="48" t="s">
        <v>720</v>
      </c>
      <c r="H145" s="48" t="s">
        <v>721</v>
      </c>
      <c r="I145" s="48" t="s">
        <v>722</v>
      </c>
      <c r="J145" s="48" t="s">
        <v>1716</v>
      </c>
      <c r="K145" s="54" t="s">
        <v>1722</v>
      </c>
      <c r="L145" s="54">
        <v>100192</v>
      </c>
    </row>
    <row r="146" spans="1:12">
      <c r="A146" s="52">
        <v>45550</v>
      </c>
      <c r="B146" s="48" t="s">
        <v>1090</v>
      </c>
      <c r="C146" s="48" t="s">
        <v>725</v>
      </c>
      <c r="D146" s="50" t="str">
        <f>_xlfn.XLOOKUP(J146,'Store Code'!B:B,'Store Code'!A:A)</f>
        <v>RASTA PETH</v>
      </c>
      <c r="E146" s="48" t="s">
        <v>292</v>
      </c>
      <c r="F146" s="48">
        <v>60000</v>
      </c>
      <c r="G146" s="51" t="s">
        <v>733</v>
      </c>
      <c r="H146" s="48" t="s">
        <v>721</v>
      </c>
      <c r="I146" s="48" t="s">
        <v>722</v>
      </c>
      <c r="J146" s="48" t="s">
        <v>1716</v>
      </c>
      <c r="K146" s="54" t="s">
        <v>1722</v>
      </c>
      <c r="L146" s="54">
        <v>100195</v>
      </c>
    </row>
    <row r="147" spans="1:12">
      <c r="A147" s="52">
        <v>45550</v>
      </c>
      <c r="B147" s="48" t="s">
        <v>1092</v>
      </c>
      <c r="C147" s="48" t="s">
        <v>725</v>
      </c>
      <c r="D147" s="50" t="str">
        <f>_xlfn.XLOOKUP(J147,'Store Code'!B:B,'Store Code'!A:A)</f>
        <v>RASTA PETH</v>
      </c>
      <c r="E147" s="48" t="s">
        <v>1093</v>
      </c>
      <c r="F147" s="48">
        <v>50000</v>
      </c>
      <c r="G147" s="51" t="s">
        <v>733</v>
      </c>
      <c r="H147" s="48" t="s">
        <v>721</v>
      </c>
      <c r="I147" s="48" t="s">
        <v>722</v>
      </c>
      <c r="J147" s="48" t="s">
        <v>1716</v>
      </c>
      <c r="K147" s="54" t="s">
        <v>1722</v>
      </c>
      <c r="L147" s="54">
        <v>100189</v>
      </c>
    </row>
    <row r="148" spans="1:12">
      <c r="A148" s="52">
        <v>45550</v>
      </c>
      <c r="B148" s="48" t="s">
        <v>1095</v>
      </c>
      <c r="C148" s="48" t="s">
        <v>736</v>
      </c>
      <c r="D148" s="50" t="str">
        <f>_xlfn.XLOOKUP(J148,'Store Code'!B:B,'Store Code'!A:A)</f>
        <v>RASTA PETH</v>
      </c>
      <c r="E148" s="48" t="s">
        <v>205</v>
      </c>
      <c r="F148" s="48">
        <v>65000</v>
      </c>
      <c r="G148" s="48" t="s">
        <v>738</v>
      </c>
      <c r="H148" s="48" t="s">
        <v>721</v>
      </c>
      <c r="I148" s="48" t="s">
        <v>722</v>
      </c>
      <c r="J148" s="48" t="s">
        <v>1716</v>
      </c>
      <c r="K148" s="54" t="s">
        <v>1722</v>
      </c>
      <c r="L148" s="54">
        <v>100190</v>
      </c>
    </row>
    <row r="149" spans="1:12">
      <c r="A149" s="52">
        <v>45550</v>
      </c>
      <c r="B149" s="48" t="s">
        <v>1097</v>
      </c>
      <c r="C149" s="48" t="s">
        <v>725</v>
      </c>
      <c r="D149" s="50" t="str">
        <f>_xlfn.XLOOKUP(J149,'Store Code'!B:B,'Store Code'!A:A)</f>
        <v>RASTA PETH</v>
      </c>
      <c r="E149" s="48" t="s">
        <v>292</v>
      </c>
      <c r="F149" s="48">
        <v>150000</v>
      </c>
      <c r="G149" s="51" t="s">
        <v>733</v>
      </c>
      <c r="H149" s="48" t="s">
        <v>721</v>
      </c>
      <c r="I149" s="48" t="s">
        <v>722</v>
      </c>
      <c r="J149" s="48" t="s">
        <v>1716</v>
      </c>
      <c r="K149" s="54" t="s">
        <v>1722</v>
      </c>
      <c r="L149" s="54">
        <v>100191</v>
      </c>
    </row>
    <row r="150" spans="1:12">
      <c r="A150" s="52">
        <v>45550</v>
      </c>
      <c r="B150" s="48" t="s">
        <v>1099</v>
      </c>
      <c r="C150" s="48" t="s">
        <v>725</v>
      </c>
      <c r="D150" s="50" t="str">
        <f>_xlfn.XLOOKUP(J150,'Store Code'!B:B,'Store Code'!A:A)</f>
        <v>WAKAD</v>
      </c>
      <c r="E150" s="48" t="s">
        <v>356</v>
      </c>
      <c r="F150" s="48">
        <v>37500</v>
      </c>
      <c r="G150" s="48" t="s">
        <v>738</v>
      </c>
      <c r="H150" s="48" t="s">
        <v>721</v>
      </c>
      <c r="I150" s="48" t="s">
        <v>722</v>
      </c>
      <c r="J150" s="48" t="s">
        <v>1718</v>
      </c>
      <c r="K150" s="54" t="s">
        <v>1722</v>
      </c>
      <c r="L150" s="54">
        <v>100187</v>
      </c>
    </row>
    <row r="151" spans="1:12">
      <c r="A151" s="52">
        <v>45551</v>
      </c>
      <c r="B151" s="48" t="s">
        <v>1101</v>
      </c>
      <c r="C151" s="48" t="s">
        <v>736</v>
      </c>
      <c r="D151" s="50" t="str">
        <f>_xlfn.XLOOKUP(J151,'Store Code'!B:B,'Store Code'!A:A)</f>
        <v>WAKAD</v>
      </c>
      <c r="E151" s="48" t="s">
        <v>1102</v>
      </c>
      <c r="F151" s="48">
        <v>30000</v>
      </c>
      <c r="G151" s="51" t="s">
        <v>733</v>
      </c>
      <c r="H151" s="48" t="s">
        <v>721</v>
      </c>
      <c r="I151" s="48" t="s">
        <v>722</v>
      </c>
      <c r="J151" s="48" t="s">
        <v>1718</v>
      </c>
      <c r="K151" s="54" t="s">
        <v>1722</v>
      </c>
      <c r="L151" s="54">
        <v>100195</v>
      </c>
    </row>
    <row r="152" spans="1:12">
      <c r="A152" s="52">
        <v>45552</v>
      </c>
      <c r="B152" s="48" t="s">
        <v>1104</v>
      </c>
      <c r="C152" s="48" t="s">
        <v>725</v>
      </c>
      <c r="D152" s="50" t="str">
        <f>_xlfn.XLOOKUP(J152,'Store Code'!B:B,'Store Code'!A:A)</f>
        <v>RASTA PETH</v>
      </c>
      <c r="E152" s="48" t="s">
        <v>1105</v>
      </c>
      <c r="F152" s="48">
        <v>60000</v>
      </c>
      <c r="G152" s="51" t="s">
        <v>733</v>
      </c>
      <c r="H152" s="48" t="s">
        <v>721</v>
      </c>
      <c r="I152" s="48" t="s">
        <v>722</v>
      </c>
      <c r="J152" s="48" t="s">
        <v>1716</v>
      </c>
      <c r="K152" s="54" t="s">
        <v>1722</v>
      </c>
      <c r="L152" s="54">
        <v>100202</v>
      </c>
    </row>
    <row r="153" spans="1:12">
      <c r="A153" s="52">
        <v>45552</v>
      </c>
      <c r="B153" s="48" t="s">
        <v>1107</v>
      </c>
      <c r="C153" s="48" t="s">
        <v>725</v>
      </c>
      <c r="D153" s="50" t="str">
        <f>_xlfn.XLOOKUP(J153,'Store Code'!B:B,'Store Code'!A:A)</f>
        <v>RASTA PETH</v>
      </c>
      <c r="E153" s="48" t="s">
        <v>515</v>
      </c>
      <c r="F153" s="48">
        <v>28000</v>
      </c>
      <c r="G153" s="51" t="s">
        <v>733</v>
      </c>
      <c r="H153" s="48" t="s">
        <v>721</v>
      </c>
      <c r="I153" s="48" t="s">
        <v>722</v>
      </c>
      <c r="J153" s="48" t="s">
        <v>1716</v>
      </c>
      <c r="K153" s="54" t="s">
        <v>1722</v>
      </c>
      <c r="L153" s="54">
        <v>100200</v>
      </c>
    </row>
    <row r="154" spans="1:12">
      <c r="A154" s="52">
        <v>45554</v>
      </c>
      <c r="B154" s="48" t="s">
        <v>1109</v>
      </c>
      <c r="C154" s="48" t="s">
        <v>725</v>
      </c>
      <c r="D154" s="50" t="str">
        <f>_xlfn.XLOOKUP(J154,'Store Code'!B:B,'Store Code'!A:A)</f>
        <v>RASTA PETH</v>
      </c>
      <c r="E154" s="48" t="s">
        <v>1110</v>
      </c>
      <c r="F154" s="48">
        <v>90000</v>
      </c>
      <c r="G154" s="51" t="s">
        <v>733</v>
      </c>
      <c r="H154" s="48" t="s">
        <v>721</v>
      </c>
      <c r="I154" s="48" t="s">
        <v>722</v>
      </c>
      <c r="J154" s="48" t="s">
        <v>1716</v>
      </c>
      <c r="K154" s="54" t="s">
        <v>1722</v>
      </c>
      <c r="L154" s="54">
        <v>100198</v>
      </c>
    </row>
    <row r="155" spans="1:12">
      <c r="A155" s="52">
        <v>45554</v>
      </c>
      <c r="B155" s="48" t="s">
        <v>1112</v>
      </c>
      <c r="C155" s="48" t="s">
        <v>278</v>
      </c>
      <c r="D155" s="50" t="str">
        <f>_xlfn.XLOOKUP(J155,'Store Code'!B:B,'Store Code'!A:A)</f>
        <v>KHARADI</v>
      </c>
      <c r="E155" s="48" t="s">
        <v>1113</v>
      </c>
      <c r="F155" s="48">
        <v>44000</v>
      </c>
      <c r="G155" s="48" t="s">
        <v>770</v>
      </c>
      <c r="H155" s="48" t="s">
        <v>721</v>
      </c>
      <c r="I155" s="48" t="s">
        <v>722</v>
      </c>
      <c r="J155" s="48" t="s">
        <v>1717</v>
      </c>
      <c r="K155" s="54" t="s">
        <v>1722</v>
      </c>
      <c r="L155" s="54">
        <v>100171</v>
      </c>
    </row>
    <row r="156" spans="1:12">
      <c r="A156" s="52">
        <v>45554</v>
      </c>
      <c r="B156" s="48" t="s">
        <v>1115</v>
      </c>
      <c r="C156" s="48" t="s">
        <v>781</v>
      </c>
      <c r="D156" s="50" t="str">
        <f>_xlfn.XLOOKUP(J156,'Store Code'!B:B,'Store Code'!A:A)</f>
        <v>RASTA PETH</v>
      </c>
      <c r="E156" s="48" t="s">
        <v>1116</v>
      </c>
      <c r="F156" s="48">
        <v>275000</v>
      </c>
      <c r="G156" s="51" t="s">
        <v>733</v>
      </c>
      <c r="H156" s="48" t="s">
        <v>721</v>
      </c>
      <c r="I156" s="48" t="s">
        <v>722</v>
      </c>
      <c r="J156" s="48" t="s">
        <v>1716</v>
      </c>
      <c r="K156" s="54" t="s">
        <v>1722</v>
      </c>
      <c r="L156" s="54">
        <v>100197</v>
      </c>
    </row>
    <row r="157" spans="1:12">
      <c r="A157" s="52">
        <v>45554</v>
      </c>
      <c r="B157" s="48" t="s">
        <v>1118</v>
      </c>
      <c r="C157" s="48" t="s">
        <v>725</v>
      </c>
      <c r="D157" s="50" t="str">
        <f>_xlfn.XLOOKUP(J157,'Store Code'!B:B,'Store Code'!A:A)</f>
        <v>KHARADI</v>
      </c>
      <c r="E157" s="48" t="s">
        <v>441</v>
      </c>
      <c r="F157" s="48">
        <v>145000</v>
      </c>
      <c r="G157" s="51" t="s">
        <v>733</v>
      </c>
      <c r="H157" s="48" t="s">
        <v>721</v>
      </c>
      <c r="I157" s="48" t="s">
        <v>722</v>
      </c>
      <c r="J157" s="48" t="s">
        <v>1717</v>
      </c>
      <c r="K157" s="54" t="s">
        <v>1722</v>
      </c>
      <c r="L157" s="54">
        <v>100170</v>
      </c>
    </row>
    <row r="158" spans="1:12">
      <c r="A158" s="52">
        <v>45554</v>
      </c>
      <c r="B158" s="48" t="s">
        <v>1120</v>
      </c>
      <c r="C158" s="48" t="s">
        <v>725</v>
      </c>
      <c r="D158" s="50" t="str">
        <f>_xlfn.XLOOKUP(J158,'Store Code'!B:B,'Store Code'!A:A)</f>
        <v>KHARADI</v>
      </c>
      <c r="E158" s="48" t="s">
        <v>1121</v>
      </c>
      <c r="F158" s="48">
        <v>23000</v>
      </c>
      <c r="G158" s="51" t="s">
        <v>733</v>
      </c>
      <c r="H158" s="48" t="s">
        <v>721</v>
      </c>
      <c r="I158" s="48" t="s">
        <v>722</v>
      </c>
      <c r="J158" s="48" t="s">
        <v>1717</v>
      </c>
      <c r="K158" s="54" t="s">
        <v>1722</v>
      </c>
      <c r="L158" s="54">
        <v>100169</v>
      </c>
    </row>
    <row r="159" spans="1:12">
      <c r="A159" s="52">
        <v>45555</v>
      </c>
      <c r="B159" s="48" t="s">
        <v>1123</v>
      </c>
      <c r="C159" s="48" t="s">
        <v>725</v>
      </c>
      <c r="D159" s="50" t="str">
        <f>_xlfn.XLOOKUP(J159,'Store Code'!B:B,'Store Code'!A:A)</f>
        <v>KHARADI</v>
      </c>
      <c r="E159" s="48" t="s">
        <v>1124</v>
      </c>
      <c r="F159" s="48">
        <v>35000</v>
      </c>
      <c r="G159" s="51" t="s">
        <v>733</v>
      </c>
      <c r="H159" s="48" t="s">
        <v>721</v>
      </c>
      <c r="I159" s="48" t="s">
        <v>722</v>
      </c>
      <c r="J159" s="48" t="s">
        <v>1717</v>
      </c>
      <c r="K159" s="54" t="s">
        <v>1722</v>
      </c>
      <c r="L159" s="54">
        <v>100183</v>
      </c>
    </row>
    <row r="160" spans="1:12">
      <c r="A160" s="52">
        <v>45555</v>
      </c>
      <c r="B160" s="48" t="s">
        <v>1126</v>
      </c>
      <c r="C160" s="48" t="s">
        <v>743</v>
      </c>
      <c r="D160" s="50" t="str">
        <f>_xlfn.XLOOKUP(J160,'Store Code'!B:B,'Store Code'!A:A)</f>
        <v>RASTA PETH</v>
      </c>
      <c r="E160" s="48" t="s">
        <v>684</v>
      </c>
      <c r="F160" s="48">
        <v>60000</v>
      </c>
      <c r="G160" s="51" t="s">
        <v>733</v>
      </c>
      <c r="H160" s="48" t="s">
        <v>721</v>
      </c>
      <c r="I160" s="48" t="s">
        <v>722</v>
      </c>
      <c r="J160" s="48" t="s">
        <v>1716</v>
      </c>
      <c r="K160" s="54" t="s">
        <v>1722</v>
      </c>
      <c r="L160" s="54">
        <v>100201</v>
      </c>
    </row>
    <row r="161" spans="1:12">
      <c r="A161" s="52">
        <v>45555</v>
      </c>
      <c r="B161" s="48" t="s">
        <v>1128</v>
      </c>
      <c r="C161" s="48" t="s">
        <v>725</v>
      </c>
      <c r="D161" s="50" t="str">
        <f>_xlfn.XLOOKUP(J161,'Store Code'!B:B,'Store Code'!A:A)</f>
        <v>RASTA PETH</v>
      </c>
      <c r="E161" s="48" t="s">
        <v>872</v>
      </c>
      <c r="F161" s="48">
        <v>56500</v>
      </c>
      <c r="G161" s="51" t="s">
        <v>733</v>
      </c>
      <c r="H161" s="48" t="s">
        <v>721</v>
      </c>
      <c r="I161" s="48" t="s">
        <v>722</v>
      </c>
      <c r="J161" s="48" t="s">
        <v>1716</v>
      </c>
      <c r="K161" s="54" t="s">
        <v>1722</v>
      </c>
      <c r="L161" s="54">
        <v>100199</v>
      </c>
    </row>
    <row r="162" spans="1:12">
      <c r="A162" s="52">
        <v>45556</v>
      </c>
      <c r="B162" s="48" t="s">
        <v>1130</v>
      </c>
      <c r="C162" s="48" t="s">
        <v>732</v>
      </c>
      <c r="D162" s="50" t="str">
        <f>_xlfn.XLOOKUP(J162,'Store Code'!B:B,'Store Code'!A:A)</f>
        <v>KHARADI</v>
      </c>
      <c r="E162" s="48" t="s">
        <v>1054</v>
      </c>
      <c r="F162" s="48">
        <v>16000</v>
      </c>
      <c r="G162" s="51" t="s">
        <v>733</v>
      </c>
      <c r="H162" s="48" t="s">
        <v>757</v>
      </c>
      <c r="I162" s="48" t="s">
        <v>722</v>
      </c>
      <c r="J162" s="48" t="s">
        <v>1717</v>
      </c>
      <c r="K162" s="54" t="s">
        <v>1722</v>
      </c>
      <c r="L162" s="54">
        <v>100204</v>
      </c>
    </row>
    <row r="163" spans="1:12">
      <c r="A163" s="52">
        <v>45556</v>
      </c>
      <c r="B163" s="48" t="s">
        <v>1132</v>
      </c>
      <c r="C163" s="48" t="s">
        <v>725</v>
      </c>
      <c r="D163" s="50" t="str">
        <f>_xlfn.XLOOKUP(J163,'Store Code'!B:B,'Store Code'!A:A)</f>
        <v>RASTA PETH</v>
      </c>
      <c r="E163" s="48" t="s">
        <v>292</v>
      </c>
      <c r="F163" s="48">
        <v>60000</v>
      </c>
      <c r="G163" s="48" t="s">
        <v>770</v>
      </c>
      <c r="H163" s="48" t="s">
        <v>721</v>
      </c>
      <c r="I163" s="48" t="s">
        <v>722</v>
      </c>
      <c r="J163" s="48" t="s">
        <v>1716</v>
      </c>
      <c r="K163" s="54" t="s">
        <v>1722</v>
      </c>
      <c r="L163" s="54">
        <v>100203</v>
      </c>
    </row>
    <row r="164" spans="1:12">
      <c r="A164" s="52">
        <v>45557</v>
      </c>
      <c r="B164" s="48" t="s">
        <v>1134</v>
      </c>
      <c r="C164" s="48" t="s">
        <v>781</v>
      </c>
      <c r="D164" s="50" t="str">
        <f>_xlfn.XLOOKUP(J164,'Store Code'!B:B,'Store Code'!A:A)</f>
        <v>WAKAD</v>
      </c>
      <c r="E164" s="48" t="s">
        <v>1135</v>
      </c>
      <c r="F164" s="48">
        <v>28000</v>
      </c>
      <c r="G164" s="51" t="s">
        <v>733</v>
      </c>
      <c r="H164" s="48" t="s">
        <v>721</v>
      </c>
      <c r="I164" s="48" t="s">
        <v>722</v>
      </c>
      <c r="J164" s="48" t="s">
        <v>1718</v>
      </c>
      <c r="K164" s="54" t="s">
        <v>1722</v>
      </c>
      <c r="L164" s="54">
        <v>100196</v>
      </c>
    </row>
    <row r="165" spans="1:12">
      <c r="A165" s="52">
        <v>45557</v>
      </c>
      <c r="B165" s="48" t="s">
        <v>1137</v>
      </c>
      <c r="C165" s="48" t="s">
        <v>725</v>
      </c>
      <c r="D165" s="50" t="str">
        <f>_xlfn.XLOOKUP(J165,'Store Code'!B:B,'Store Code'!A:A)</f>
        <v>RASTA PETH</v>
      </c>
      <c r="E165" s="48" t="s">
        <v>909</v>
      </c>
      <c r="F165" s="48">
        <v>60000</v>
      </c>
      <c r="G165" s="51" t="s">
        <v>733</v>
      </c>
      <c r="H165" s="48" t="s">
        <v>757</v>
      </c>
      <c r="I165" s="48" t="s">
        <v>722</v>
      </c>
      <c r="J165" s="48" t="s">
        <v>1716</v>
      </c>
      <c r="K165" s="54" t="s">
        <v>1722</v>
      </c>
      <c r="L165" s="54">
        <v>100205</v>
      </c>
    </row>
    <row r="166" spans="1:12">
      <c r="A166" s="52">
        <v>45557</v>
      </c>
      <c r="B166" s="48" t="s">
        <v>1139</v>
      </c>
      <c r="C166" s="48" t="s">
        <v>725</v>
      </c>
      <c r="D166" s="50" t="str">
        <f>_xlfn.XLOOKUP(J166,'Store Code'!B:B,'Store Code'!A:A)</f>
        <v>RASTA PETH</v>
      </c>
      <c r="E166" s="48" t="s">
        <v>515</v>
      </c>
      <c r="F166" s="48">
        <v>23000</v>
      </c>
      <c r="G166" s="48" t="s">
        <v>738</v>
      </c>
      <c r="H166" s="48" t="s">
        <v>721</v>
      </c>
      <c r="I166" s="48" t="s">
        <v>722</v>
      </c>
      <c r="J166" s="48" t="s">
        <v>1716</v>
      </c>
      <c r="K166" s="54" t="s">
        <v>1722</v>
      </c>
      <c r="L166" s="54">
        <v>100206</v>
      </c>
    </row>
    <row r="167" spans="1:12">
      <c r="A167" s="52">
        <v>45558</v>
      </c>
      <c r="B167" s="48" t="s">
        <v>1141</v>
      </c>
      <c r="C167" s="48" t="s">
        <v>725</v>
      </c>
      <c r="D167" s="50" t="str">
        <f>_xlfn.XLOOKUP(J167,'Store Code'!B:B,'Store Code'!A:A)</f>
        <v>RASTA PETH</v>
      </c>
      <c r="E167" s="48" t="s">
        <v>441</v>
      </c>
      <c r="F167" s="48">
        <v>60000</v>
      </c>
      <c r="G167" s="51" t="s">
        <v>733</v>
      </c>
      <c r="H167" s="48" t="s">
        <v>721</v>
      </c>
      <c r="I167" s="48" t="s">
        <v>722</v>
      </c>
      <c r="J167" s="48" t="s">
        <v>1716</v>
      </c>
      <c r="K167" s="54" t="s">
        <v>1722</v>
      </c>
      <c r="L167" s="54">
        <v>100207</v>
      </c>
    </row>
    <row r="168" spans="1:12">
      <c r="A168" s="52">
        <v>45558</v>
      </c>
      <c r="B168" s="48" t="s">
        <v>1143</v>
      </c>
      <c r="C168" s="48" t="s">
        <v>781</v>
      </c>
      <c r="D168" s="50" t="str">
        <f>_xlfn.XLOOKUP(J168,'Store Code'!B:B,'Store Code'!A:A)</f>
        <v>KHARADI</v>
      </c>
      <c r="E168" s="48" t="s">
        <v>1116</v>
      </c>
      <c r="F168" s="48">
        <v>72000</v>
      </c>
      <c r="G168" s="51" t="s">
        <v>733</v>
      </c>
      <c r="H168" s="48" t="s">
        <v>721</v>
      </c>
      <c r="I168" s="48" t="s">
        <v>722</v>
      </c>
      <c r="J168" s="48" t="s">
        <v>1717</v>
      </c>
      <c r="K168" s="54" t="s">
        <v>1722</v>
      </c>
      <c r="L168" s="54">
        <v>100207</v>
      </c>
    </row>
    <row r="169" spans="1:12">
      <c r="A169" s="52">
        <v>45559</v>
      </c>
      <c r="B169" s="48" t="s">
        <v>1145</v>
      </c>
      <c r="C169" s="48" t="s">
        <v>278</v>
      </c>
      <c r="D169" s="50" t="str">
        <f>_xlfn.XLOOKUP(J169,'Store Code'!B:B,'Store Code'!A:A)</f>
        <v>KHARADI</v>
      </c>
      <c r="E169" s="48" t="s">
        <v>1113</v>
      </c>
      <c r="F169" s="48">
        <v>51000</v>
      </c>
      <c r="G169" s="51" t="s">
        <v>733</v>
      </c>
      <c r="H169" s="48" t="s">
        <v>721</v>
      </c>
      <c r="I169" s="48" t="s">
        <v>722</v>
      </c>
      <c r="J169" s="48" t="s">
        <v>1717</v>
      </c>
      <c r="K169" s="54" t="s">
        <v>1722</v>
      </c>
      <c r="L169" s="54">
        <v>100209</v>
      </c>
    </row>
    <row r="170" spans="1:12">
      <c r="A170" s="52">
        <v>45559</v>
      </c>
      <c r="B170" s="48" t="s">
        <v>1147</v>
      </c>
      <c r="C170" s="48" t="s">
        <v>736</v>
      </c>
      <c r="D170" s="50" t="str">
        <f>_xlfn.XLOOKUP(J170,'Store Code'!B:B,'Store Code'!A:A)</f>
        <v>KHARADI</v>
      </c>
      <c r="E170" s="48" t="s">
        <v>750</v>
      </c>
      <c r="F170" s="48">
        <v>28000</v>
      </c>
      <c r="G170" s="51" t="s">
        <v>733</v>
      </c>
      <c r="H170" s="48" t="s">
        <v>721</v>
      </c>
      <c r="I170" s="48" t="s">
        <v>722</v>
      </c>
      <c r="J170" s="48" t="s">
        <v>1717</v>
      </c>
      <c r="K170" s="54" t="s">
        <v>1722</v>
      </c>
      <c r="L170" s="54">
        <v>100208</v>
      </c>
    </row>
    <row r="171" spans="1:12">
      <c r="A171" s="52">
        <v>45560</v>
      </c>
      <c r="B171" s="48" t="s">
        <v>1149</v>
      </c>
      <c r="C171" s="48" t="s">
        <v>725</v>
      </c>
      <c r="D171" s="50" t="str">
        <f>_xlfn.XLOOKUP(J171,'Store Code'!B:B,'Store Code'!A:A)</f>
        <v>RASTA PETH</v>
      </c>
      <c r="E171" s="48" t="s">
        <v>545</v>
      </c>
      <c r="F171" s="48">
        <v>19000</v>
      </c>
      <c r="G171" s="51" t="s">
        <v>733</v>
      </c>
      <c r="H171" s="48" t="s">
        <v>721</v>
      </c>
      <c r="I171" s="48" t="s">
        <v>722</v>
      </c>
      <c r="J171" s="48" t="s">
        <v>1716</v>
      </c>
      <c r="K171" s="54" t="s">
        <v>1722</v>
      </c>
      <c r="L171" s="54">
        <v>100208</v>
      </c>
    </row>
    <row r="172" spans="1:12">
      <c r="A172" s="52">
        <v>45560</v>
      </c>
      <c r="B172" s="48" t="s">
        <v>1151</v>
      </c>
      <c r="C172" s="48" t="s">
        <v>781</v>
      </c>
      <c r="D172" s="50" t="str">
        <f>_xlfn.XLOOKUP(J172,'Store Code'!B:B,'Store Code'!A:A)</f>
        <v>WAKAD</v>
      </c>
      <c r="E172" s="48" t="s">
        <v>275</v>
      </c>
      <c r="F172" s="48">
        <v>74500</v>
      </c>
      <c r="G172" s="51" t="s">
        <v>733</v>
      </c>
      <c r="H172" s="48" t="s">
        <v>721</v>
      </c>
      <c r="I172" s="48" t="s">
        <v>722</v>
      </c>
      <c r="J172" s="48" t="s">
        <v>1718</v>
      </c>
      <c r="K172" s="54" t="s">
        <v>1722</v>
      </c>
      <c r="L172" s="54">
        <v>100198</v>
      </c>
    </row>
    <row r="173" spans="1:12">
      <c r="A173" s="52">
        <v>45561</v>
      </c>
      <c r="B173" s="48" t="s">
        <v>1153</v>
      </c>
      <c r="C173" s="48" t="s">
        <v>755</v>
      </c>
      <c r="D173" s="50" t="str">
        <f>_xlfn.XLOOKUP(J173,'Store Code'!B:B,'Store Code'!A:A)</f>
        <v>RASTA PETH</v>
      </c>
      <c r="E173" s="48" t="s">
        <v>1154</v>
      </c>
      <c r="F173" s="48">
        <v>70000</v>
      </c>
      <c r="G173" s="51" t="s">
        <v>733</v>
      </c>
      <c r="H173" s="48" t="s">
        <v>721</v>
      </c>
      <c r="I173" s="48" t="s">
        <v>722</v>
      </c>
      <c r="J173" s="48" t="s">
        <v>1716</v>
      </c>
      <c r="K173" s="54" t="s">
        <v>1722</v>
      </c>
      <c r="L173" s="54">
        <v>100210</v>
      </c>
    </row>
    <row r="174" spans="1:12">
      <c r="A174" s="52">
        <v>45561</v>
      </c>
      <c r="B174" s="48" t="s">
        <v>1156</v>
      </c>
      <c r="C174" s="48" t="s">
        <v>732</v>
      </c>
      <c r="D174" s="50" t="str">
        <f>_xlfn.XLOOKUP(J174,'Store Code'!B:B,'Store Code'!A:A)</f>
        <v>KHARADI</v>
      </c>
      <c r="E174" s="48" t="s">
        <v>1054</v>
      </c>
      <c r="F174" s="48">
        <v>29000</v>
      </c>
      <c r="G174" s="51" t="s">
        <v>733</v>
      </c>
      <c r="H174" s="48" t="s">
        <v>721</v>
      </c>
      <c r="I174" s="48" t="s">
        <v>722</v>
      </c>
      <c r="J174" s="48" t="s">
        <v>1717</v>
      </c>
      <c r="K174" s="54" t="s">
        <v>1722</v>
      </c>
      <c r="L174" s="54">
        <v>100210</v>
      </c>
    </row>
    <row r="175" spans="1:12">
      <c r="A175" s="52">
        <v>45561</v>
      </c>
      <c r="B175" s="48" t="s">
        <v>1158</v>
      </c>
      <c r="C175" s="48" t="s">
        <v>769</v>
      </c>
      <c r="D175" s="50" t="str">
        <f>_xlfn.XLOOKUP(J175,'Store Code'!B:B,'Store Code'!A:A)</f>
        <v>RASTA PETH</v>
      </c>
      <c r="E175" s="48" t="s">
        <v>979</v>
      </c>
      <c r="F175" s="48">
        <v>15000</v>
      </c>
      <c r="G175" s="48" t="s">
        <v>738</v>
      </c>
      <c r="H175" s="48" t="s">
        <v>721</v>
      </c>
      <c r="I175" s="48" t="s">
        <v>722</v>
      </c>
      <c r="J175" s="48" t="s">
        <v>1716</v>
      </c>
      <c r="K175" s="54" t="s">
        <v>1722</v>
      </c>
      <c r="L175" s="54">
        <v>100211</v>
      </c>
    </row>
    <row r="176" spans="1:12">
      <c r="A176" s="52">
        <v>45561</v>
      </c>
      <c r="B176" s="48" t="s">
        <v>1160</v>
      </c>
      <c r="C176" s="48" t="s">
        <v>725</v>
      </c>
      <c r="D176" s="50" t="str">
        <f>_xlfn.XLOOKUP(J176,'Store Code'!B:B,'Store Code'!A:A)</f>
        <v>KHARADI</v>
      </c>
      <c r="E176" s="48" t="s">
        <v>800</v>
      </c>
      <c r="F176" s="48">
        <v>60000</v>
      </c>
      <c r="G176" s="51" t="s">
        <v>733</v>
      </c>
      <c r="H176" s="48" t="s">
        <v>721</v>
      </c>
      <c r="I176" s="48" t="s">
        <v>722</v>
      </c>
      <c r="J176" s="48" t="s">
        <v>1717</v>
      </c>
      <c r="K176" s="54" t="s">
        <v>1722</v>
      </c>
      <c r="L176" s="54">
        <v>100211</v>
      </c>
    </row>
    <row r="177" spans="1:12">
      <c r="A177" s="52">
        <v>45562</v>
      </c>
      <c r="B177" s="48" t="s">
        <v>1162</v>
      </c>
      <c r="C177" s="48" t="s">
        <v>717</v>
      </c>
      <c r="D177" s="50" t="str">
        <f>_xlfn.XLOOKUP(J177,'Store Code'!B:B,'Store Code'!A:A)</f>
        <v>KHARADI</v>
      </c>
      <c r="E177" s="48" t="s">
        <v>1163</v>
      </c>
      <c r="F177" s="48">
        <v>22000</v>
      </c>
      <c r="G177" s="51" t="s">
        <v>733</v>
      </c>
      <c r="H177" s="48" t="s">
        <v>721</v>
      </c>
      <c r="I177" s="48" t="s">
        <v>722</v>
      </c>
      <c r="J177" s="48" t="s">
        <v>1717</v>
      </c>
      <c r="K177" s="54" t="s">
        <v>1722</v>
      </c>
      <c r="L177" s="54">
        <v>100212</v>
      </c>
    </row>
    <row r="178" spans="1:12">
      <c r="A178" s="52">
        <v>45563</v>
      </c>
      <c r="B178" s="48" t="s">
        <v>1165</v>
      </c>
      <c r="C178" s="48" t="s">
        <v>769</v>
      </c>
      <c r="D178" s="50" t="str">
        <f>_xlfn.XLOOKUP(J178,'Store Code'!B:B,'Store Code'!A:A)</f>
        <v>RASTA PETH</v>
      </c>
      <c r="E178" s="48" t="s">
        <v>433</v>
      </c>
      <c r="F178" s="48">
        <v>28000</v>
      </c>
      <c r="G178" s="51" t="s">
        <v>733</v>
      </c>
      <c r="H178" s="48" t="s">
        <v>721</v>
      </c>
      <c r="I178" s="48" t="s">
        <v>722</v>
      </c>
      <c r="J178" s="48" t="s">
        <v>1716</v>
      </c>
      <c r="K178" s="54" t="s">
        <v>1722</v>
      </c>
      <c r="L178" s="54">
        <v>100212</v>
      </c>
    </row>
    <row r="179" spans="1:12">
      <c r="A179" s="52">
        <v>45564</v>
      </c>
      <c r="B179" s="48" t="s">
        <v>1167</v>
      </c>
      <c r="C179" s="48" t="s">
        <v>725</v>
      </c>
      <c r="D179" s="50" t="str">
        <f>_xlfn.XLOOKUP(J179,'Store Code'!B:B,'Store Code'!A:A)</f>
        <v>UNDRI</v>
      </c>
      <c r="E179" s="48" t="s">
        <v>867</v>
      </c>
      <c r="F179" s="48">
        <v>28500</v>
      </c>
      <c r="G179" s="51" t="s">
        <v>733</v>
      </c>
      <c r="H179" s="48" t="s">
        <v>721</v>
      </c>
      <c r="I179" s="48" t="s">
        <v>722</v>
      </c>
      <c r="J179" s="48" t="s">
        <v>1711</v>
      </c>
      <c r="K179" s="54" t="s">
        <v>1722</v>
      </c>
      <c r="L179" s="54">
        <v>100145</v>
      </c>
    </row>
    <row r="180" spans="1:12">
      <c r="A180" s="52">
        <v>45564</v>
      </c>
      <c r="B180" s="48" t="s">
        <v>1169</v>
      </c>
      <c r="C180" s="48" t="s">
        <v>732</v>
      </c>
      <c r="D180" s="50" t="str">
        <f>_xlfn.XLOOKUP(J180,'Store Code'!B:B,'Store Code'!A:A)</f>
        <v>KHARADI</v>
      </c>
      <c r="E180" s="48" t="s">
        <v>694</v>
      </c>
      <c r="F180" s="48">
        <v>15000</v>
      </c>
      <c r="G180" s="51" t="s">
        <v>733</v>
      </c>
      <c r="H180" s="48" t="s">
        <v>721</v>
      </c>
      <c r="I180" s="48" t="s">
        <v>722</v>
      </c>
      <c r="J180" s="48" t="s">
        <v>1717</v>
      </c>
      <c r="K180" s="54" t="s">
        <v>1722</v>
      </c>
      <c r="L180" s="54">
        <v>100213</v>
      </c>
    </row>
    <row r="181" spans="1:12">
      <c r="A181" s="52">
        <v>45564</v>
      </c>
      <c r="B181" s="48" t="s">
        <v>1171</v>
      </c>
      <c r="C181" s="48" t="s">
        <v>769</v>
      </c>
      <c r="D181" s="50" t="str">
        <f>_xlfn.XLOOKUP(J181,'Store Code'!B:B,'Store Code'!A:A)</f>
        <v>RASTA PETH</v>
      </c>
      <c r="E181" s="48" t="s">
        <v>819</v>
      </c>
      <c r="F181" s="48">
        <v>24215</v>
      </c>
      <c r="G181" s="51" t="s">
        <v>733</v>
      </c>
      <c r="H181" s="48" t="s">
        <v>721</v>
      </c>
      <c r="I181" s="48" t="s">
        <v>722</v>
      </c>
      <c r="J181" s="48" t="s">
        <v>1716</v>
      </c>
      <c r="K181" s="54" t="s">
        <v>1722</v>
      </c>
      <c r="L181" s="54">
        <v>100213</v>
      </c>
    </row>
    <row r="182" spans="1:12">
      <c r="A182" s="52">
        <v>45565</v>
      </c>
      <c r="B182" s="48" t="s">
        <v>1173</v>
      </c>
      <c r="C182" s="48" t="s">
        <v>781</v>
      </c>
      <c r="D182" s="50" t="str">
        <f>_xlfn.XLOOKUP(J182,'Store Code'!B:B,'Store Code'!A:A)</f>
        <v>WAKAD</v>
      </c>
      <c r="E182" s="48" t="s">
        <v>1174</v>
      </c>
      <c r="F182" s="48">
        <v>61000</v>
      </c>
      <c r="G182" s="48" t="s">
        <v>720</v>
      </c>
      <c r="H182" s="48" t="s">
        <v>721</v>
      </c>
      <c r="I182" s="48" t="s">
        <v>722</v>
      </c>
      <c r="J182" s="48" t="s">
        <v>1718</v>
      </c>
      <c r="K182" s="54" t="s">
        <v>1722</v>
      </c>
      <c r="L182" s="54">
        <v>100211</v>
      </c>
    </row>
    <row r="183" spans="1:12">
      <c r="A183" s="52">
        <v>45565</v>
      </c>
      <c r="B183" s="48" t="s">
        <v>1176</v>
      </c>
      <c r="C183" s="48" t="s">
        <v>736</v>
      </c>
      <c r="D183" s="50" t="str">
        <f>_xlfn.XLOOKUP(J183,'Store Code'!B:B,'Store Code'!A:A)</f>
        <v>KHARADI</v>
      </c>
      <c r="E183" s="48" t="s">
        <v>1177</v>
      </c>
      <c r="F183" s="48">
        <v>47000</v>
      </c>
      <c r="G183" s="51" t="s">
        <v>733</v>
      </c>
      <c r="H183" s="48" t="s">
        <v>721</v>
      </c>
      <c r="I183" s="48" t="s">
        <v>722</v>
      </c>
      <c r="J183" s="48" t="s">
        <v>1717</v>
      </c>
      <c r="K183" s="54" t="s">
        <v>1722</v>
      </c>
      <c r="L183" s="54">
        <v>100214</v>
      </c>
    </row>
    <row r="184" spans="1:12">
      <c r="A184" s="52">
        <v>45566</v>
      </c>
      <c r="B184" s="48" t="s">
        <v>1179</v>
      </c>
      <c r="C184" s="48" t="s">
        <v>725</v>
      </c>
      <c r="D184" s="50" t="str">
        <f>_xlfn.XLOOKUP(J184,'Store Code'!B:B,'Store Code'!A:A)</f>
        <v>RASTA PETH</v>
      </c>
      <c r="E184" s="48" t="s">
        <v>515</v>
      </c>
      <c r="F184" s="48">
        <v>28300</v>
      </c>
      <c r="G184" s="48" t="s">
        <v>738</v>
      </c>
      <c r="H184" s="48" t="s">
        <v>721</v>
      </c>
      <c r="I184" s="48" t="s">
        <v>722</v>
      </c>
      <c r="J184" s="48" t="s">
        <v>1716</v>
      </c>
      <c r="K184" s="54" t="s">
        <v>1722</v>
      </c>
      <c r="L184" s="54">
        <v>100214</v>
      </c>
    </row>
    <row r="185" spans="1:12">
      <c r="A185" s="52">
        <v>45567</v>
      </c>
      <c r="B185" s="48" t="s">
        <v>1181</v>
      </c>
      <c r="C185" s="48" t="s">
        <v>769</v>
      </c>
      <c r="D185" s="50" t="str">
        <f>_xlfn.XLOOKUP(J185,'Store Code'!B:B,'Store Code'!A:A)</f>
        <v>RASTA PETH</v>
      </c>
      <c r="E185" s="48" t="s">
        <v>1182</v>
      </c>
      <c r="F185" s="48">
        <v>43500</v>
      </c>
      <c r="G185" s="48" t="s">
        <v>738</v>
      </c>
      <c r="H185" s="48" t="s">
        <v>721</v>
      </c>
      <c r="I185" s="48" t="s">
        <v>722</v>
      </c>
      <c r="J185" s="48" t="s">
        <v>1716</v>
      </c>
      <c r="K185" s="54" t="s">
        <v>1722</v>
      </c>
      <c r="L185" s="54">
        <v>100220</v>
      </c>
    </row>
    <row r="186" spans="1:12">
      <c r="A186" s="52">
        <v>45569</v>
      </c>
      <c r="B186" s="48" t="s">
        <v>1184</v>
      </c>
      <c r="C186" s="48" t="s">
        <v>773</v>
      </c>
      <c r="D186" s="50" t="str">
        <f>_xlfn.XLOOKUP(J186,'Store Code'!B:B,'Store Code'!A:A)</f>
        <v>WAKAD</v>
      </c>
      <c r="E186" s="48" t="s">
        <v>774</v>
      </c>
      <c r="F186" s="48">
        <v>91300</v>
      </c>
      <c r="G186" s="48" t="s">
        <v>760</v>
      </c>
      <c r="H186" s="48" t="s">
        <v>721</v>
      </c>
      <c r="I186" s="48" t="s">
        <v>722</v>
      </c>
      <c r="J186" s="48" t="s">
        <v>1718</v>
      </c>
      <c r="K186" s="54" t="s">
        <v>1722</v>
      </c>
      <c r="L186" s="54">
        <v>100212</v>
      </c>
    </row>
    <row r="187" spans="1:12">
      <c r="A187" s="52">
        <v>45569</v>
      </c>
      <c r="B187" s="48" t="s">
        <v>1079</v>
      </c>
      <c r="C187" s="48" t="s">
        <v>769</v>
      </c>
      <c r="D187" s="50" t="str">
        <f>_xlfn.XLOOKUP(J187,'Store Code'!B:B,'Store Code'!A:A)</f>
        <v>KHARADI</v>
      </c>
      <c r="E187" s="48" t="s">
        <v>1186</v>
      </c>
      <c r="F187" s="48">
        <v>26500</v>
      </c>
      <c r="G187" s="51" t="s">
        <v>733</v>
      </c>
      <c r="H187" s="48" t="s">
        <v>721</v>
      </c>
      <c r="I187" s="48" t="s">
        <v>722</v>
      </c>
      <c r="J187" s="48" t="s">
        <v>1717</v>
      </c>
      <c r="K187" s="54" t="s">
        <v>1722</v>
      </c>
      <c r="L187" s="54">
        <v>100216</v>
      </c>
    </row>
    <row r="188" spans="1:12">
      <c r="A188" s="52">
        <v>45570</v>
      </c>
      <c r="B188" s="48" t="s">
        <v>1188</v>
      </c>
      <c r="C188" s="48" t="s">
        <v>736</v>
      </c>
      <c r="D188" s="50" t="str">
        <f>_xlfn.XLOOKUP(J188,'Store Code'!B:B,'Store Code'!A:A)</f>
        <v>RASTA PETH</v>
      </c>
      <c r="E188" s="48" t="s">
        <v>1014</v>
      </c>
      <c r="F188" s="48">
        <v>5800</v>
      </c>
      <c r="G188" s="51" t="s">
        <v>733</v>
      </c>
      <c r="H188" s="48" t="s">
        <v>721</v>
      </c>
      <c r="I188" s="48" t="s">
        <v>722</v>
      </c>
      <c r="J188" s="48" t="s">
        <v>1716</v>
      </c>
      <c r="K188" s="54" t="s">
        <v>1722</v>
      </c>
      <c r="L188" s="54">
        <v>100219</v>
      </c>
    </row>
    <row r="189" spans="1:12">
      <c r="A189" s="52">
        <v>45571</v>
      </c>
      <c r="B189" s="48" t="s">
        <v>1190</v>
      </c>
      <c r="C189" s="48" t="s">
        <v>732</v>
      </c>
      <c r="D189" s="50" t="str">
        <f>_xlfn.XLOOKUP(J189,'Store Code'!B:B,'Store Code'!A:A)</f>
        <v>RASTA PETH</v>
      </c>
      <c r="E189" s="48" t="s">
        <v>484</v>
      </c>
      <c r="F189" s="48">
        <v>35000</v>
      </c>
      <c r="G189" s="51" t="s">
        <v>733</v>
      </c>
      <c r="H189" s="48" t="s">
        <v>721</v>
      </c>
      <c r="I189" s="48" t="s">
        <v>722</v>
      </c>
      <c r="J189" s="48" t="s">
        <v>1716</v>
      </c>
      <c r="K189" s="54" t="s">
        <v>1722</v>
      </c>
      <c r="L189" s="54">
        <v>100216</v>
      </c>
    </row>
    <row r="190" spans="1:12">
      <c r="A190" s="52">
        <v>45571</v>
      </c>
      <c r="B190" s="48" t="s">
        <v>1192</v>
      </c>
      <c r="C190" s="48" t="s">
        <v>732</v>
      </c>
      <c r="D190" s="50" t="str">
        <f>_xlfn.XLOOKUP(J190,'Store Code'!B:B,'Store Code'!A:A)</f>
        <v>KHARADI</v>
      </c>
      <c r="E190" s="48" t="s">
        <v>694</v>
      </c>
      <c r="F190" s="48">
        <v>22500</v>
      </c>
      <c r="G190" s="51" t="s">
        <v>733</v>
      </c>
      <c r="H190" s="48" t="s">
        <v>721</v>
      </c>
      <c r="I190" s="48" t="s">
        <v>722</v>
      </c>
      <c r="J190" s="48" t="s">
        <v>1717</v>
      </c>
      <c r="K190" s="54" t="s">
        <v>1722</v>
      </c>
      <c r="L190" s="54">
        <v>100217</v>
      </c>
    </row>
    <row r="191" spans="1:12">
      <c r="A191" s="52">
        <v>45571</v>
      </c>
      <c r="B191" s="48" t="s">
        <v>1194</v>
      </c>
      <c r="C191" s="48" t="s">
        <v>781</v>
      </c>
      <c r="D191" s="50" t="str">
        <f>_xlfn.XLOOKUP(J191,'Store Code'!B:B,'Store Code'!A:A)</f>
        <v>KHARADI</v>
      </c>
      <c r="E191" s="48" t="s">
        <v>1195</v>
      </c>
      <c r="F191" s="48">
        <v>38400</v>
      </c>
      <c r="G191" s="48" t="s">
        <v>1006</v>
      </c>
      <c r="H191" s="48" t="s">
        <v>721</v>
      </c>
      <c r="I191" s="48" t="s">
        <v>722</v>
      </c>
      <c r="J191" s="48" t="s">
        <v>1717</v>
      </c>
      <c r="K191" s="54" t="s">
        <v>1722</v>
      </c>
      <c r="L191" s="54">
        <v>100218</v>
      </c>
    </row>
    <row r="192" spans="1:12">
      <c r="A192" s="52">
        <v>45571</v>
      </c>
      <c r="B192" s="48" t="s">
        <v>1197</v>
      </c>
      <c r="C192" s="48" t="s">
        <v>725</v>
      </c>
      <c r="D192" s="50" t="str">
        <f>_xlfn.XLOOKUP(J192,'Store Code'!B:B,'Store Code'!A:A)</f>
        <v>RASTA PETH</v>
      </c>
      <c r="E192" s="48" t="s">
        <v>292</v>
      </c>
      <c r="F192" s="48">
        <v>30000</v>
      </c>
      <c r="G192" s="51" t="s">
        <v>733</v>
      </c>
      <c r="H192" s="48" t="s">
        <v>721</v>
      </c>
      <c r="I192" s="48" t="s">
        <v>722</v>
      </c>
      <c r="J192" s="48" t="s">
        <v>1716</v>
      </c>
      <c r="K192" s="54" t="s">
        <v>1722</v>
      </c>
      <c r="L192" s="54">
        <v>100217</v>
      </c>
    </row>
    <row r="193" spans="1:12">
      <c r="A193" s="52">
        <v>45572</v>
      </c>
      <c r="B193" s="48" t="s">
        <v>1199</v>
      </c>
      <c r="C193" s="48" t="s">
        <v>736</v>
      </c>
      <c r="D193" s="50" t="str">
        <f>_xlfn.XLOOKUP(J193,'Store Code'!B:B,'Store Code'!A:A)</f>
        <v>RASTA PETH</v>
      </c>
      <c r="E193" s="48" t="s">
        <v>1014</v>
      </c>
      <c r="F193" s="48">
        <v>31000</v>
      </c>
      <c r="G193" s="51" t="s">
        <v>733</v>
      </c>
      <c r="H193" s="48" t="s">
        <v>721</v>
      </c>
      <c r="I193" s="48" t="s">
        <v>722</v>
      </c>
      <c r="J193" s="48" t="s">
        <v>1716</v>
      </c>
      <c r="K193" s="54" t="s">
        <v>1722</v>
      </c>
      <c r="L193" s="54">
        <v>100218</v>
      </c>
    </row>
    <row r="194" spans="1:12">
      <c r="A194" s="52">
        <v>45572</v>
      </c>
      <c r="B194" s="48" t="s">
        <v>1201</v>
      </c>
      <c r="C194" s="48" t="s">
        <v>736</v>
      </c>
      <c r="D194" s="50" t="str">
        <f>_xlfn.XLOOKUP(J194,'Store Code'!B:B,'Store Code'!A:A)</f>
        <v>KHARADI</v>
      </c>
      <c r="E194" s="48" t="s">
        <v>224</v>
      </c>
      <c r="F194" s="48">
        <v>41000</v>
      </c>
      <c r="G194" s="51" t="s">
        <v>733</v>
      </c>
      <c r="H194" s="48" t="s">
        <v>721</v>
      </c>
      <c r="I194" s="48" t="s">
        <v>722</v>
      </c>
      <c r="J194" s="48" t="s">
        <v>1717</v>
      </c>
      <c r="K194" s="54" t="s">
        <v>1722</v>
      </c>
      <c r="L194" s="54">
        <v>100219</v>
      </c>
    </row>
    <row r="195" spans="1:12">
      <c r="A195" s="52">
        <v>45573</v>
      </c>
      <c r="B195" s="48" t="s">
        <v>1203</v>
      </c>
      <c r="C195" s="48" t="s">
        <v>773</v>
      </c>
      <c r="D195" s="50" t="str">
        <f>_xlfn.XLOOKUP(J195,'Store Code'!B:B,'Store Code'!A:A)</f>
        <v>RASTA PETH</v>
      </c>
      <c r="E195" s="48" t="s">
        <v>774</v>
      </c>
      <c r="F195" s="48">
        <v>26500</v>
      </c>
      <c r="G195" s="48" t="s">
        <v>738</v>
      </c>
      <c r="H195" s="48" t="s">
        <v>721</v>
      </c>
      <c r="I195" s="48" t="s">
        <v>722</v>
      </c>
      <c r="J195" s="48" t="s">
        <v>1716</v>
      </c>
      <c r="K195" s="54" t="s">
        <v>1722</v>
      </c>
      <c r="L195" s="54">
        <v>100225</v>
      </c>
    </row>
    <row r="196" spans="1:12">
      <c r="A196" s="52">
        <v>45573</v>
      </c>
      <c r="B196" s="48" t="s">
        <v>1205</v>
      </c>
      <c r="C196" s="48" t="s">
        <v>725</v>
      </c>
      <c r="D196" s="50" t="str">
        <f>_xlfn.XLOOKUP(J196,'Store Code'!B:B,'Store Code'!A:A)</f>
        <v>RASTA PETH</v>
      </c>
      <c r="E196" s="48" t="s">
        <v>1206</v>
      </c>
      <c r="F196" s="48">
        <v>81000</v>
      </c>
      <c r="G196" s="48" t="s">
        <v>738</v>
      </c>
      <c r="H196" s="48" t="s">
        <v>721</v>
      </c>
      <c r="I196" s="48" t="s">
        <v>722</v>
      </c>
      <c r="J196" s="48" t="s">
        <v>1716</v>
      </c>
      <c r="K196" s="54" t="s">
        <v>1722</v>
      </c>
      <c r="L196" s="54">
        <v>100229</v>
      </c>
    </row>
    <row r="197" spans="1:12">
      <c r="A197" s="52">
        <v>45573</v>
      </c>
      <c r="B197" s="48" t="s">
        <v>1208</v>
      </c>
      <c r="C197" s="48" t="s">
        <v>725</v>
      </c>
      <c r="D197" s="50" t="str">
        <f>_xlfn.XLOOKUP(J197,'Store Code'!B:B,'Store Code'!A:A)</f>
        <v>RASTA PETH</v>
      </c>
      <c r="E197" s="48" t="s">
        <v>501</v>
      </c>
      <c r="F197" s="48">
        <v>31000</v>
      </c>
      <c r="G197" s="48" t="s">
        <v>738</v>
      </c>
      <c r="H197" s="48" t="s">
        <v>721</v>
      </c>
      <c r="I197" s="48" t="s">
        <v>722</v>
      </c>
      <c r="J197" s="48" t="s">
        <v>1716</v>
      </c>
      <c r="K197" s="54" t="s">
        <v>1722</v>
      </c>
      <c r="L197" s="54">
        <v>100226</v>
      </c>
    </row>
    <row r="198" spans="1:12">
      <c r="A198" s="52">
        <v>45573</v>
      </c>
      <c r="B198" s="48" t="s">
        <v>1210</v>
      </c>
      <c r="C198" s="48" t="s">
        <v>781</v>
      </c>
      <c r="D198" s="50" t="str">
        <f>_xlfn.XLOOKUP(J198,'Store Code'!B:B,'Store Code'!A:A)</f>
        <v>RASTA PETH</v>
      </c>
      <c r="E198" s="48" t="s">
        <v>1211</v>
      </c>
      <c r="F198" s="48">
        <v>47000</v>
      </c>
      <c r="G198" s="48" t="s">
        <v>738</v>
      </c>
      <c r="H198" s="48" t="s">
        <v>721</v>
      </c>
      <c r="I198" s="48" t="s">
        <v>722</v>
      </c>
      <c r="J198" s="48" t="s">
        <v>1716</v>
      </c>
      <c r="K198" s="54" t="s">
        <v>1722</v>
      </c>
      <c r="L198" s="54">
        <v>100224</v>
      </c>
    </row>
    <row r="199" spans="1:12">
      <c r="A199" s="52">
        <v>45573</v>
      </c>
      <c r="B199" s="48" t="s">
        <v>1213</v>
      </c>
      <c r="C199" s="48" t="s">
        <v>755</v>
      </c>
      <c r="D199" s="50" t="str">
        <f>_xlfn.XLOOKUP(J199,'Store Code'!B:B,'Store Code'!A:A)</f>
        <v>RASTA PETH</v>
      </c>
      <c r="E199" s="48" t="s">
        <v>1214</v>
      </c>
      <c r="F199" s="48">
        <v>193000</v>
      </c>
      <c r="G199" s="48" t="s">
        <v>738</v>
      </c>
      <c r="H199" s="48" t="s">
        <v>721</v>
      </c>
      <c r="I199" s="48" t="s">
        <v>722</v>
      </c>
      <c r="J199" s="48" t="s">
        <v>1716</v>
      </c>
      <c r="K199" s="54" t="s">
        <v>1722</v>
      </c>
      <c r="L199" s="54">
        <v>100228</v>
      </c>
    </row>
    <row r="200" spans="1:12">
      <c r="A200" s="52">
        <v>45573</v>
      </c>
      <c r="B200" s="48" t="s">
        <v>1216</v>
      </c>
      <c r="C200" s="48" t="s">
        <v>755</v>
      </c>
      <c r="D200" s="50" t="str">
        <f>_xlfn.XLOOKUP(J200,'Store Code'!B:B,'Store Code'!A:A)</f>
        <v>RASTA PETH</v>
      </c>
      <c r="E200" s="48" t="s">
        <v>862</v>
      </c>
      <c r="F200" s="48">
        <v>23800</v>
      </c>
      <c r="G200" s="48" t="s">
        <v>738</v>
      </c>
      <c r="H200" s="48" t="s">
        <v>721</v>
      </c>
      <c r="I200" s="48" t="s">
        <v>722</v>
      </c>
      <c r="J200" s="48" t="s">
        <v>1716</v>
      </c>
      <c r="K200" s="54" t="s">
        <v>1722</v>
      </c>
      <c r="L200" s="54">
        <v>100221</v>
      </c>
    </row>
    <row r="201" spans="1:12">
      <c r="A201" s="52">
        <v>45573</v>
      </c>
      <c r="B201" s="48" t="s">
        <v>1218</v>
      </c>
      <c r="C201" s="48" t="s">
        <v>725</v>
      </c>
      <c r="D201" s="50" t="str">
        <f>_xlfn.XLOOKUP(J201,'Store Code'!B:B,'Store Code'!A:A)</f>
        <v>RASTA PETH</v>
      </c>
      <c r="E201" s="48" t="s">
        <v>441</v>
      </c>
      <c r="F201" s="48">
        <v>15000</v>
      </c>
      <c r="G201" s="48" t="s">
        <v>738</v>
      </c>
      <c r="H201" s="48" t="s">
        <v>721</v>
      </c>
      <c r="I201" s="48" t="s">
        <v>722</v>
      </c>
      <c r="J201" s="48" t="s">
        <v>1716</v>
      </c>
      <c r="K201" s="54" t="s">
        <v>1722</v>
      </c>
      <c r="L201" s="54">
        <v>100223</v>
      </c>
    </row>
    <row r="202" spans="1:12">
      <c r="A202" s="52">
        <v>45573</v>
      </c>
      <c r="B202" s="48" t="s">
        <v>1220</v>
      </c>
      <c r="C202" s="48" t="s">
        <v>725</v>
      </c>
      <c r="D202" s="50" t="str">
        <f>_xlfn.XLOOKUP(J202,'Store Code'!B:B,'Store Code'!A:A)</f>
        <v>RASTA PETH</v>
      </c>
      <c r="E202" s="48" t="s">
        <v>292</v>
      </c>
      <c r="F202" s="48">
        <v>29000</v>
      </c>
      <c r="G202" s="48" t="s">
        <v>738</v>
      </c>
      <c r="H202" s="48" t="s">
        <v>721</v>
      </c>
      <c r="I202" s="48" t="s">
        <v>722</v>
      </c>
      <c r="J202" s="48" t="s">
        <v>1716</v>
      </c>
      <c r="K202" s="54" t="s">
        <v>1722</v>
      </c>
      <c r="L202" s="54">
        <v>100227</v>
      </c>
    </row>
    <row r="203" spans="1:12">
      <c r="A203" s="52">
        <v>45573</v>
      </c>
      <c r="B203" s="48" t="s">
        <v>1222</v>
      </c>
      <c r="C203" s="48" t="s">
        <v>736</v>
      </c>
      <c r="D203" s="50" t="str">
        <f>_xlfn.XLOOKUP(J203,'Store Code'!B:B,'Store Code'!A:A)</f>
        <v>RASTA PETH</v>
      </c>
      <c r="E203" s="48" t="s">
        <v>224</v>
      </c>
      <c r="F203" s="48">
        <v>46000</v>
      </c>
      <c r="G203" s="48" t="s">
        <v>738</v>
      </c>
      <c r="H203" s="48" t="s">
        <v>721</v>
      </c>
      <c r="I203" s="48" t="s">
        <v>722</v>
      </c>
      <c r="J203" s="48" t="s">
        <v>1716</v>
      </c>
      <c r="K203" s="54" t="s">
        <v>1722</v>
      </c>
      <c r="L203" s="54">
        <v>100222</v>
      </c>
    </row>
    <row r="204" spans="1:12">
      <c r="A204" s="52">
        <v>45574</v>
      </c>
      <c r="B204" s="48" t="s">
        <v>1224</v>
      </c>
      <c r="C204" s="48" t="s">
        <v>736</v>
      </c>
      <c r="D204" s="50" t="str">
        <f>_xlfn.XLOOKUP(J204,'Store Code'!B:B,'Store Code'!A:A)</f>
        <v>KHARADI</v>
      </c>
      <c r="E204" s="48" t="s">
        <v>902</v>
      </c>
      <c r="F204" s="48">
        <v>37300</v>
      </c>
      <c r="G204" s="51" t="s">
        <v>733</v>
      </c>
      <c r="H204" s="48" t="s">
        <v>721</v>
      </c>
      <c r="I204" s="48" t="s">
        <v>722</v>
      </c>
      <c r="J204" s="48" t="s">
        <v>1717</v>
      </c>
      <c r="K204" s="54" t="s">
        <v>1722</v>
      </c>
      <c r="L204" s="54">
        <v>100220</v>
      </c>
    </row>
    <row r="205" spans="1:12">
      <c r="A205" s="53">
        <v>45575</v>
      </c>
      <c r="B205" s="48" t="s">
        <v>1226</v>
      </c>
      <c r="C205" s="48" t="s">
        <v>755</v>
      </c>
      <c r="D205" s="50" t="str">
        <f>_xlfn.XLOOKUP(J205,'Store Code'!B:B,'Store Code'!A:A)</f>
        <v>RASTA PETH</v>
      </c>
      <c r="E205" s="48" t="s">
        <v>1227</v>
      </c>
      <c r="F205" s="48">
        <v>40000</v>
      </c>
      <c r="G205" s="51" t="s">
        <v>733</v>
      </c>
      <c r="H205" s="48" t="s">
        <v>721</v>
      </c>
      <c r="I205" s="48" t="s">
        <v>722</v>
      </c>
      <c r="J205" s="48" t="s">
        <v>1716</v>
      </c>
      <c r="K205" s="54" t="s">
        <v>1722</v>
      </c>
      <c r="L205" s="54">
        <v>100230</v>
      </c>
    </row>
    <row r="206" spans="1:12">
      <c r="A206" s="53">
        <v>45575</v>
      </c>
      <c r="B206" s="48" t="s">
        <v>1229</v>
      </c>
      <c r="C206" s="48" t="s">
        <v>781</v>
      </c>
      <c r="D206" s="50" t="str">
        <f>_xlfn.XLOOKUP(J206,'Store Code'!B:B,'Store Code'!A:A)</f>
        <v>KHARADI</v>
      </c>
      <c r="E206" s="48" t="s">
        <v>1135</v>
      </c>
      <c r="F206" s="48">
        <v>39000</v>
      </c>
      <c r="G206" s="51" t="s">
        <v>733</v>
      </c>
      <c r="H206" s="48" t="s">
        <v>721</v>
      </c>
      <c r="I206" s="48" t="s">
        <v>722</v>
      </c>
      <c r="J206" s="48" t="s">
        <v>1717</v>
      </c>
      <c r="K206" s="54" t="s">
        <v>1722</v>
      </c>
      <c r="L206" s="54">
        <v>100221</v>
      </c>
    </row>
    <row r="207" spans="1:12">
      <c r="A207" s="53">
        <v>45576</v>
      </c>
      <c r="B207" s="48" t="s">
        <v>1231</v>
      </c>
      <c r="C207" s="48" t="s">
        <v>725</v>
      </c>
      <c r="D207" s="50" t="str">
        <f>_xlfn.XLOOKUP(J207,'Store Code'!B:B,'Store Code'!A:A)</f>
        <v>WAKAD</v>
      </c>
      <c r="E207" s="48" t="s">
        <v>292</v>
      </c>
      <c r="F207" s="48">
        <v>53500</v>
      </c>
      <c r="G207" s="48" t="s">
        <v>720</v>
      </c>
      <c r="H207" s="48" t="s">
        <v>721</v>
      </c>
      <c r="I207" s="48" t="s">
        <v>722</v>
      </c>
      <c r="J207" s="48" t="s">
        <v>1718</v>
      </c>
      <c r="K207" s="54" t="s">
        <v>1722</v>
      </c>
      <c r="L207" s="54">
        <v>100221</v>
      </c>
    </row>
    <row r="208" spans="1:12">
      <c r="A208" s="53">
        <v>45576</v>
      </c>
      <c r="B208" s="48" t="s">
        <v>1233</v>
      </c>
      <c r="C208" s="48" t="s">
        <v>725</v>
      </c>
      <c r="D208" s="50" t="str">
        <f>_xlfn.XLOOKUP(J208,'Store Code'!B:B,'Store Code'!A:A)</f>
        <v>KHARADI</v>
      </c>
      <c r="E208" s="48" t="s">
        <v>1234</v>
      </c>
      <c r="F208" s="48">
        <v>65500</v>
      </c>
      <c r="G208" s="51" t="s">
        <v>733</v>
      </c>
      <c r="H208" s="48" t="s">
        <v>721</v>
      </c>
      <c r="I208" s="48" t="s">
        <v>722</v>
      </c>
      <c r="J208" s="48" t="s">
        <v>1717</v>
      </c>
      <c r="K208" s="54" t="s">
        <v>1722</v>
      </c>
      <c r="L208" s="54">
        <v>100223</v>
      </c>
    </row>
    <row r="209" spans="1:12">
      <c r="A209" s="53">
        <v>45576</v>
      </c>
      <c r="B209" s="48" t="s">
        <v>1236</v>
      </c>
      <c r="C209" s="48" t="s">
        <v>743</v>
      </c>
      <c r="D209" s="50" t="str">
        <f>_xlfn.XLOOKUP(J209,'Store Code'!B:B,'Store Code'!A:A)</f>
        <v>RASTA PETH</v>
      </c>
      <c r="E209" s="48" t="s">
        <v>1237</v>
      </c>
      <c r="F209" s="48">
        <v>27000</v>
      </c>
      <c r="G209" s="48" t="s">
        <v>720</v>
      </c>
      <c r="H209" s="48" t="s">
        <v>721</v>
      </c>
      <c r="I209" s="48" t="s">
        <v>722</v>
      </c>
      <c r="J209" s="48" t="s">
        <v>1716</v>
      </c>
      <c r="K209" s="54" t="s">
        <v>1722</v>
      </c>
      <c r="L209" s="54">
        <v>100231</v>
      </c>
    </row>
    <row r="210" spans="1:12">
      <c r="A210" s="53">
        <v>45576</v>
      </c>
      <c r="B210" s="48" t="s">
        <v>1239</v>
      </c>
      <c r="C210" s="48" t="s">
        <v>755</v>
      </c>
      <c r="D210" s="50" t="str">
        <f>_xlfn.XLOOKUP(J210,'Store Code'!B:B,'Store Code'!A:A)</f>
        <v>KHARADI</v>
      </c>
      <c r="E210" s="48" t="s">
        <v>886</v>
      </c>
      <c r="F210" s="48">
        <v>25000</v>
      </c>
      <c r="G210" s="51" t="s">
        <v>733</v>
      </c>
      <c r="H210" s="48" t="s">
        <v>721</v>
      </c>
      <c r="I210" s="48" t="s">
        <v>722</v>
      </c>
      <c r="J210" s="48" t="s">
        <v>1717</v>
      </c>
      <c r="K210" s="54" t="s">
        <v>1722</v>
      </c>
      <c r="L210" s="54">
        <v>100222</v>
      </c>
    </row>
    <row r="211" spans="1:12">
      <c r="A211" s="53">
        <v>45577</v>
      </c>
      <c r="B211" s="48" t="s">
        <v>1241</v>
      </c>
      <c r="C211" s="48" t="s">
        <v>736</v>
      </c>
      <c r="D211" s="50" t="str">
        <f>_xlfn.XLOOKUP(J211,'Store Code'!B:B,'Store Code'!A:A)</f>
        <v>RASTA PETH</v>
      </c>
      <c r="E211" s="48" t="s">
        <v>224</v>
      </c>
      <c r="F211" s="48">
        <v>47000</v>
      </c>
      <c r="G211" s="51" t="s">
        <v>733</v>
      </c>
      <c r="H211" s="48" t="s">
        <v>757</v>
      </c>
      <c r="I211" s="48" t="s">
        <v>722</v>
      </c>
      <c r="J211" s="48" t="s">
        <v>1716</v>
      </c>
      <c r="K211" s="54" t="s">
        <v>1722</v>
      </c>
      <c r="L211" s="54">
        <v>100232</v>
      </c>
    </row>
    <row r="212" spans="1:12">
      <c r="A212" s="53">
        <v>45577</v>
      </c>
      <c r="B212" s="48" t="s">
        <v>1243</v>
      </c>
      <c r="C212" s="48" t="s">
        <v>725</v>
      </c>
      <c r="D212" s="50" t="str">
        <f>_xlfn.XLOOKUP(J212,'Store Code'!B:B,'Store Code'!A:A)</f>
        <v>RASTA PETH</v>
      </c>
      <c r="E212" s="48" t="s">
        <v>313</v>
      </c>
      <c r="F212" s="48">
        <v>28000</v>
      </c>
      <c r="G212" s="51" t="s">
        <v>733</v>
      </c>
      <c r="H212" s="48" t="s">
        <v>721</v>
      </c>
      <c r="I212" s="48" t="s">
        <v>722</v>
      </c>
      <c r="J212" s="48" t="s">
        <v>1716</v>
      </c>
      <c r="K212" s="54" t="s">
        <v>1722</v>
      </c>
      <c r="L212" s="54">
        <v>100292</v>
      </c>
    </row>
    <row r="213" spans="1:12">
      <c r="A213" s="53">
        <v>45577</v>
      </c>
      <c r="B213" s="48" t="s">
        <v>1245</v>
      </c>
      <c r="C213" s="48" t="s">
        <v>725</v>
      </c>
      <c r="D213" s="50" t="str">
        <f>_xlfn.XLOOKUP(J213,'Store Code'!B:B,'Store Code'!A:A)</f>
        <v>KHARADI</v>
      </c>
      <c r="E213" s="48" t="s">
        <v>356</v>
      </c>
      <c r="F213" s="48">
        <v>10000</v>
      </c>
      <c r="G213" s="51" t="s">
        <v>733</v>
      </c>
      <c r="H213" s="48" t="s">
        <v>721</v>
      </c>
      <c r="I213" s="48" t="s">
        <v>722</v>
      </c>
      <c r="J213" s="48" t="s">
        <v>1717</v>
      </c>
      <c r="K213" s="54" t="s">
        <v>1722</v>
      </c>
      <c r="L213" s="54">
        <v>100224</v>
      </c>
    </row>
    <row r="214" spans="1:12">
      <c r="A214" s="53">
        <v>45577</v>
      </c>
      <c r="B214" s="48" t="s">
        <v>1247</v>
      </c>
      <c r="C214" s="48" t="s">
        <v>725</v>
      </c>
      <c r="D214" s="50" t="str">
        <f>_xlfn.XLOOKUP(J214,'Store Code'!B:B,'Store Code'!A:A)</f>
        <v>RASTA PETH</v>
      </c>
      <c r="E214" s="48" t="s">
        <v>515</v>
      </c>
      <c r="F214" s="48">
        <v>28500</v>
      </c>
      <c r="G214" s="48" t="s">
        <v>738</v>
      </c>
      <c r="H214" s="48" t="s">
        <v>721</v>
      </c>
      <c r="I214" s="48" t="s">
        <v>722</v>
      </c>
      <c r="J214" s="48" t="s">
        <v>1716</v>
      </c>
      <c r="K214" s="54" t="s">
        <v>1722</v>
      </c>
      <c r="L214" s="54">
        <v>100233</v>
      </c>
    </row>
    <row r="215" spans="1:12">
      <c r="A215" s="53">
        <v>45578</v>
      </c>
      <c r="B215" s="48" t="s">
        <v>1249</v>
      </c>
      <c r="C215" s="48" t="s">
        <v>769</v>
      </c>
      <c r="D215" s="50" t="str">
        <f>_xlfn.XLOOKUP(J215,'Store Code'!B:B,'Store Code'!A:A)</f>
        <v>RASTA PETH</v>
      </c>
      <c r="E215" s="48" t="s">
        <v>1250</v>
      </c>
      <c r="F215" s="48">
        <v>20600</v>
      </c>
      <c r="G215" s="48" t="s">
        <v>720</v>
      </c>
      <c r="H215" s="48" t="s">
        <v>721</v>
      </c>
      <c r="I215" s="48" t="s">
        <v>722</v>
      </c>
      <c r="J215" s="48" t="s">
        <v>1716</v>
      </c>
      <c r="K215" s="54" t="s">
        <v>1722</v>
      </c>
      <c r="L215" s="54">
        <v>100234</v>
      </c>
    </row>
    <row r="216" spans="1:12">
      <c r="A216" s="53">
        <v>45578</v>
      </c>
      <c r="B216" s="48" t="s">
        <v>1252</v>
      </c>
      <c r="C216" s="48" t="s">
        <v>743</v>
      </c>
      <c r="D216" s="50" t="str">
        <f>_xlfn.XLOOKUP(J216,'Store Code'!B:B,'Store Code'!A:A)</f>
        <v>KHARADI</v>
      </c>
      <c r="E216" s="48" t="s">
        <v>684</v>
      </c>
      <c r="F216" s="48">
        <v>14000</v>
      </c>
      <c r="G216" s="51" t="s">
        <v>733</v>
      </c>
      <c r="H216" s="48" t="s">
        <v>721</v>
      </c>
      <c r="I216" s="48" t="s">
        <v>722</v>
      </c>
      <c r="J216" s="48" t="s">
        <v>1717</v>
      </c>
      <c r="K216" s="54" t="s">
        <v>1722</v>
      </c>
      <c r="L216" s="54">
        <v>100225</v>
      </c>
    </row>
    <row r="217" spans="1:12">
      <c r="A217" s="53">
        <v>45579</v>
      </c>
      <c r="B217" s="48" t="s">
        <v>1254</v>
      </c>
      <c r="C217" s="48" t="s">
        <v>725</v>
      </c>
      <c r="D217" s="50" t="str">
        <f>_xlfn.XLOOKUP(J217,'Store Code'!B:B,'Store Code'!A:A)</f>
        <v>RASTA PETH</v>
      </c>
      <c r="E217" s="48" t="s">
        <v>292</v>
      </c>
      <c r="F217" s="48">
        <v>46000</v>
      </c>
      <c r="G217" s="51" t="s">
        <v>733</v>
      </c>
      <c r="H217" s="48" t="s">
        <v>721</v>
      </c>
      <c r="I217" s="48" t="s">
        <v>722</v>
      </c>
      <c r="J217" s="48" t="s">
        <v>1716</v>
      </c>
      <c r="K217" s="54" t="s">
        <v>1722</v>
      </c>
      <c r="L217" s="54">
        <v>100235</v>
      </c>
    </row>
    <row r="218" spans="1:12">
      <c r="A218" s="53">
        <v>45579</v>
      </c>
      <c r="B218" s="48" t="s">
        <v>1256</v>
      </c>
      <c r="C218" s="48" t="s">
        <v>736</v>
      </c>
      <c r="D218" s="50" t="str">
        <f>_xlfn.XLOOKUP(J218,'Store Code'!B:B,'Store Code'!A:A)</f>
        <v>KHARADI</v>
      </c>
      <c r="E218" s="48" t="s">
        <v>902</v>
      </c>
      <c r="F218" s="48">
        <v>34000</v>
      </c>
      <c r="G218" s="48" t="s">
        <v>770</v>
      </c>
      <c r="H218" s="48" t="s">
        <v>721</v>
      </c>
      <c r="I218" s="48" t="s">
        <v>722</v>
      </c>
      <c r="J218" s="48" t="s">
        <v>1717</v>
      </c>
      <c r="K218" s="54" t="s">
        <v>1722</v>
      </c>
      <c r="L218" s="54">
        <v>100226</v>
      </c>
    </row>
    <row r="219" spans="1:12">
      <c r="A219" s="53">
        <v>45580</v>
      </c>
      <c r="B219" s="48" t="s">
        <v>1258</v>
      </c>
      <c r="C219" s="48" t="s">
        <v>725</v>
      </c>
      <c r="D219" s="50" t="str">
        <f>_xlfn.XLOOKUP(J219,'Store Code'!B:B,'Store Code'!A:A)</f>
        <v>RASTA PETH</v>
      </c>
      <c r="E219" s="48" t="s">
        <v>800</v>
      </c>
      <c r="F219" s="48">
        <v>15000</v>
      </c>
      <c r="G219" s="51" t="s">
        <v>733</v>
      </c>
      <c r="H219" s="48" t="s">
        <v>721</v>
      </c>
      <c r="I219" s="48" t="s">
        <v>722</v>
      </c>
      <c r="J219" s="48" t="s">
        <v>1716</v>
      </c>
      <c r="K219" s="54" t="s">
        <v>1722</v>
      </c>
      <c r="L219" s="54">
        <v>100243</v>
      </c>
    </row>
    <row r="220" spans="1:12">
      <c r="A220" s="53">
        <v>45580</v>
      </c>
      <c r="B220" s="48" t="s">
        <v>1260</v>
      </c>
      <c r="C220" s="48" t="s">
        <v>736</v>
      </c>
      <c r="D220" s="50" t="str">
        <f>_xlfn.XLOOKUP(J220,'Store Code'!B:B,'Store Code'!A:A)</f>
        <v>RASTA PETH</v>
      </c>
      <c r="E220" s="48" t="s">
        <v>224</v>
      </c>
      <c r="F220" s="48">
        <v>40000</v>
      </c>
      <c r="G220" s="48" t="s">
        <v>738</v>
      </c>
      <c r="H220" s="48" t="s">
        <v>721</v>
      </c>
      <c r="I220" s="48" t="s">
        <v>722</v>
      </c>
      <c r="J220" s="48" t="s">
        <v>1716</v>
      </c>
      <c r="K220" s="54" t="s">
        <v>1722</v>
      </c>
      <c r="L220" s="54">
        <v>100240</v>
      </c>
    </row>
    <row r="221" spans="1:12">
      <c r="A221" s="53">
        <v>45580</v>
      </c>
      <c r="B221" s="48" t="s">
        <v>1262</v>
      </c>
      <c r="C221" s="48" t="s">
        <v>725</v>
      </c>
      <c r="D221" s="50" t="str">
        <f>_xlfn.XLOOKUP(J221,'Store Code'!B:B,'Store Code'!A:A)</f>
        <v>RASTA PETH</v>
      </c>
      <c r="E221" s="48" t="s">
        <v>609</v>
      </c>
      <c r="F221" s="48">
        <v>20600</v>
      </c>
      <c r="G221" s="51" t="s">
        <v>733</v>
      </c>
      <c r="H221" s="48" t="s">
        <v>721</v>
      </c>
      <c r="I221" s="48" t="s">
        <v>722</v>
      </c>
      <c r="J221" s="48" t="s">
        <v>1716</v>
      </c>
      <c r="K221" s="54" t="s">
        <v>1722</v>
      </c>
      <c r="L221" s="54">
        <v>100242</v>
      </c>
    </row>
    <row r="222" spans="1:12">
      <c r="A222" s="53">
        <v>45580</v>
      </c>
      <c r="B222" s="48" t="s">
        <v>1264</v>
      </c>
      <c r="C222" s="48" t="s">
        <v>725</v>
      </c>
      <c r="D222" s="50" t="str">
        <f>_xlfn.XLOOKUP(J222,'Store Code'!B:B,'Store Code'!A:A)</f>
        <v>RASTA PETH</v>
      </c>
      <c r="E222" s="48" t="s">
        <v>501</v>
      </c>
      <c r="F222" s="48">
        <v>28000</v>
      </c>
      <c r="G222" s="48" t="s">
        <v>738</v>
      </c>
      <c r="H222" s="48" t="s">
        <v>721</v>
      </c>
      <c r="I222" s="48" t="s">
        <v>722</v>
      </c>
      <c r="J222" s="48" t="s">
        <v>1716</v>
      </c>
      <c r="K222" s="54" t="s">
        <v>1722</v>
      </c>
      <c r="L222" s="54">
        <v>100236</v>
      </c>
    </row>
    <row r="223" spans="1:12">
      <c r="A223" s="53">
        <v>45580</v>
      </c>
      <c r="B223" s="48" t="s">
        <v>1266</v>
      </c>
      <c r="C223" s="48" t="s">
        <v>725</v>
      </c>
      <c r="D223" s="50" t="str">
        <f>_xlfn.XLOOKUP(J223,'Store Code'!B:B,'Store Code'!A:A)</f>
        <v>RASTA PETH</v>
      </c>
      <c r="E223" s="48" t="s">
        <v>292</v>
      </c>
      <c r="F223" s="48">
        <v>29500</v>
      </c>
      <c r="G223" s="51" t="s">
        <v>733</v>
      </c>
      <c r="H223" s="48" t="s">
        <v>721</v>
      </c>
      <c r="I223" s="48" t="s">
        <v>722</v>
      </c>
      <c r="J223" s="48" t="s">
        <v>1716</v>
      </c>
      <c r="K223" s="54" t="s">
        <v>1722</v>
      </c>
      <c r="L223" s="54">
        <v>100241</v>
      </c>
    </row>
    <row r="224" spans="1:12">
      <c r="A224" s="53">
        <v>45580</v>
      </c>
      <c r="B224" s="48" t="s">
        <v>1268</v>
      </c>
      <c r="C224" s="48" t="s">
        <v>725</v>
      </c>
      <c r="D224" s="50" t="str">
        <f>_xlfn.XLOOKUP(J224,'Store Code'!B:B,'Store Code'!A:A)</f>
        <v>RASTA PETH</v>
      </c>
      <c r="E224" s="48" t="s">
        <v>292</v>
      </c>
      <c r="F224" s="48">
        <v>24500</v>
      </c>
      <c r="G224" s="48" t="s">
        <v>738</v>
      </c>
      <c r="H224" s="48" t="s">
        <v>721</v>
      </c>
      <c r="I224" s="48" t="s">
        <v>722</v>
      </c>
      <c r="J224" s="48" t="s">
        <v>1716</v>
      </c>
      <c r="K224" s="54" t="s">
        <v>1722</v>
      </c>
      <c r="L224" s="54">
        <v>100237</v>
      </c>
    </row>
    <row r="225" spans="1:12">
      <c r="A225" s="53">
        <v>45580</v>
      </c>
      <c r="B225" s="48" t="s">
        <v>1270</v>
      </c>
      <c r="C225" s="48" t="s">
        <v>769</v>
      </c>
      <c r="D225" s="50" t="str">
        <f>_xlfn.XLOOKUP(J225,'Store Code'!B:B,'Store Code'!A:A)</f>
        <v>RASTA PETH</v>
      </c>
      <c r="E225" s="48" t="s">
        <v>1271</v>
      </c>
      <c r="F225" s="48">
        <v>150200</v>
      </c>
      <c r="G225" s="48" t="s">
        <v>738</v>
      </c>
      <c r="H225" s="48" t="s">
        <v>721</v>
      </c>
      <c r="I225" s="48" t="s">
        <v>722</v>
      </c>
      <c r="J225" s="48" t="s">
        <v>1716</v>
      </c>
      <c r="K225" s="54" t="s">
        <v>1722</v>
      </c>
      <c r="L225" s="54">
        <v>100253</v>
      </c>
    </row>
    <row r="226" spans="1:12">
      <c r="A226" s="53">
        <v>45580</v>
      </c>
      <c r="B226" s="48" t="s">
        <v>1273</v>
      </c>
      <c r="C226" s="48" t="s">
        <v>725</v>
      </c>
      <c r="D226" s="50" t="str">
        <f>_xlfn.XLOOKUP(J226,'Store Code'!B:B,'Store Code'!A:A)</f>
        <v>RASTA PETH</v>
      </c>
      <c r="E226" s="48" t="s">
        <v>515</v>
      </c>
      <c r="F226" s="48">
        <v>150000</v>
      </c>
      <c r="G226" s="48" t="s">
        <v>738</v>
      </c>
      <c r="H226" s="48" t="s">
        <v>721</v>
      </c>
      <c r="I226" s="48" t="s">
        <v>722</v>
      </c>
      <c r="J226" s="48" t="s">
        <v>1716</v>
      </c>
      <c r="K226" s="54" t="s">
        <v>1722</v>
      </c>
      <c r="L226" s="54">
        <v>100238</v>
      </c>
    </row>
    <row r="227" spans="1:12">
      <c r="A227" s="53">
        <v>45580</v>
      </c>
      <c r="B227" s="48" t="s">
        <v>1275</v>
      </c>
      <c r="C227" s="48" t="s">
        <v>769</v>
      </c>
      <c r="D227" s="50" t="str">
        <f>_xlfn.XLOOKUP(J227,'Store Code'!B:B,'Store Code'!A:A)</f>
        <v>RASTA PETH</v>
      </c>
      <c r="E227" s="48" t="s">
        <v>1276</v>
      </c>
      <c r="F227" s="48">
        <v>132000</v>
      </c>
      <c r="G227" s="48" t="s">
        <v>738</v>
      </c>
      <c r="H227" s="48" t="s">
        <v>721</v>
      </c>
      <c r="I227" s="48" t="s">
        <v>722</v>
      </c>
      <c r="J227" s="48" t="s">
        <v>1716</v>
      </c>
      <c r="K227" s="54" t="s">
        <v>1722</v>
      </c>
      <c r="L227" s="54">
        <v>100239</v>
      </c>
    </row>
    <row r="228" spans="1:12">
      <c r="A228" s="53">
        <v>45581</v>
      </c>
      <c r="B228" s="48" t="s">
        <v>1278</v>
      </c>
      <c r="C228" s="48" t="s">
        <v>725</v>
      </c>
      <c r="D228" s="50" t="str">
        <f>_xlfn.XLOOKUP(J228,'Store Code'!B:B,'Store Code'!A:A)</f>
        <v>RASTA PETH</v>
      </c>
      <c r="E228" s="48" t="s">
        <v>292</v>
      </c>
      <c r="F228" s="48">
        <v>28500</v>
      </c>
      <c r="G228" s="48" t="s">
        <v>738</v>
      </c>
      <c r="H228" s="48" t="s">
        <v>721</v>
      </c>
      <c r="I228" s="48" t="s">
        <v>722</v>
      </c>
      <c r="J228" s="48" t="s">
        <v>1716</v>
      </c>
      <c r="K228" s="54" t="s">
        <v>1722</v>
      </c>
      <c r="L228" s="54">
        <v>100248</v>
      </c>
    </row>
    <row r="229" spans="1:12">
      <c r="A229" s="53">
        <v>45581</v>
      </c>
      <c r="B229" s="48" t="s">
        <v>1280</v>
      </c>
      <c r="C229" s="48" t="s">
        <v>725</v>
      </c>
      <c r="D229" s="50" t="str">
        <f>_xlfn.XLOOKUP(J229,'Store Code'!B:B,'Store Code'!A:A)</f>
        <v>RASTA PETH</v>
      </c>
      <c r="E229" s="48" t="s">
        <v>441</v>
      </c>
      <c r="F229" s="48">
        <v>38500</v>
      </c>
      <c r="G229" s="51" t="s">
        <v>733</v>
      </c>
      <c r="H229" s="48" t="s">
        <v>721</v>
      </c>
      <c r="I229" s="48" t="s">
        <v>722</v>
      </c>
      <c r="J229" s="48" t="s">
        <v>1716</v>
      </c>
      <c r="K229" s="54" t="s">
        <v>1722</v>
      </c>
      <c r="L229" s="54">
        <v>100251</v>
      </c>
    </row>
    <row r="230" spans="1:12">
      <c r="A230" s="53">
        <v>45581</v>
      </c>
      <c r="B230" s="48" t="s">
        <v>1282</v>
      </c>
      <c r="C230" s="48" t="s">
        <v>736</v>
      </c>
      <c r="D230" s="50" t="str">
        <f>_xlfn.XLOOKUP(J230,'Store Code'!B:B,'Store Code'!A:A)</f>
        <v>RASTA PETH</v>
      </c>
      <c r="E230" s="48" t="s">
        <v>1283</v>
      </c>
      <c r="F230" s="48">
        <v>12000</v>
      </c>
      <c r="G230" s="51" t="s">
        <v>733</v>
      </c>
      <c r="H230" s="48" t="s">
        <v>721</v>
      </c>
      <c r="I230" s="48" t="s">
        <v>722</v>
      </c>
      <c r="J230" s="48" t="s">
        <v>1716</v>
      </c>
      <c r="K230" s="54" t="s">
        <v>1722</v>
      </c>
      <c r="L230" s="54">
        <v>100252</v>
      </c>
    </row>
    <row r="231" spans="1:12">
      <c r="A231" s="53">
        <v>45581</v>
      </c>
      <c r="B231" s="48" t="s">
        <v>1285</v>
      </c>
      <c r="C231" s="48" t="s">
        <v>725</v>
      </c>
      <c r="D231" s="50" t="str">
        <f>_xlfn.XLOOKUP(J231,'Store Code'!B:B,'Store Code'!A:A)</f>
        <v>RASTA PETH</v>
      </c>
      <c r="E231" s="48" t="s">
        <v>1234</v>
      </c>
      <c r="F231" s="48">
        <v>25000</v>
      </c>
      <c r="G231" s="51" t="s">
        <v>733</v>
      </c>
      <c r="H231" s="48" t="s">
        <v>721</v>
      </c>
      <c r="I231" s="48" t="s">
        <v>722</v>
      </c>
      <c r="J231" s="48" t="s">
        <v>1716</v>
      </c>
      <c r="K231" s="54" t="s">
        <v>1722</v>
      </c>
      <c r="L231" s="54">
        <v>100250</v>
      </c>
    </row>
    <row r="232" spans="1:12">
      <c r="A232" s="53">
        <v>45581</v>
      </c>
      <c r="B232" s="48" t="s">
        <v>1287</v>
      </c>
      <c r="C232" s="48" t="s">
        <v>781</v>
      </c>
      <c r="D232" s="50" t="str">
        <f>_xlfn.XLOOKUP(J232,'Store Code'!B:B,'Store Code'!A:A)</f>
        <v>RASTA PETH</v>
      </c>
      <c r="E232" s="48" t="s">
        <v>1211</v>
      </c>
      <c r="F232" s="48">
        <v>13000</v>
      </c>
      <c r="G232" s="51" t="s">
        <v>733</v>
      </c>
      <c r="H232" s="48" t="s">
        <v>721</v>
      </c>
      <c r="I232" s="48" t="s">
        <v>722</v>
      </c>
      <c r="J232" s="48" t="s">
        <v>1716</v>
      </c>
      <c r="K232" s="54" t="s">
        <v>1722</v>
      </c>
      <c r="L232" s="54">
        <v>100245</v>
      </c>
    </row>
    <row r="233" spans="1:12">
      <c r="A233" s="53">
        <v>45581</v>
      </c>
      <c r="B233" s="48" t="s">
        <v>1289</v>
      </c>
      <c r="C233" s="48" t="s">
        <v>732</v>
      </c>
      <c r="D233" s="50" t="str">
        <f>_xlfn.XLOOKUP(J233,'Store Code'!B:B,'Store Code'!A:A)</f>
        <v>WAKAD</v>
      </c>
      <c r="E233" s="48" t="s">
        <v>294</v>
      </c>
      <c r="F233" s="48">
        <v>44500</v>
      </c>
      <c r="G233" s="48" t="s">
        <v>738</v>
      </c>
      <c r="H233" s="48" t="s">
        <v>721</v>
      </c>
      <c r="I233" s="48" t="s">
        <v>722</v>
      </c>
      <c r="J233" s="48" t="s">
        <v>1718</v>
      </c>
      <c r="K233" s="54" t="s">
        <v>1722</v>
      </c>
      <c r="L233" s="54">
        <v>100230</v>
      </c>
    </row>
    <row r="234" spans="1:12">
      <c r="A234" s="53">
        <v>45581</v>
      </c>
      <c r="B234" s="48" t="s">
        <v>1291</v>
      </c>
      <c r="C234" s="48" t="s">
        <v>781</v>
      </c>
      <c r="D234" s="50" t="str">
        <f>_xlfn.XLOOKUP(J234,'Store Code'!B:B,'Store Code'!A:A)</f>
        <v>RASTA PETH</v>
      </c>
      <c r="E234" s="48" t="s">
        <v>810</v>
      </c>
      <c r="F234" s="48">
        <v>22500</v>
      </c>
      <c r="G234" s="51" t="s">
        <v>733</v>
      </c>
      <c r="H234" s="48" t="s">
        <v>721</v>
      </c>
      <c r="I234" s="48" t="s">
        <v>722</v>
      </c>
      <c r="J234" s="48" t="s">
        <v>1716</v>
      </c>
      <c r="K234" s="54" t="s">
        <v>1722</v>
      </c>
      <c r="L234" s="54">
        <v>100244</v>
      </c>
    </row>
    <row r="235" spans="1:12">
      <c r="A235" s="53">
        <v>45581</v>
      </c>
      <c r="B235" s="48" t="s">
        <v>1293</v>
      </c>
      <c r="C235" s="48" t="s">
        <v>736</v>
      </c>
      <c r="D235" s="50" t="str">
        <f>_xlfn.XLOOKUP(J235,'Store Code'!B:B,'Store Code'!A:A)</f>
        <v>RASTA PETH</v>
      </c>
      <c r="E235" s="48" t="s">
        <v>1283</v>
      </c>
      <c r="F235" s="48">
        <v>25000</v>
      </c>
      <c r="G235" s="51" t="s">
        <v>733</v>
      </c>
      <c r="H235" s="48" t="s">
        <v>721</v>
      </c>
      <c r="I235" s="48" t="s">
        <v>722</v>
      </c>
      <c r="J235" s="48" t="s">
        <v>1716</v>
      </c>
      <c r="K235" s="54" t="s">
        <v>1722</v>
      </c>
      <c r="L235" s="54">
        <v>100246</v>
      </c>
    </row>
    <row r="236" spans="1:12">
      <c r="A236" s="53">
        <v>45581</v>
      </c>
      <c r="B236" s="48" t="s">
        <v>1295</v>
      </c>
      <c r="C236" s="48" t="s">
        <v>725</v>
      </c>
      <c r="D236" s="50" t="str">
        <f>_xlfn.XLOOKUP(J236,'Store Code'!B:B,'Store Code'!A:A)</f>
        <v>RASTA PETH</v>
      </c>
      <c r="E236" s="48" t="s">
        <v>726</v>
      </c>
      <c r="F236" s="48">
        <v>91300</v>
      </c>
      <c r="G236" s="51" t="s">
        <v>733</v>
      </c>
      <c r="H236" s="48" t="s">
        <v>721</v>
      </c>
      <c r="I236" s="48" t="s">
        <v>722</v>
      </c>
      <c r="J236" s="48" t="s">
        <v>1716</v>
      </c>
      <c r="K236" s="54" t="s">
        <v>1722</v>
      </c>
      <c r="L236" s="54">
        <v>100247</v>
      </c>
    </row>
    <row r="237" spans="1:12">
      <c r="A237" s="53">
        <v>45582</v>
      </c>
      <c r="B237" s="48" t="s">
        <v>1297</v>
      </c>
      <c r="C237" s="48" t="s">
        <v>725</v>
      </c>
      <c r="D237" s="50" t="str">
        <f>_xlfn.XLOOKUP(J237,'Store Code'!B:B,'Store Code'!A:A)</f>
        <v>RASTA PETH</v>
      </c>
      <c r="E237" s="48" t="s">
        <v>292</v>
      </c>
      <c r="F237" s="48">
        <v>43500</v>
      </c>
      <c r="G237" s="48" t="s">
        <v>738</v>
      </c>
      <c r="H237" s="48" t="s">
        <v>721</v>
      </c>
      <c r="I237" s="48" t="s">
        <v>722</v>
      </c>
      <c r="J237" s="48" t="s">
        <v>1716</v>
      </c>
      <c r="K237" s="54" t="s">
        <v>1722</v>
      </c>
      <c r="L237" s="54">
        <v>100255</v>
      </c>
    </row>
    <row r="238" spans="1:12">
      <c r="A238" s="53">
        <v>45582</v>
      </c>
      <c r="B238" s="48" t="s">
        <v>1299</v>
      </c>
      <c r="C238" s="48" t="s">
        <v>725</v>
      </c>
      <c r="D238" s="50" t="str">
        <f>_xlfn.XLOOKUP(J238,'Store Code'!B:B,'Store Code'!A:A)</f>
        <v>RASTA PETH</v>
      </c>
      <c r="E238" s="48" t="s">
        <v>800</v>
      </c>
      <c r="F238" s="48">
        <v>5800</v>
      </c>
      <c r="G238" s="48" t="s">
        <v>738</v>
      </c>
      <c r="H238" s="48" t="s">
        <v>721</v>
      </c>
      <c r="I238" s="48" t="s">
        <v>722</v>
      </c>
      <c r="J238" s="48" t="s">
        <v>1716</v>
      </c>
      <c r="K238" s="54" t="s">
        <v>1722</v>
      </c>
      <c r="L238" s="54">
        <v>100256</v>
      </c>
    </row>
    <row r="239" spans="1:12">
      <c r="A239" s="53">
        <v>45582</v>
      </c>
      <c r="B239" s="48" t="s">
        <v>1301</v>
      </c>
      <c r="C239" s="48" t="s">
        <v>725</v>
      </c>
      <c r="D239" s="50" t="str">
        <f>_xlfn.XLOOKUP(J239,'Store Code'!B:B,'Store Code'!A:A)</f>
        <v>RASTA PETH</v>
      </c>
      <c r="E239" s="48" t="s">
        <v>292</v>
      </c>
      <c r="F239" s="48">
        <v>35000</v>
      </c>
      <c r="G239" s="51" t="s">
        <v>733</v>
      </c>
      <c r="H239" s="48" t="s">
        <v>721</v>
      </c>
      <c r="I239" s="48" t="s">
        <v>722</v>
      </c>
      <c r="J239" s="48" t="s">
        <v>1716</v>
      </c>
      <c r="K239" s="54" t="s">
        <v>1722</v>
      </c>
      <c r="L239" s="54">
        <v>100254</v>
      </c>
    </row>
    <row r="240" spans="1:12">
      <c r="A240" s="53">
        <v>45582</v>
      </c>
      <c r="B240" s="48" t="s">
        <v>1303</v>
      </c>
      <c r="C240" s="48" t="s">
        <v>725</v>
      </c>
      <c r="D240" s="50" t="str">
        <f>_xlfn.XLOOKUP(J240,'Store Code'!B:B,'Store Code'!A:A)</f>
        <v>RASTA PETH</v>
      </c>
      <c r="E240" s="48" t="s">
        <v>292</v>
      </c>
      <c r="F240" s="48">
        <v>28500</v>
      </c>
      <c r="G240" s="48" t="s">
        <v>738</v>
      </c>
      <c r="H240" s="48" t="s">
        <v>721</v>
      </c>
      <c r="I240" s="48" t="s">
        <v>722</v>
      </c>
      <c r="J240" s="48" t="s">
        <v>1716</v>
      </c>
      <c r="K240" s="54" t="s">
        <v>1722</v>
      </c>
      <c r="L240" s="54">
        <v>100257</v>
      </c>
    </row>
    <row r="241" spans="1:12">
      <c r="A241" s="53">
        <v>45582</v>
      </c>
      <c r="B241" s="48" t="s">
        <v>1305</v>
      </c>
      <c r="C241" s="48" t="s">
        <v>736</v>
      </c>
      <c r="D241" s="50" t="str">
        <f>_xlfn.XLOOKUP(J241,'Store Code'!B:B,'Store Code'!A:A)</f>
        <v>RASTA PETH</v>
      </c>
      <c r="E241" s="48" t="s">
        <v>750</v>
      </c>
      <c r="F241" s="48">
        <v>29000</v>
      </c>
      <c r="G241" s="48" t="s">
        <v>738</v>
      </c>
      <c r="H241" s="48" t="s">
        <v>721</v>
      </c>
      <c r="I241" s="48" t="s">
        <v>722</v>
      </c>
      <c r="J241" s="48" t="s">
        <v>1716</v>
      </c>
      <c r="K241" s="54" t="s">
        <v>1722</v>
      </c>
      <c r="L241" s="54">
        <v>100259</v>
      </c>
    </row>
    <row r="242" spans="1:12">
      <c r="A242" s="53">
        <v>45583</v>
      </c>
      <c r="B242" s="48" t="s">
        <v>1307</v>
      </c>
      <c r="C242" s="48" t="s">
        <v>725</v>
      </c>
      <c r="D242" s="50" t="str">
        <f>_xlfn.XLOOKUP(J242,'Store Code'!B:B,'Store Code'!A:A)</f>
        <v>WAKAD</v>
      </c>
      <c r="E242" s="48" t="s">
        <v>609</v>
      </c>
      <c r="F242" s="48">
        <v>38500</v>
      </c>
      <c r="G242" s="48" t="s">
        <v>738</v>
      </c>
      <c r="H242" s="48" t="s">
        <v>721</v>
      </c>
      <c r="I242" s="48" t="s">
        <v>722</v>
      </c>
      <c r="J242" s="48" t="s">
        <v>1718</v>
      </c>
      <c r="K242" s="54" t="s">
        <v>1722</v>
      </c>
      <c r="L242" s="54">
        <v>100231</v>
      </c>
    </row>
    <row r="243" spans="1:12">
      <c r="A243" s="53">
        <v>45584</v>
      </c>
      <c r="B243" s="48" t="s">
        <v>1309</v>
      </c>
      <c r="C243" s="48" t="s">
        <v>725</v>
      </c>
      <c r="D243" s="50" t="str">
        <f>_xlfn.XLOOKUP(J243,'Store Code'!B:B,'Store Code'!A:A)</f>
        <v>RASTA PETH</v>
      </c>
      <c r="E243" s="48" t="s">
        <v>501</v>
      </c>
      <c r="F243" s="48">
        <v>27100</v>
      </c>
      <c r="G243" s="48" t="s">
        <v>738</v>
      </c>
      <c r="H243" s="48" t="s">
        <v>721</v>
      </c>
      <c r="I243" s="48" t="s">
        <v>722</v>
      </c>
      <c r="J243" s="48" t="s">
        <v>1716</v>
      </c>
      <c r="K243" s="54" t="s">
        <v>1722</v>
      </c>
      <c r="L243" s="54">
        <v>100258</v>
      </c>
    </row>
    <row r="244" spans="1:12">
      <c r="A244" s="53">
        <v>45584</v>
      </c>
      <c r="B244" s="48" t="s">
        <v>1311</v>
      </c>
      <c r="C244" s="48" t="s">
        <v>725</v>
      </c>
      <c r="D244" s="50" t="str">
        <f>_xlfn.XLOOKUP(J244,'Store Code'!B:B,'Store Code'!A:A)</f>
        <v>RASTA PETH</v>
      </c>
      <c r="E244" s="48" t="s">
        <v>990</v>
      </c>
      <c r="F244" s="48">
        <v>28000</v>
      </c>
      <c r="G244" s="48" t="s">
        <v>720</v>
      </c>
      <c r="H244" s="48" t="s">
        <v>721</v>
      </c>
      <c r="I244" s="48" t="s">
        <v>722</v>
      </c>
      <c r="J244" s="48" t="s">
        <v>1716</v>
      </c>
      <c r="K244" s="54" t="s">
        <v>1722</v>
      </c>
      <c r="L244" s="54">
        <v>100260</v>
      </c>
    </row>
    <row r="245" spans="1:12">
      <c r="A245" s="53">
        <v>45585</v>
      </c>
      <c r="B245" s="48" t="s">
        <v>1313</v>
      </c>
      <c r="C245" s="48" t="s">
        <v>725</v>
      </c>
      <c r="D245" s="50" t="str">
        <f>_xlfn.XLOOKUP(J245,'Store Code'!B:B,'Store Code'!A:A)</f>
        <v>RASTA PETH</v>
      </c>
      <c r="E245" s="48" t="s">
        <v>515</v>
      </c>
      <c r="F245" s="48">
        <v>37000</v>
      </c>
      <c r="G245" s="51" t="s">
        <v>733</v>
      </c>
      <c r="H245" s="48" t="s">
        <v>721</v>
      </c>
      <c r="I245" s="48" t="s">
        <v>722</v>
      </c>
      <c r="J245" s="48" t="s">
        <v>1716</v>
      </c>
      <c r="K245" s="54" t="s">
        <v>1722</v>
      </c>
      <c r="L245" s="54">
        <v>100262</v>
      </c>
    </row>
    <row r="246" spans="1:12">
      <c r="A246" s="53">
        <v>45585</v>
      </c>
      <c r="B246" s="48" t="s">
        <v>1315</v>
      </c>
      <c r="C246" s="48" t="s">
        <v>736</v>
      </c>
      <c r="D246" s="50" t="str">
        <f>_xlfn.XLOOKUP(J246,'Store Code'!B:B,'Store Code'!A:A)</f>
        <v>RASTA PETH</v>
      </c>
      <c r="E246" s="48" t="s">
        <v>846</v>
      </c>
      <c r="F246" s="48">
        <v>13000</v>
      </c>
      <c r="G246" s="48" t="s">
        <v>738</v>
      </c>
      <c r="H246" s="48" t="s">
        <v>721</v>
      </c>
      <c r="I246" s="48" t="s">
        <v>722</v>
      </c>
      <c r="J246" s="48" t="s">
        <v>1716</v>
      </c>
      <c r="K246" s="54" t="s">
        <v>1722</v>
      </c>
      <c r="L246" s="54">
        <v>100263</v>
      </c>
    </row>
    <row r="247" spans="1:12">
      <c r="A247" s="53">
        <v>45585</v>
      </c>
      <c r="B247" s="48" t="s">
        <v>1317</v>
      </c>
      <c r="C247" s="48" t="s">
        <v>736</v>
      </c>
      <c r="D247" s="50" t="str">
        <f>_xlfn.XLOOKUP(J247,'Store Code'!B:B,'Store Code'!A:A)</f>
        <v>KHARADI</v>
      </c>
      <c r="E247" s="48" t="s">
        <v>793</v>
      </c>
      <c r="F247" s="48">
        <v>35000</v>
      </c>
      <c r="G247" s="51" t="s">
        <v>733</v>
      </c>
      <c r="H247" s="48" t="s">
        <v>721</v>
      </c>
      <c r="I247" s="48" t="s">
        <v>722</v>
      </c>
      <c r="J247" s="48" t="s">
        <v>1717</v>
      </c>
      <c r="K247" s="54" t="s">
        <v>1722</v>
      </c>
      <c r="L247" s="54">
        <v>100250</v>
      </c>
    </row>
    <row r="248" spans="1:12">
      <c r="A248" s="53">
        <v>45585</v>
      </c>
      <c r="B248" s="48" t="s">
        <v>1319</v>
      </c>
      <c r="C248" s="48" t="s">
        <v>736</v>
      </c>
      <c r="D248" s="50" t="str">
        <f>_xlfn.XLOOKUP(J248,'Store Code'!B:B,'Store Code'!A:A)</f>
        <v>RASTA PETH</v>
      </c>
      <c r="E248" s="48" t="s">
        <v>750</v>
      </c>
      <c r="F248" s="48">
        <v>22000</v>
      </c>
      <c r="G248" s="48" t="s">
        <v>738</v>
      </c>
      <c r="H248" s="48" t="s">
        <v>721</v>
      </c>
      <c r="I248" s="48" t="s">
        <v>722</v>
      </c>
      <c r="J248" s="48" t="s">
        <v>1716</v>
      </c>
      <c r="K248" s="54" t="s">
        <v>1722</v>
      </c>
      <c r="L248" s="54">
        <v>100265</v>
      </c>
    </row>
    <row r="249" spans="1:12">
      <c r="A249" s="53">
        <v>45585</v>
      </c>
      <c r="B249" s="48" t="s">
        <v>1321</v>
      </c>
      <c r="C249" s="48" t="s">
        <v>736</v>
      </c>
      <c r="D249" s="50" t="str">
        <f>_xlfn.XLOOKUP(J249,'Store Code'!B:B,'Store Code'!A:A)</f>
        <v>WAKAD</v>
      </c>
      <c r="E249" s="48" t="s">
        <v>1322</v>
      </c>
      <c r="F249" s="48">
        <v>41000</v>
      </c>
      <c r="G249" s="48" t="s">
        <v>720</v>
      </c>
      <c r="H249" s="48" t="s">
        <v>721</v>
      </c>
      <c r="I249" s="48" t="s">
        <v>722</v>
      </c>
      <c r="J249" s="48" t="s">
        <v>1718</v>
      </c>
      <c r="K249" s="54" t="s">
        <v>1722</v>
      </c>
      <c r="L249" s="54">
        <v>100242</v>
      </c>
    </row>
    <row r="250" spans="1:12">
      <c r="A250" s="53">
        <v>45585</v>
      </c>
      <c r="B250" s="48" t="s">
        <v>1324</v>
      </c>
      <c r="C250" s="48" t="s">
        <v>736</v>
      </c>
      <c r="D250" s="50" t="str">
        <f>_xlfn.XLOOKUP(J250,'Store Code'!B:B,'Store Code'!A:A)</f>
        <v>KHARADI</v>
      </c>
      <c r="E250" s="48" t="s">
        <v>224</v>
      </c>
      <c r="F250" s="48">
        <v>15000</v>
      </c>
      <c r="G250" s="48" t="s">
        <v>770</v>
      </c>
      <c r="H250" s="48" t="s">
        <v>721</v>
      </c>
      <c r="I250" s="48" t="s">
        <v>722</v>
      </c>
      <c r="J250" s="48" t="s">
        <v>1717</v>
      </c>
      <c r="K250" s="54" t="s">
        <v>1722</v>
      </c>
      <c r="L250" s="54">
        <v>100249</v>
      </c>
    </row>
    <row r="251" spans="1:12">
      <c r="A251" s="53">
        <v>45585</v>
      </c>
      <c r="B251" s="48" t="s">
        <v>1326</v>
      </c>
      <c r="C251" s="48" t="s">
        <v>725</v>
      </c>
      <c r="D251" s="50" t="str">
        <f>_xlfn.XLOOKUP(J251,'Store Code'!B:B,'Store Code'!A:A)</f>
        <v>RASTA PETH</v>
      </c>
      <c r="E251" s="48" t="s">
        <v>292</v>
      </c>
      <c r="F251" s="48">
        <v>20600</v>
      </c>
      <c r="G251" s="51" t="s">
        <v>733</v>
      </c>
      <c r="H251" s="48" t="s">
        <v>721</v>
      </c>
      <c r="I251" s="48" t="s">
        <v>722</v>
      </c>
      <c r="J251" s="48" t="s">
        <v>1716</v>
      </c>
      <c r="K251" s="54" t="s">
        <v>1722</v>
      </c>
      <c r="L251" s="54">
        <v>100261</v>
      </c>
    </row>
    <row r="252" spans="1:12">
      <c r="A252" s="53">
        <v>45585</v>
      </c>
      <c r="B252" s="48" t="s">
        <v>1328</v>
      </c>
      <c r="C252" s="48" t="s">
        <v>725</v>
      </c>
      <c r="D252" s="50" t="str">
        <f>_xlfn.XLOOKUP(J252,'Store Code'!B:B,'Store Code'!A:A)</f>
        <v>RASTA PETH</v>
      </c>
      <c r="E252" s="48" t="s">
        <v>441</v>
      </c>
      <c r="F252" s="48">
        <v>193000</v>
      </c>
      <c r="G252" s="48" t="s">
        <v>720</v>
      </c>
      <c r="H252" s="48" t="s">
        <v>721</v>
      </c>
      <c r="I252" s="48" t="s">
        <v>722</v>
      </c>
      <c r="J252" s="48" t="s">
        <v>1716</v>
      </c>
      <c r="K252" s="54" t="s">
        <v>1722</v>
      </c>
      <c r="L252" s="54">
        <v>100264</v>
      </c>
    </row>
    <row r="253" spans="1:12">
      <c r="A253" s="53">
        <v>45585</v>
      </c>
      <c r="B253" s="48" t="s">
        <v>1330</v>
      </c>
      <c r="C253" s="48" t="s">
        <v>769</v>
      </c>
      <c r="D253" s="50" t="str">
        <f>_xlfn.XLOOKUP(J253,'Store Code'!B:B,'Store Code'!A:A)</f>
        <v>KHARADI</v>
      </c>
      <c r="E253" s="48" t="s">
        <v>819</v>
      </c>
      <c r="F253" s="48">
        <v>38300</v>
      </c>
      <c r="G253" s="51" t="s">
        <v>733</v>
      </c>
      <c r="H253" s="48" t="s">
        <v>721</v>
      </c>
      <c r="I253" s="48" t="s">
        <v>722</v>
      </c>
      <c r="J253" s="48" t="s">
        <v>1717</v>
      </c>
      <c r="K253" s="54" t="s">
        <v>1722</v>
      </c>
      <c r="L253" s="54">
        <v>100248</v>
      </c>
    </row>
    <row r="254" spans="1:12">
      <c r="A254" s="53">
        <v>45586</v>
      </c>
      <c r="B254" s="48" t="s">
        <v>1332</v>
      </c>
      <c r="C254" s="48" t="s">
        <v>732</v>
      </c>
      <c r="D254" s="50" t="str">
        <f>_xlfn.XLOOKUP(J254,'Store Code'!B:B,'Store Code'!A:A)</f>
        <v>RASTA PETH</v>
      </c>
      <c r="E254" s="48" t="s">
        <v>694</v>
      </c>
      <c r="F254" s="48">
        <v>70000</v>
      </c>
      <c r="G254" s="48" t="s">
        <v>738</v>
      </c>
      <c r="H254" s="48" t="s">
        <v>721</v>
      </c>
      <c r="I254" s="48" t="s">
        <v>722</v>
      </c>
      <c r="J254" s="48" t="s">
        <v>1716</v>
      </c>
      <c r="K254" s="54" t="s">
        <v>1722</v>
      </c>
      <c r="L254" s="54">
        <v>100266</v>
      </c>
    </row>
    <row r="255" spans="1:12">
      <c r="A255" s="53">
        <v>45587</v>
      </c>
      <c r="B255" s="48" t="s">
        <v>1334</v>
      </c>
      <c r="C255" s="48" t="s">
        <v>736</v>
      </c>
      <c r="D255" s="50" t="str">
        <f>_xlfn.XLOOKUP(J255,'Store Code'!B:B,'Store Code'!A:A)</f>
        <v>RASTA PETH</v>
      </c>
      <c r="E255" s="48" t="s">
        <v>813</v>
      </c>
      <c r="F255" s="48">
        <v>46500</v>
      </c>
      <c r="G255" s="48" t="s">
        <v>738</v>
      </c>
      <c r="H255" s="48" t="s">
        <v>721</v>
      </c>
      <c r="I255" s="48" t="s">
        <v>722</v>
      </c>
      <c r="J255" s="48" t="s">
        <v>1716</v>
      </c>
      <c r="K255" s="54" t="s">
        <v>1722</v>
      </c>
      <c r="L255" s="54">
        <v>100269</v>
      </c>
    </row>
    <row r="256" spans="1:12">
      <c r="A256" s="53">
        <v>45587</v>
      </c>
      <c r="B256" s="48" t="s">
        <v>1336</v>
      </c>
      <c r="C256" s="48" t="s">
        <v>725</v>
      </c>
      <c r="D256" s="50" t="str">
        <f>_xlfn.XLOOKUP(J256,'Store Code'!B:B,'Store Code'!A:A)</f>
        <v>RASTA PETH</v>
      </c>
      <c r="E256" s="48" t="s">
        <v>441</v>
      </c>
      <c r="F256" s="48">
        <v>150000</v>
      </c>
      <c r="G256" s="48" t="s">
        <v>738</v>
      </c>
      <c r="H256" s="48" t="s">
        <v>721</v>
      </c>
      <c r="I256" s="48" t="s">
        <v>722</v>
      </c>
      <c r="J256" s="48" t="s">
        <v>1716</v>
      </c>
      <c r="K256" s="54" t="s">
        <v>1722</v>
      </c>
      <c r="L256" s="54">
        <v>100276</v>
      </c>
    </row>
    <row r="257" spans="1:12">
      <c r="A257" s="53">
        <v>45588</v>
      </c>
      <c r="B257" s="48" t="s">
        <v>1338</v>
      </c>
      <c r="C257" s="48" t="s">
        <v>736</v>
      </c>
      <c r="D257" s="50" t="str">
        <f>_xlfn.XLOOKUP(J257,'Store Code'!B:B,'Store Code'!A:A)</f>
        <v>RASTA PETH</v>
      </c>
      <c r="E257" s="48" t="s">
        <v>1339</v>
      </c>
      <c r="F257" s="48">
        <v>35000</v>
      </c>
      <c r="G257" s="48" t="s">
        <v>738</v>
      </c>
      <c r="H257" s="48" t="s">
        <v>721</v>
      </c>
      <c r="I257" s="48" t="s">
        <v>722</v>
      </c>
      <c r="J257" s="48" t="s">
        <v>1716</v>
      </c>
      <c r="K257" s="54" t="s">
        <v>1722</v>
      </c>
      <c r="L257" s="54">
        <v>100301</v>
      </c>
    </row>
    <row r="258" spans="1:12">
      <c r="A258" s="53">
        <v>45589</v>
      </c>
      <c r="B258" s="48" t="s">
        <v>1341</v>
      </c>
      <c r="C258" s="48" t="s">
        <v>725</v>
      </c>
      <c r="D258" s="50" t="str">
        <f>_xlfn.XLOOKUP(J258,'Store Code'!B:B,'Store Code'!A:A)</f>
        <v>RASTA PETH</v>
      </c>
      <c r="E258" s="48" t="s">
        <v>883</v>
      </c>
      <c r="F258" s="48">
        <v>28300</v>
      </c>
      <c r="G258" s="48" t="s">
        <v>738</v>
      </c>
      <c r="H258" s="48" t="s">
        <v>721</v>
      </c>
      <c r="I258" s="48" t="s">
        <v>722</v>
      </c>
      <c r="J258" s="48" t="s">
        <v>1716</v>
      </c>
      <c r="K258" s="54" t="s">
        <v>1722</v>
      </c>
      <c r="L258" s="54">
        <v>100271</v>
      </c>
    </row>
    <row r="259" spans="1:12">
      <c r="A259" s="53">
        <v>45589</v>
      </c>
      <c r="B259" s="48" t="s">
        <v>1343</v>
      </c>
      <c r="C259" s="48" t="s">
        <v>725</v>
      </c>
      <c r="D259" s="50" t="str">
        <f>_xlfn.XLOOKUP(J259,'Store Code'!B:B,'Store Code'!A:A)</f>
        <v>RASTA PETH</v>
      </c>
      <c r="E259" s="48" t="s">
        <v>501</v>
      </c>
      <c r="F259" s="48">
        <v>15000</v>
      </c>
      <c r="G259" s="48" t="s">
        <v>738</v>
      </c>
      <c r="H259" s="48" t="s">
        <v>721</v>
      </c>
      <c r="I259" s="48" t="s">
        <v>722</v>
      </c>
      <c r="J259" s="48" t="s">
        <v>1716</v>
      </c>
      <c r="K259" s="54" t="s">
        <v>1722</v>
      </c>
      <c r="L259" s="54">
        <v>100282</v>
      </c>
    </row>
    <row r="260" spans="1:12">
      <c r="A260" s="53">
        <v>45589</v>
      </c>
      <c r="B260" s="48" t="s">
        <v>1345</v>
      </c>
      <c r="C260" s="48" t="s">
        <v>736</v>
      </c>
      <c r="D260" s="50" t="str">
        <f>_xlfn.XLOOKUP(J260,'Store Code'!B:B,'Store Code'!A:A)</f>
        <v>RASTA PETH</v>
      </c>
      <c r="E260" s="48" t="s">
        <v>1339</v>
      </c>
      <c r="F260" s="48">
        <v>5800</v>
      </c>
      <c r="G260" s="48" t="s">
        <v>738</v>
      </c>
      <c r="H260" s="48" t="s">
        <v>757</v>
      </c>
      <c r="I260" s="48" t="s">
        <v>722</v>
      </c>
      <c r="J260" s="48" t="s">
        <v>1716</v>
      </c>
      <c r="K260" s="54" t="s">
        <v>1722</v>
      </c>
      <c r="L260" s="54">
        <v>100274</v>
      </c>
    </row>
    <row r="261" spans="1:12">
      <c r="A261" s="53">
        <v>45589</v>
      </c>
      <c r="B261" s="48" t="s">
        <v>1347</v>
      </c>
      <c r="C261" s="48" t="s">
        <v>755</v>
      </c>
      <c r="D261" s="50" t="str">
        <f>_xlfn.XLOOKUP(J261,'Store Code'!B:B,'Store Code'!A:A)</f>
        <v>RASTA PETH</v>
      </c>
      <c r="E261" s="48" t="s">
        <v>940</v>
      </c>
      <c r="F261" s="48">
        <v>29500</v>
      </c>
      <c r="G261" s="48" t="s">
        <v>738</v>
      </c>
      <c r="H261" s="48" t="s">
        <v>721</v>
      </c>
      <c r="I261" s="48" t="s">
        <v>722</v>
      </c>
      <c r="J261" s="48" t="s">
        <v>1716</v>
      </c>
      <c r="K261" s="54" t="s">
        <v>1722</v>
      </c>
      <c r="L261" s="54">
        <v>100273</v>
      </c>
    </row>
    <row r="262" spans="1:12">
      <c r="A262" s="53">
        <v>45589</v>
      </c>
      <c r="B262" s="48" t="s">
        <v>1349</v>
      </c>
      <c r="C262" s="48" t="s">
        <v>725</v>
      </c>
      <c r="D262" s="50" t="str">
        <f>_xlfn.XLOOKUP(J262,'Store Code'!B:B,'Store Code'!A:A)</f>
        <v>RASTA PETH</v>
      </c>
      <c r="E262" s="48" t="s">
        <v>515</v>
      </c>
      <c r="F262" s="48">
        <v>42500</v>
      </c>
      <c r="G262" s="51" t="s">
        <v>733</v>
      </c>
      <c r="H262" s="48" t="s">
        <v>721</v>
      </c>
      <c r="I262" s="48" t="s">
        <v>722</v>
      </c>
      <c r="J262" s="48" t="s">
        <v>1716</v>
      </c>
      <c r="K262" s="54" t="s">
        <v>1722</v>
      </c>
      <c r="L262" s="54">
        <v>100272</v>
      </c>
    </row>
    <row r="263" spans="1:12">
      <c r="A263" s="53">
        <v>45589</v>
      </c>
      <c r="B263" s="48" t="s">
        <v>1351</v>
      </c>
      <c r="C263" s="48" t="s">
        <v>736</v>
      </c>
      <c r="D263" s="50" t="str">
        <f>_xlfn.XLOOKUP(J263,'Store Code'!B:B,'Store Code'!A:A)</f>
        <v>WAKAD</v>
      </c>
      <c r="E263" s="48" t="s">
        <v>1352</v>
      </c>
      <c r="F263" s="48">
        <v>52000</v>
      </c>
      <c r="G263" s="48" t="s">
        <v>738</v>
      </c>
      <c r="H263" s="48" t="s">
        <v>721</v>
      </c>
      <c r="I263" s="48" t="s">
        <v>722</v>
      </c>
      <c r="J263" s="48" t="s">
        <v>1718</v>
      </c>
      <c r="K263" s="54" t="s">
        <v>1722</v>
      </c>
      <c r="L263" s="54">
        <v>100257</v>
      </c>
    </row>
    <row r="264" spans="1:12">
      <c r="A264" s="53">
        <v>45589</v>
      </c>
      <c r="B264" s="48" t="s">
        <v>1354</v>
      </c>
      <c r="C264" s="48" t="s">
        <v>725</v>
      </c>
      <c r="D264" s="50" t="str">
        <f>_xlfn.XLOOKUP(J264,'Store Code'!B:B,'Store Code'!A:A)</f>
        <v>RASTA PETH</v>
      </c>
      <c r="E264" s="48" t="s">
        <v>356</v>
      </c>
      <c r="F264" s="48">
        <v>39000</v>
      </c>
      <c r="G264" s="51" t="s">
        <v>733</v>
      </c>
      <c r="H264" s="48" t="s">
        <v>721</v>
      </c>
      <c r="I264" s="48" t="s">
        <v>722</v>
      </c>
      <c r="J264" s="48" t="s">
        <v>1716</v>
      </c>
      <c r="K264" s="54" t="s">
        <v>1722</v>
      </c>
      <c r="L264" s="54">
        <v>100270</v>
      </c>
    </row>
    <row r="265" spans="1:12">
      <c r="A265" s="53">
        <v>45590</v>
      </c>
      <c r="B265" s="48" t="s">
        <v>1356</v>
      </c>
      <c r="C265" s="48" t="s">
        <v>725</v>
      </c>
      <c r="D265" s="50" t="str">
        <f>_xlfn.XLOOKUP(J265,'Store Code'!B:B,'Store Code'!A:A)</f>
        <v>RASTA PETH</v>
      </c>
      <c r="E265" s="48" t="s">
        <v>292</v>
      </c>
      <c r="F265" s="48">
        <v>27000</v>
      </c>
      <c r="G265" s="48" t="s">
        <v>738</v>
      </c>
      <c r="H265" s="48" t="s">
        <v>721</v>
      </c>
      <c r="I265" s="48" t="s">
        <v>722</v>
      </c>
      <c r="J265" s="48" t="s">
        <v>1716</v>
      </c>
      <c r="K265" s="54" t="s">
        <v>1722</v>
      </c>
      <c r="L265" s="54">
        <v>100278</v>
      </c>
    </row>
    <row r="266" spans="1:12">
      <c r="A266" s="53">
        <v>45590</v>
      </c>
      <c r="B266" s="48" t="s">
        <v>1358</v>
      </c>
      <c r="C266" s="48" t="s">
        <v>725</v>
      </c>
      <c r="D266" s="50" t="str">
        <f>_xlfn.XLOOKUP(J266,'Store Code'!B:B,'Store Code'!A:A)</f>
        <v>RASTA PETH</v>
      </c>
      <c r="E266" s="48" t="s">
        <v>609</v>
      </c>
      <c r="F266" s="48">
        <v>38500</v>
      </c>
      <c r="G266" s="48" t="s">
        <v>738</v>
      </c>
      <c r="H266" s="48" t="s">
        <v>721</v>
      </c>
      <c r="I266" s="48" t="s">
        <v>722</v>
      </c>
      <c r="J266" s="48" t="s">
        <v>1716</v>
      </c>
      <c r="K266" s="54" t="s">
        <v>1722</v>
      </c>
      <c r="L266" s="54">
        <v>100288</v>
      </c>
    </row>
    <row r="267" spans="1:12">
      <c r="A267" s="53">
        <v>45590</v>
      </c>
      <c r="B267" s="48" t="s">
        <v>1360</v>
      </c>
      <c r="C267" s="48" t="s">
        <v>769</v>
      </c>
      <c r="D267" s="50" t="str">
        <f>_xlfn.XLOOKUP(J267,'Store Code'!B:B,'Store Code'!A:A)</f>
        <v>RASTA PETH</v>
      </c>
      <c r="E267" s="48" t="s">
        <v>891</v>
      </c>
      <c r="F267" s="48">
        <v>37300</v>
      </c>
      <c r="G267" s="48" t="s">
        <v>738</v>
      </c>
      <c r="H267" s="48" t="s">
        <v>721</v>
      </c>
      <c r="I267" s="48" t="s">
        <v>722</v>
      </c>
      <c r="J267" s="48" t="s">
        <v>1716</v>
      </c>
      <c r="K267" s="54" t="s">
        <v>1722</v>
      </c>
      <c r="L267" s="54">
        <v>100283</v>
      </c>
    </row>
    <row r="268" spans="1:12">
      <c r="A268" s="53">
        <v>45590</v>
      </c>
      <c r="B268" s="48" t="s">
        <v>1362</v>
      </c>
      <c r="C268" s="48" t="s">
        <v>725</v>
      </c>
      <c r="D268" s="50" t="str">
        <f>_xlfn.XLOOKUP(J268,'Store Code'!B:B,'Store Code'!A:A)</f>
        <v>RASTA PETH</v>
      </c>
      <c r="E268" s="48" t="s">
        <v>990</v>
      </c>
      <c r="F268" s="48">
        <v>15000</v>
      </c>
      <c r="G268" s="48" t="s">
        <v>738</v>
      </c>
      <c r="H268" s="48" t="s">
        <v>721</v>
      </c>
      <c r="I268" s="48" t="s">
        <v>722</v>
      </c>
      <c r="J268" s="48" t="s">
        <v>1716</v>
      </c>
      <c r="K268" s="54" t="s">
        <v>1722</v>
      </c>
      <c r="L268" s="54">
        <v>100281</v>
      </c>
    </row>
    <row r="269" spans="1:12">
      <c r="A269" s="53">
        <v>45590</v>
      </c>
      <c r="B269" s="48" t="s">
        <v>1364</v>
      </c>
      <c r="C269" s="48" t="s">
        <v>732</v>
      </c>
      <c r="D269" s="50" t="str">
        <f>_xlfn.XLOOKUP(J269,'Store Code'!B:B,'Store Code'!A:A)</f>
        <v>RASTA PETH</v>
      </c>
      <c r="E269" s="48" t="s">
        <v>1365</v>
      </c>
      <c r="F269" s="48">
        <v>193000</v>
      </c>
      <c r="G269" s="48" t="s">
        <v>738</v>
      </c>
      <c r="H269" s="48" t="s">
        <v>721</v>
      </c>
      <c r="I269" s="48" t="s">
        <v>722</v>
      </c>
      <c r="J269" s="48" t="s">
        <v>1716</v>
      </c>
      <c r="K269" s="54" t="s">
        <v>1722</v>
      </c>
      <c r="L269" s="54">
        <v>100285</v>
      </c>
    </row>
    <row r="270" spans="1:12">
      <c r="A270" s="53">
        <v>45590</v>
      </c>
      <c r="B270" s="48" t="s">
        <v>1367</v>
      </c>
      <c r="C270" s="48" t="s">
        <v>743</v>
      </c>
      <c r="D270" s="50" t="str">
        <f>_xlfn.XLOOKUP(J270,'Store Code'!B:B,'Store Code'!A:A)</f>
        <v>RASTA PETH</v>
      </c>
      <c r="E270" s="48" t="s">
        <v>684</v>
      </c>
      <c r="F270" s="48">
        <v>53500</v>
      </c>
      <c r="G270" s="48" t="s">
        <v>738</v>
      </c>
      <c r="H270" s="48" t="s">
        <v>721</v>
      </c>
      <c r="I270" s="48" t="s">
        <v>722</v>
      </c>
      <c r="J270" s="48" t="s">
        <v>1716</v>
      </c>
      <c r="K270" s="54" t="s">
        <v>1722</v>
      </c>
      <c r="L270" s="54">
        <v>100277</v>
      </c>
    </row>
    <row r="271" spans="1:12">
      <c r="A271" s="53">
        <v>45590</v>
      </c>
      <c r="B271" s="48" t="s">
        <v>1369</v>
      </c>
      <c r="C271" s="48" t="s">
        <v>755</v>
      </c>
      <c r="D271" s="50" t="str">
        <f>_xlfn.XLOOKUP(J271,'Store Code'!B:B,'Store Code'!A:A)</f>
        <v>RASTA PETH</v>
      </c>
      <c r="E271" s="48" t="s">
        <v>943</v>
      </c>
      <c r="F271" s="48">
        <v>100000</v>
      </c>
      <c r="G271" s="48" t="s">
        <v>738</v>
      </c>
      <c r="H271" s="48" t="s">
        <v>721</v>
      </c>
      <c r="I271" s="48" t="s">
        <v>722</v>
      </c>
      <c r="J271" s="48" t="s">
        <v>1716</v>
      </c>
      <c r="K271" s="54" t="s">
        <v>1722</v>
      </c>
      <c r="L271" s="54">
        <v>100286</v>
      </c>
    </row>
    <row r="272" spans="1:12">
      <c r="A272" s="53">
        <v>45590</v>
      </c>
      <c r="B272" s="48" t="s">
        <v>1371</v>
      </c>
      <c r="C272" s="48" t="s">
        <v>725</v>
      </c>
      <c r="D272" s="50" t="str">
        <f>_xlfn.XLOOKUP(J272,'Store Code'!B:B,'Store Code'!A:A)</f>
        <v>RASTA PETH</v>
      </c>
      <c r="E272" s="48" t="s">
        <v>441</v>
      </c>
      <c r="F272" s="48">
        <v>34000</v>
      </c>
      <c r="G272" s="48" t="s">
        <v>738</v>
      </c>
      <c r="H272" s="48" t="s">
        <v>721</v>
      </c>
      <c r="I272" s="48" t="s">
        <v>722</v>
      </c>
      <c r="J272" s="48" t="s">
        <v>1716</v>
      </c>
      <c r="K272" s="54" t="s">
        <v>1722</v>
      </c>
      <c r="L272" s="54">
        <v>100289</v>
      </c>
    </row>
    <row r="273" spans="1:12">
      <c r="A273" s="53">
        <v>45590</v>
      </c>
      <c r="B273" s="48" t="s">
        <v>1373</v>
      </c>
      <c r="C273" s="48" t="s">
        <v>725</v>
      </c>
      <c r="D273" s="50" t="str">
        <f>_xlfn.XLOOKUP(J273,'Store Code'!B:B,'Store Code'!A:A)</f>
        <v>RASTA PETH</v>
      </c>
      <c r="E273" s="48" t="s">
        <v>292</v>
      </c>
      <c r="F273" s="48">
        <v>81000</v>
      </c>
      <c r="G273" s="48" t="s">
        <v>738</v>
      </c>
      <c r="H273" s="48" t="s">
        <v>721</v>
      </c>
      <c r="I273" s="48" t="s">
        <v>722</v>
      </c>
      <c r="J273" s="48" t="s">
        <v>1716</v>
      </c>
      <c r="K273" s="54" t="s">
        <v>1722</v>
      </c>
      <c r="L273" s="54">
        <v>100279</v>
      </c>
    </row>
    <row r="274" spans="1:12">
      <c r="A274" s="53">
        <v>45590</v>
      </c>
      <c r="B274" s="48" t="s">
        <v>1375</v>
      </c>
      <c r="C274" s="48" t="s">
        <v>725</v>
      </c>
      <c r="D274" s="50" t="str">
        <f>_xlfn.XLOOKUP(J274,'Store Code'!B:B,'Store Code'!A:A)</f>
        <v>RASTA PETH</v>
      </c>
      <c r="E274" s="48" t="s">
        <v>292</v>
      </c>
      <c r="F274" s="48">
        <v>20000</v>
      </c>
      <c r="G274" s="51" t="s">
        <v>733</v>
      </c>
      <c r="H274" s="48" t="s">
        <v>721</v>
      </c>
      <c r="I274" s="48" t="s">
        <v>722</v>
      </c>
      <c r="J274" s="48" t="s">
        <v>1716</v>
      </c>
      <c r="K274" s="54" t="s">
        <v>1722</v>
      </c>
      <c r="L274" s="54">
        <v>100287</v>
      </c>
    </row>
    <row r="275" spans="1:12">
      <c r="A275" s="53">
        <v>45590</v>
      </c>
      <c r="B275" s="48" t="s">
        <v>1377</v>
      </c>
      <c r="C275" s="48" t="s">
        <v>736</v>
      </c>
      <c r="D275" s="50" t="str">
        <f>_xlfn.XLOOKUP(J275,'Store Code'!B:B,'Store Code'!A:A)</f>
        <v>RASTA PETH</v>
      </c>
      <c r="E275" s="48" t="s">
        <v>224</v>
      </c>
      <c r="F275" s="48">
        <v>23800</v>
      </c>
      <c r="G275" s="48" t="s">
        <v>738</v>
      </c>
      <c r="H275" s="48" t="s">
        <v>721</v>
      </c>
      <c r="I275" s="48" t="s">
        <v>722</v>
      </c>
      <c r="J275" s="48" t="s">
        <v>1716</v>
      </c>
      <c r="K275" s="54" t="s">
        <v>1722</v>
      </c>
      <c r="L275" s="54">
        <v>100275</v>
      </c>
    </row>
    <row r="276" spans="1:12">
      <c r="A276" s="53">
        <v>45590</v>
      </c>
      <c r="B276" s="48" t="s">
        <v>1379</v>
      </c>
      <c r="C276" s="48" t="s">
        <v>769</v>
      </c>
      <c r="D276" s="50" t="str">
        <f>_xlfn.XLOOKUP(J276,'Store Code'!B:B,'Store Code'!A:A)</f>
        <v>RASTA PETH</v>
      </c>
      <c r="E276" s="48" t="s">
        <v>1380</v>
      </c>
      <c r="F276" s="48">
        <v>20600</v>
      </c>
      <c r="G276" s="48" t="s">
        <v>738</v>
      </c>
      <c r="H276" s="48" t="s">
        <v>721</v>
      </c>
      <c r="I276" s="48" t="s">
        <v>722</v>
      </c>
      <c r="J276" s="48" t="s">
        <v>1716</v>
      </c>
      <c r="K276" s="54" t="s">
        <v>1722</v>
      </c>
      <c r="L276" s="54">
        <v>100284</v>
      </c>
    </row>
    <row r="277" spans="1:12">
      <c r="A277" s="53">
        <v>45590</v>
      </c>
      <c r="B277" s="48" t="s">
        <v>1382</v>
      </c>
      <c r="C277" s="48" t="s">
        <v>725</v>
      </c>
      <c r="D277" s="50" t="str">
        <f>_xlfn.XLOOKUP(J277,'Store Code'!B:B,'Store Code'!A:A)</f>
        <v>RASTA PETH</v>
      </c>
      <c r="E277" s="48" t="s">
        <v>800</v>
      </c>
      <c r="F277" s="48">
        <v>65500</v>
      </c>
      <c r="G277" s="48" t="s">
        <v>738</v>
      </c>
      <c r="H277" s="48" t="s">
        <v>721</v>
      </c>
      <c r="I277" s="48" t="s">
        <v>722</v>
      </c>
      <c r="J277" s="48" t="s">
        <v>1716</v>
      </c>
      <c r="K277" s="54" t="s">
        <v>1722</v>
      </c>
      <c r="L277" s="54">
        <v>100280</v>
      </c>
    </row>
    <row r="278" spans="1:12">
      <c r="A278" s="53">
        <v>45591</v>
      </c>
      <c r="B278" s="48" t="s">
        <v>1384</v>
      </c>
      <c r="C278" s="48" t="s">
        <v>732</v>
      </c>
      <c r="D278" s="50" t="str">
        <f>_xlfn.XLOOKUP(J278,'Store Code'!B:B,'Store Code'!A:A)</f>
        <v>WAKAD</v>
      </c>
      <c r="E278" s="48" t="s">
        <v>694</v>
      </c>
      <c r="F278" s="48">
        <v>20600</v>
      </c>
      <c r="G278" s="48" t="s">
        <v>720</v>
      </c>
      <c r="H278" s="48" t="s">
        <v>721</v>
      </c>
      <c r="I278" s="48" t="s">
        <v>722</v>
      </c>
      <c r="J278" s="48" t="s">
        <v>1718</v>
      </c>
      <c r="K278" s="54" t="s">
        <v>1722</v>
      </c>
      <c r="L278" s="54">
        <v>100289</v>
      </c>
    </row>
    <row r="279" spans="1:12">
      <c r="A279" s="53">
        <v>45591</v>
      </c>
      <c r="B279" s="48" t="s">
        <v>1386</v>
      </c>
      <c r="C279" s="48" t="s">
        <v>732</v>
      </c>
      <c r="D279" s="50" t="str">
        <f>_xlfn.XLOOKUP(J279,'Store Code'!B:B,'Store Code'!A:A)</f>
        <v>RASTA PETH</v>
      </c>
      <c r="E279" s="48" t="s">
        <v>526</v>
      </c>
      <c r="F279" s="48">
        <v>15000</v>
      </c>
      <c r="G279" s="48" t="s">
        <v>738</v>
      </c>
      <c r="H279" s="48" t="s">
        <v>721</v>
      </c>
      <c r="I279" s="48" t="s">
        <v>722</v>
      </c>
      <c r="J279" s="48" t="s">
        <v>1716</v>
      </c>
      <c r="K279" s="54" t="s">
        <v>1722</v>
      </c>
      <c r="L279" s="54">
        <v>100291</v>
      </c>
    </row>
    <row r="280" spans="1:12">
      <c r="A280" s="53">
        <v>45592</v>
      </c>
      <c r="B280" s="48" t="s">
        <v>1388</v>
      </c>
      <c r="C280" s="48" t="s">
        <v>769</v>
      </c>
      <c r="D280" s="50" t="str">
        <f>_xlfn.XLOOKUP(J280,'Store Code'!B:B,'Store Code'!A:A)</f>
        <v>KHARADI</v>
      </c>
      <c r="E280" s="48" t="s">
        <v>1389</v>
      </c>
      <c r="F280" s="48">
        <v>51000</v>
      </c>
      <c r="G280" s="48" t="s">
        <v>1006</v>
      </c>
      <c r="H280" s="48" t="s">
        <v>721</v>
      </c>
      <c r="I280" s="48" t="s">
        <v>722</v>
      </c>
      <c r="J280" s="48" t="s">
        <v>1717</v>
      </c>
      <c r="K280" s="54" t="s">
        <v>1722</v>
      </c>
      <c r="L280" s="54">
        <v>100276</v>
      </c>
    </row>
    <row r="281" spans="1:12">
      <c r="A281" s="53">
        <v>45592</v>
      </c>
      <c r="B281" s="48" t="s">
        <v>1391</v>
      </c>
      <c r="C281" s="48" t="s">
        <v>773</v>
      </c>
      <c r="D281" s="50" t="str">
        <f>_xlfn.XLOOKUP(J281,'Store Code'!B:B,'Store Code'!A:A)</f>
        <v>KHARADI</v>
      </c>
      <c r="E281" s="48" t="s">
        <v>1392</v>
      </c>
      <c r="F281" s="48">
        <v>78500</v>
      </c>
      <c r="G281" s="51" t="s">
        <v>733</v>
      </c>
      <c r="H281" s="48" t="s">
        <v>757</v>
      </c>
      <c r="I281" s="48" t="s">
        <v>722</v>
      </c>
      <c r="J281" s="48" t="s">
        <v>1717</v>
      </c>
      <c r="K281" s="54" t="s">
        <v>1722</v>
      </c>
      <c r="L281" s="54">
        <v>100275</v>
      </c>
    </row>
    <row r="282" spans="1:12">
      <c r="A282" s="53">
        <v>45594</v>
      </c>
      <c r="B282" s="48" t="s">
        <v>1394</v>
      </c>
      <c r="C282" s="48" t="s">
        <v>725</v>
      </c>
      <c r="D282" s="50" t="str">
        <f>_xlfn.XLOOKUP(J282,'Store Code'!B:B,'Store Code'!A:A)</f>
        <v>RASTA PETH</v>
      </c>
      <c r="E282" s="48" t="s">
        <v>800</v>
      </c>
      <c r="F282" s="48">
        <v>16000</v>
      </c>
      <c r="G282" s="51" t="s">
        <v>733</v>
      </c>
      <c r="H282" s="48" t="s">
        <v>721</v>
      </c>
      <c r="I282" s="48" t="s">
        <v>722</v>
      </c>
      <c r="J282" s="48" t="s">
        <v>1716</v>
      </c>
      <c r="K282" s="54" t="s">
        <v>1722</v>
      </c>
      <c r="L282" s="54">
        <v>100293</v>
      </c>
    </row>
    <row r="283" spans="1:12">
      <c r="A283" s="53">
        <v>45595</v>
      </c>
      <c r="B283" s="48" t="s">
        <v>1396</v>
      </c>
      <c r="C283" s="48" t="s">
        <v>732</v>
      </c>
      <c r="D283" s="50" t="str">
        <f>_xlfn.XLOOKUP(J283,'Store Code'!B:B,'Store Code'!A:A)</f>
        <v>RASTA PETH</v>
      </c>
      <c r="E283" s="48" t="s">
        <v>694</v>
      </c>
      <c r="F283" s="48">
        <v>70000</v>
      </c>
      <c r="G283" s="51" t="s">
        <v>733</v>
      </c>
      <c r="H283" s="48" t="s">
        <v>757</v>
      </c>
      <c r="I283" s="48" t="s">
        <v>722</v>
      </c>
      <c r="J283" s="48" t="s">
        <v>1716</v>
      </c>
      <c r="K283" s="54" t="s">
        <v>1722</v>
      </c>
      <c r="L283" s="54">
        <v>100296</v>
      </c>
    </row>
    <row r="284" spans="1:12">
      <c r="A284" s="53">
        <v>45595</v>
      </c>
      <c r="B284" s="48" t="s">
        <v>1398</v>
      </c>
      <c r="C284" s="48" t="s">
        <v>781</v>
      </c>
      <c r="D284" s="50" t="str">
        <f>_xlfn.XLOOKUP(J284,'Store Code'!B:B,'Store Code'!A:A)</f>
        <v>WAKAD</v>
      </c>
      <c r="E284" s="48" t="s">
        <v>1399</v>
      </c>
      <c r="F284" s="48">
        <v>22000</v>
      </c>
      <c r="G284" s="51" t="s">
        <v>733</v>
      </c>
      <c r="H284" s="48" t="s">
        <v>721</v>
      </c>
      <c r="I284" s="48" t="s">
        <v>722</v>
      </c>
      <c r="J284" s="48" t="s">
        <v>1718</v>
      </c>
      <c r="K284" s="54" t="s">
        <v>1722</v>
      </c>
      <c r="L284" s="54">
        <v>100293</v>
      </c>
    </row>
    <row r="285" spans="1:12">
      <c r="A285" s="53">
        <v>45596</v>
      </c>
      <c r="B285" s="48" t="s">
        <v>1401</v>
      </c>
      <c r="C285" s="48" t="s">
        <v>773</v>
      </c>
      <c r="D285" s="50" t="str">
        <f>_xlfn.XLOOKUP(J285,'Store Code'!B:B,'Store Code'!A:A)</f>
        <v>RASTA PETH</v>
      </c>
      <c r="E285" s="48" t="s">
        <v>1392</v>
      </c>
      <c r="F285" s="48">
        <v>39000</v>
      </c>
      <c r="G285" s="48" t="s">
        <v>770</v>
      </c>
      <c r="H285" s="48" t="s">
        <v>721</v>
      </c>
      <c r="I285" s="48" t="s">
        <v>722</v>
      </c>
      <c r="J285" s="48" t="s">
        <v>1716</v>
      </c>
      <c r="K285" s="54" t="s">
        <v>1722</v>
      </c>
      <c r="L285" s="54">
        <v>100298</v>
      </c>
    </row>
    <row r="286" spans="1:12">
      <c r="A286" s="52">
        <v>45597</v>
      </c>
      <c r="B286" s="48" t="s">
        <v>1403</v>
      </c>
      <c r="C286" s="48" t="s">
        <v>725</v>
      </c>
      <c r="D286" s="50" t="str">
        <f>_xlfn.XLOOKUP(J286,'Store Code'!B:B,'Store Code'!A:A)</f>
        <v>KHARADI</v>
      </c>
      <c r="E286" s="48" t="s">
        <v>825</v>
      </c>
      <c r="F286" s="48">
        <v>40000</v>
      </c>
      <c r="G286" s="51" t="s">
        <v>733</v>
      </c>
      <c r="H286" s="48" t="s">
        <v>721</v>
      </c>
      <c r="I286" s="48" t="s">
        <v>722</v>
      </c>
      <c r="J286" s="48" t="s">
        <v>1717</v>
      </c>
      <c r="K286" s="54" t="s">
        <v>1722</v>
      </c>
      <c r="L286" s="54">
        <v>100302</v>
      </c>
    </row>
    <row r="287" spans="1:12">
      <c r="A287" s="52">
        <v>45598</v>
      </c>
      <c r="B287" s="48" t="s">
        <v>1405</v>
      </c>
      <c r="C287" s="48" t="s">
        <v>769</v>
      </c>
      <c r="D287" s="50" t="str">
        <f>_xlfn.XLOOKUP(J287,'Store Code'!B:B,'Store Code'!A:A)</f>
        <v>RASTA PETH</v>
      </c>
      <c r="E287" s="48" t="s">
        <v>1406</v>
      </c>
      <c r="F287" s="48">
        <v>24000</v>
      </c>
      <c r="G287" s="48" t="s">
        <v>738</v>
      </c>
      <c r="H287" s="48" t="s">
        <v>721</v>
      </c>
      <c r="I287" s="48" t="s">
        <v>722</v>
      </c>
      <c r="J287" s="48" t="s">
        <v>1716</v>
      </c>
      <c r="K287" s="54" t="s">
        <v>1722</v>
      </c>
      <c r="L287" s="54">
        <v>100302</v>
      </c>
    </row>
    <row r="288" spans="1:12">
      <c r="A288" s="52">
        <v>45598</v>
      </c>
      <c r="B288" s="48" t="s">
        <v>1408</v>
      </c>
      <c r="C288" s="48" t="s">
        <v>755</v>
      </c>
      <c r="D288" s="50" t="str">
        <f>_xlfn.XLOOKUP(J288,'Store Code'!B:B,'Store Code'!A:A)</f>
        <v>KHARADI</v>
      </c>
      <c r="E288" s="48" t="s">
        <v>940</v>
      </c>
      <c r="F288" s="48">
        <v>35000</v>
      </c>
      <c r="G288" s="51" t="s">
        <v>733</v>
      </c>
      <c r="H288" s="48" t="s">
        <v>721</v>
      </c>
      <c r="I288" s="48" t="s">
        <v>722</v>
      </c>
      <c r="J288" s="48" t="s">
        <v>1717</v>
      </c>
      <c r="K288" s="54" t="s">
        <v>1722</v>
      </c>
      <c r="L288" s="54">
        <v>100300</v>
      </c>
    </row>
    <row r="289" spans="1:12">
      <c r="A289" s="52">
        <v>45599</v>
      </c>
      <c r="B289" s="48" t="s">
        <v>1410</v>
      </c>
      <c r="C289" s="48" t="s">
        <v>773</v>
      </c>
      <c r="D289" s="50" t="str">
        <f>_xlfn.XLOOKUP(J289,'Store Code'!B:B,'Store Code'!A:A)</f>
        <v>WAKAD</v>
      </c>
      <c r="E289" s="48" t="s">
        <v>1411</v>
      </c>
      <c r="F289" s="48">
        <v>26000</v>
      </c>
      <c r="G289" s="48" t="s">
        <v>738</v>
      </c>
      <c r="H289" s="48" t="s">
        <v>721</v>
      </c>
      <c r="I289" s="48" t="s">
        <v>722</v>
      </c>
      <c r="J289" s="48" t="s">
        <v>1718</v>
      </c>
      <c r="K289" s="54" t="s">
        <v>1722</v>
      </c>
      <c r="L289" s="54">
        <v>100294</v>
      </c>
    </row>
    <row r="290" spans="1:12">
      <c r="A290" s="52">
        <v>45599</v>
      </c>
      <c r="B290" s="48" t="s">
        <v>1413</v>
      </c>
      <c r="C290" s="48" t="s">
        <v>278</v>
      </c>
      <c r="D290" s="50" t="str">
        <f>_xlfn.XLOOKUP(J290,'Store Code'!B:B,'Store Code'!A:A)</f>
        <v>KHARADI</v>
      </c>
      <c r="E290" s="48" t="s">
        <v>686</v>
      </c>
      <c r="F290" s="48">
        <v>130000</v>
      </c>
      <c r="G290" s="51" t="s">
        <v>733</v>
      </c>
      <c r="H290" s="48" t="s">
        <v>721</v>
      </c>
      <c r="I290" s="48" t="s">
        <v>722</v>
      </c>
      <c r="J290" s="48" t="s">
        <v>1717</v>
      </c>
      <c r="K290" s="54" t="s">
        <v>1722</v>
      </c>
      <c r="L290" s="54">
        <v>100301</v>
      </c>
    </row>
    <row r="291" spans="1:12">
      <c r="A291" s="52">
        <v>45600</v>
      </c>
      <c r="B291" s="48" t="s">
        <v>1415</v>
      </c>
      <c r="C291" s="48" t="s">
        <v>736</v>
      </c>
      <c r="D291" s="50" t="str">
        <f>_xlfn.XLOOKUP(J291,'Store Code'!B:B,'Store Code'!A:A)</f>
        <v>WAKAD</v>
      </c>
      <c r="E291" s="48" t="s">
        <v>224</v>
      </c>
      <c r="F291" s="48">
        <v>58000</v>
      </c>
      <c r="G291" s="51" t="s">
        <v>733</v>
      </c>
      <c r="H291" s="48" t="s">
        <v>721</v>
      </c>
      <c r="I291" s="48" t="s">
        <v>722</v>
      </c>
      <c r="J291" s="48" t="s">
        <v>1718</v>
      </c>
      <c r="K291" s="54" t="s">
        <v>1722</v>
      </c>
      <c r="L291" s="54">
        <v>100295</v>
      </c>
    </row>
    <row r="292" spans="1:12">
      <c r="A292" s="52">
        <v>45600</v>
      </c>
      <c r="B292" s="48" t="s">
        <v>1417</v>
      </c>
      <c r="C292" s="48" t="s">
        <v>736</v>
      </c>
      <c r="D292" s="50" t="str">
        <f>_xlfn.XLOOKUP(J292,'Store Code'!B:B,'Store Code'!A:A)</f>
        <v>KHARADI</v>
      </c>
      <c r="E292" s="48" t="s">
        <v>853</v>
      </c>
      <c r="F292" s="48">
        <v>27000</v>
      </c>
      <c r="G292" s="48" t="s">
        <v>770</v>
      </c>
      <c r="H292" s="48" t="s">
        <v>721</v>
      </c>
      <c r="I292" s="48" t="s">
        <v>722</v>
      </c>
      <c r="J292" s="48" t="s">
        <v>1717</v>
      </c>
      <c r="K292" s="54" t="s">
        <v>1722</v>
      </c>
      <c r="L292" s="54">
        <v>100303</v>
      </c>
    </row>
    <row r="293" spans="1:12">
      <c r="A293" s="52">
        <v>45600</v>
      </c>
      <c r="B293" s="48" t="s">
        <v>1419</v>
      </c>
      <c r="C293" s="48" t="s">
        <v>769</v>
      </c>
      <c r="D293" s="50" t="str">
        <f>_xlfn.XLOOKUP(J293,'Store Code'!B:B,'Store Code'!A:A)</f>
        <v>RASTA PETH</v>
      </c>
      <c r="E293" s="48" t="s">
        <v>433</v>
      </c>
      <c r="F293" s="48">
        <v>62000</v>
      </c>
      <c r="G293" s="51" t="s">
        <v>733</v>
      </c>
      <c r="H293" s="48" t="s">
        <v>721</v>
      </c>
      <c r="I293" s="48" t="s">
        <v>722</v>
      </c>
      <c r="J293" s="48" t="s">
        <v>1716</v>
      </c>
      <c r="K293" s="54" t="s">
        <v>1722</v>
      </c>
      <c r="L293" s="54">
        <v>100303</v>
      </c>
    </row>
    <row r="294" spans="1:12">
      <c r="A294" s="52">
        <v>45601</v>
      </c>
      <c r="B294" s="48" t="s">
        <v>1421</v>
      </c>
      <c r="C294" s="48" t="s">
        <v>736</v>
      </c>
      <c r="D294" s="50" t="str">
        <f>_xlfn.XLOOKUP(J294,'Store Code'!B:B,'Store Code'!A:A)</f>
        <v>RASTA PETH</v>
      </c>
      <c r="E294" s="48" t="s">
        <v>1422</v>
      </c>
      <c r="F294" s="48">
        <v>18500</v>
      </c>
      <c r="G294" s="51" t="s">
        <v>733</v>
      </c>
      <c r="H294" s="48" t="s">
        <v>721</v>
      </c>
      <c r="I294" s="48" t="s">
        <v>722</v>
      </c>
      <c r="J294" s="48" t="s">
        <v>1716</v>
      </c>
      <c r="K294" s="54" t="s">
        <v>1722</v>
      </c>
      <c r="L294" s="54">
        <v>100312</v>
      </c>
    </row>
    <row r="295" spans="1:12">
      <c r="A295" s="52">
        <v>45601</v>
      </c>
      <c r="B295" s="48" t="s">
        <v>1424</v>
      </c>
      <c r="C295" s="48" t="s">
        <v>769</v>
      </c>
      <c r="D295" s="50" t="str">
        <f>_xlfn.XLOOKUP(J295,'Store Code'!B:B,'Store Code'!A:A)</f>
        <v>RASTA PETH</v>
      </c>
      <c r="E295" s="48" t="s">
        <v>897</v>
      </c>
      <c r="F295" s="48">
        <v>31000</v>
      </c>
      <c r="G295" s="48" t="s">
        <v>738</v>
      </c>
      <c r="H295" s="48" t="s">
        <v>721</v>
      </c>
      <c r="I295" s="48" t="s">
        <v>722</v>
      </c>
      <c r="J295" s="48" t="s">
        <v>1716</v>
      </c>
      <c r="K295" s="54" t="s">
        <v>1722</v>
      </c>
      <c r="L295" s="54">
        <v>100306</v>
      </c>
    </row>
    <row r="296" spans="1:12">
      <c r="A296" s="52">
        <v>45601</v>
      </c>
      <c r="B296" s="48" t="s">
        <v>1426</v>
      </c>
      <c r="C296" s="48" t="s">
        <v>725</v>
      </c>
      <c r="D296" s="50" t="str">
        <f>_xlfn.XLOOKUP(J296,'Store Code'!B:B,'Store Code'!A:A)</f>
        <v>RASTA PETH</v>
      </c>
      <c r="E296" s="48" t="s">
        <v>515</v>
      </c>
      <c r="F296" s="48">
        <v>27000</v>
      </c>
      <c r="G296" s="48" t="s">
        <v>738</v>
      </c>
      <c r="H296" s="48" t="s">
        <v>721</v>
      </c>
      <c r="I296" s="48" t="s">
        <v>722</v>
      </c>
      <c r="J296" s="48" t="s">
        <v>1716</v>
      </c>
      <c r="K296" s="54" t="s">
        <v>1722</v>
      </c>
      <c r="L296" s="54">
        <v>100305</v>
      </c>
    </row>
    <row r="297" spans="1:12">
      <c r="A297" s="52">
        <v>45601</v>
      </c>
      <c r="B297" s="48" t="s">
        <v>1428</v>
      </c>
      <c r="C297" s="48" t="s">
        <v>725</v>
      </c>
      <c r="D297" s="50" t="str">
        <f>_xlfn.XLOOKUP(J297,'Store Code'!B:B,'Store Code'!A:A)</f>
        <v>RASTA PETH</v>
      </c>
      <c r="E297" s="48" t="s">
        <v>515</v>
      </c>
      <c r="F297" s="48">
        <v>36500</v>
      </c>
      <c r="G297" s="48" t="s">
        <v>738</v>
      </c>
      <c r="H297" s="48" t="s">
        <v>721</v>
      </c>
      <c r="I297" s="48" t="s">
        <v>722</v>
      </c>
      <c r="J297" s="48" t="s">
        <v>1716</v>
      </c>
      <c r="K297" s="54" t="s">
        <v>1722</v>
      </c>
      <c r="L297" s="54">
        <v>100307</v>
      </c>
    </row>
    <row r="298" spans="1:12">
      <c r="A298" s="52">
        <v>45601</v>
      </c>
      <c r="B298" s="48" t="s">
        <v>1430</v>
      </c>
      <c r="C298" s="48" t="s">
        <v>755</v>
      </c>
      <c r="D298" s="50" t="str">
        <f>_xlfn.XLOOKUP(J298,'Store Code'!B:B,'Store Code'!A:A)</f>
        <v>RASTA PETH</v>
      </c>
      <c r="E298" s="48" t="s">
        <v>862</v>
      </c>
      <c r="F298" s="48">
        <v>30500</v>
      </c>
      <c r="G298" s="51" t="s">
        <v>733</v>
      </c>
      <c r="H298" s="48" t="s">
        <v>721</v>
      </c>
      <c r="I298" s="48" t="s">
        <v>722</v>
      </c>
      <c r="J298" s="48" t="s">
        <v>1716</v>
      </c>
      <c r="K298" s="54" t="s">
        <v>1722</v>
      </c>
      <c r="L298" s="54">
        <v>100313</v>
      </c>
    </row>
    <row r="299" spans="1:12">
      <c r="A299" s="52">
        <v>45601</v>
      </c>
      <c r="B299" s="48" t="s">
        <v>1432</v>
      </c>
      <c r="C299" s="48" t="s">
        <v>736</v>
      </c>
      <c r="D299" s="50" t="str">
        <f>_xlfn.XLOOKUP(J299,'Store Code'!B:B,'Store Code'!A:A)</f>
        <v>RASTA PETH</v>
      </c>
      <c r="E299" s="48" t="s">
        <v>750</v>
      </c>
      <c r="F299" s="48">
        <v>35000</v>
      </c>
      <c r="G299" s="48" t="s">
        <v>738</v>
      </c>
      <c r="H299" s="48" t="s">
        <v>721</v>
      </c>
      <c r="I299" s="48" t="s">
        <v>722</v>
      </c>
      <c r="J299" s="48" t="s">
        <v>1716</v>
      </c>
      <c r="K299" s="54" t="s">
        <v>1722</v>
      </c>
      <c r="L299" s="54">
        <v>100309</v>
      </c>
    </row>
    <row r="300" spans="1:12">
      <c r="A300" s="52">
        <v>45601</v>
      </c>
      <c r="B300" s="48" t="s">
        <v>1434</v>
      </c>
      <c r="C300" s="48" t="s">
        <v>736</v>
      </c>
      <c r="D300" s="50" t="str">
        <f>_xlfn.XLOOKUP(J300,'Store Code'!B:B,'Store Code'!A:A)</f>
        <v>RASTA PETH</v>
      </c>
      <c r="E300" s="48" t="s">
        <v>224</v>
      </c>
      <c r="F300" s="48">
        <v>58000</v>
      </c>
      <c r="G300" s="48" t="s">
        <v>738</v>
      </c>
      <c r="H300" s="48" t="s">
        <v>721</v>
      </c>
      <c r="I300" s="48" t="s">
        <v>722</v>
      </c>
      <c r="J300" s="48" t="s">
        <v>1716</v>
      </c>
      <c r="K300" s="54" t="s">
        <v>1722</v>
      </c>
      <c r="L300" s="54">
        <v>100304</v>
      </c>
    </row>
    <row r="301" spans="1:12">
      <c r="A301" s="52">
        <v>45601</v>
      </c>
      <c r="B301" s="48" t="s">
        <v>1436</v>
      </c>
      <c r="C301" s="48" t="s">
        <v>725</v>
      </c>
      <c r="D301" s="50" t="str">
        <f>_xlfn.XLOOKUP(J301,'Store Code'!B:B,'Store Code'!A:A)</f>
        <v>RASTA PETH</v>
      </c>
      <c r="E301" s="48" t="s">
        <v>909</v>
      </c>
      <c r="F301" s="48">
        <v>130000</v>
      </c>
      <c r="G301" s="51" t="s">
        <v>733</v>
      </c>
      <c r="H301" s="48" t="s">
        <v>721</v>
      </c>
      <c r="I301" s="48" t="s">
        <v>722</v>
      </c>
      <c r="J301" s="48" t="s">
        <v>1716</v>
      </c>
      <c r="K301" s="54" t="s">
        <v>1722</v>
      </c>
      <c r="L301" s="54">
        <v>100308</v>
      </c>
    </row>
    <row r="302" spans="1:12">
      <c r="A302" s="52">
        <v>45603</v>
      </c>
      <c r="B302" s="48" t="s">
        <v>1438</v>
      </c>
      <c r="C302" s="48" t="s">
        <v>781</v>
      </c>
      <c r="D302" s="50" t="str">
        <f>_xlfn.XLOOKUP(J302,'Store Code'!B:B,'Store Code'!A:A)</f>
        <v>KHARADI</v>
      </c>
      <c r="E302" s="48" t="s">
        <v>1439</v>
      </c>
      <c r="F302" s="48">
        <v>38200</v>
      </c>
      <c r="G302" s="51" t="s">
        <v>733</v>
      </c>
      <c r="H302" s="48" t="s">
        <v>721</v>
      </c>
      <c r="I302" s="48" t="s">
        <v>722</v>
      </c>
      <c r="J302" s="48" t="s">
        <v>1717</v>
      </c>
      <c r="K302" s="54" t="s">
        <v>1722</v>
      </c>
      <c r="L302" s="54">
        <v>100313</v>
      </c>
    </row>
    <row r="303" spans="1:12">
      <c r="A303" s="52">
        <v>45604</v>
      </c>
      <c r="B303" s="48" t="s">
        <v>1441</v>
      </c>
      <c r="C303" s="48" t="s">
        <v>725</v>
      </c>
      <c r="D303" s="50" t="str">
        <f>_xlfn.XLOOKUP(J303,'Store Code'!B:B,'Store Code'!A:A)</f>
        <v>KHARADI</v>
      </c>
      <c r="E303" s="48" t="s">
        <v>292</v>
      </c>
      <c r="F303" s="48">
        <v>40000</v>
      </c>
      <c r="G303" s="51" t="s">
        <v>733</v>
      </c>
      <c r="H303" s="48" t="s">
        <v>757</v>
      </c>
      <c r="I303" s="48" t="s">
        <v>722</v>
      </c>
      <c r="J303" s="48" t="s">
        <v>1717</v>
      </c>
      <c r="K303" s="54" t="s">
        <v>1722</v>
      </c>
      <c r="L303" s="54">
        <v>100314</v>
      </c>
    </row>
    <row r="304" spans="1:12">
      <c r="A304" s="52">
        <v>45605</v>
      </c>
      <c r="B304" s="48" t="s">
        <v>1443</v>
      </c>
      <c r="C304" s="48" t="s">
        <v>725</v>
      </c>
      <c r="D304" s="50" t="str">
        <f>_xlfn.XLOOKUP(J304,'Store Code'!B:B,'Store Code'!A:A)</f>
        <v>RASTA PETH</v>
      </c>
      <c r="E304" s="48" t="s">
        <v>501</v>
      </c>
      <c r="F304" s="48">
        <v>20400</v>
      </c>
      <c r="G304" s="51" t="s">
        <v>733</v>
      </c>
      <c r="H304" s="48" t="s">
        <v>721</v>
      </c>
      <c r="I304" s="48" t="s">
        <v>722</v>
      </c>
      <c r="J304" s="48" t="s">
        <v>1716</v>
      </c>
      <c r="K304" s="54" t="s">
        <v>1722</v>
      </c>
      <c r="L304" s="54">
        <v>100321</v>
      </c>
    </row>
    <row r="305" spans="1:12">
      <c r="A305" s="52">
        <v>45605</v>
      </c>
      <c r="B305" s="48" t="s">
        <v>1445</v>
      </c>
      <c r="C305" s="48" t="s">
        <v>736</v>
      </c>
      <c r="D305" s="50" t="str">
        <f>_xlfn.XLOOKUP(J305,'Store Code'!B:B,'Store Code'!A:A)</f>
        <v>RASTA PETH</v>
      </c>
      <c r="E305" s="48" t="s">
        <v>1446</v>
      </c>
      <c r="F305" s="48">
        <v>28000</v>
      </c>
      <c r="G305" s="48" t="s">
        <v>738</v>
      </c>
      <c r="H305" s="48" t="s">
        <v>721</v>
      </c>
      <c r="I305" s="48" t="s">
        <v>722</v>
      </c>
      <c r="J305" s="48" t="s">
        <v>1716</v>
      </c>
      <c r="K305" s="54" t="s">
        <v>1722</v>
      </c>
      <c r="L305" s="54">
        <v>100325</v>
      </c>
    </row>
    <row r="306" spans="1:12">
      <c r="A306" s="52">
        <v>45605</v>
      </c>
      <c r="B306" s="48" t="s">
        <v>1448</v>
      </c>
      <c r="C306" s="48" t="s">
        <v>725</v>
      </c>
      <c r="D306" s="50" t="str">
        <f>_xlfn.XLOOKUP(J306,'Store Code'!B:B,'Store Code'!A:A)</f>
        <v>RASTA PETH</v>
      </c>
      <c r="E306" s="48" t="s">
        <v>292</v>
      </c>
      <c r="F306" s="48">
        <v>19500</v>
      </c>
      <c r="G306" s="48" t="s">
        <v>738</v>
      </c>
      <c r="H306" s="48" t="s">
        <v>721</v>
      </c>
      <c r="I306" s="48" t="s">
        <v>722</v>
      </c>
      <c r="J306" s="48" t="s">
        <v>1716</v>
      </c>
      <c r="K306" s="54" t="s">
        <v>1722</v>
      </c>
      <c r="L306" s="54">
        <v>100323</v>
      </c>
    </row>
    <row r="307" spans="1:12">
      <c r="A307" s="52">
        <v>45605</v>
      </c>
      <c r="B307" s="48" t="s">
        <v>1450</v>
      </c>
      <c r="C307" s="48" t="s">
        <v>725</v>
      </c>
      <c r="D307" s="50" t="str">
        <f>_xlfn.XLOOKUP(J307,'Store Code'!B:B,'Store Code'!A:A)</f>
        <v>RASTA PETH</v>
      </c>
      <c r="E307" s="48" t="s">
        <v>1032</v>
      </c>
      <c r="F307" s="48">
        <v>25000</v>
      </c>
      <c r="G307" s="51" t="s">
        <v>733</v>
      </c>
      <c r="H307" s="48" t="s">
        <v>721</v>
      </c>
      <c r="I307" s="48" t="s">
        <v>722</v>
      </c>
      <c r="J307" s="48" t="s">
        <v>1716</v>
      </c>
      <c r="K307" s="54" t="s">
        <v>1722</v>
      </c>
      <c r="L307" s="54">
        <v>100317</v>
      </c>
    </row>
    <row r="308" spans="1:12">
      <c r="A308" s="52">
        <v>45605</v>
      </c>
      <c r="B308" s="48" t="s">
        <v>1452</v>
      </c>
      <c r="C308" s="48" t="s">
        <v>725</v>
      </c>
      <c r="D308" s="50" t="str">
        <f>_xlfn.XLOOKUP(J308,'Store Code'!B:B,'Store Code'!A:A)</f>
        <v>RASTA PETH</v>
      </c>
      <c r="E308" s="48" t="s">
        <v>356</v>
      </c>
      <c r="F308" s="48">
        <v>35000</v>
      </c>
      <c r="G308" s="48" t="s">
        <v>738</v>
      </c>
      <c r="H308" s="48" t="s">
        <v>721</v>
      </c>
      <c r="I308" s="48" t="s">
        <v>722</v>
      </c>
      <c r="J308" s="48" t="s">
        <v>1716</v>
      </c>
      <c r="K308" s="54" t="s">
        <v>1722</v>
      </c>
      <c r="L308" s="54">
        <v>100316</v>
      </c>
    </row>
    <row r="309" spans="1:12">
      <c r="A309" s="52">
        <v>45605</v>
      </c>
      <c r="B309" s="48" t="s">
        <v>1454</v>
      </c>
      <c r="C309" s="48" t="s">
        <v>725</v>
      </c>
      <c r="D309" s="50" t="str">
        <f>_xlfn.XLOOKUP(J309,'Store Code'!B:B,'Store Code'!A:A)</f>
        <v>RASTA PETH</v>
      </c>
      <c r="E309" s="48" t="s">
        <v>292</v>
      </c>
      <c r="F309" s="48">
        <v>15000</v>
      </c>
      <c r="G309" s="48" t="s">
        <v>738</v>
      </c>
      <c r="H309" s="48" t="s">
        <v>721</v>
      </c>
      <c r="I309" s="48" t="s">
        <v>722</v>
      </c>
      <c r="J309" s="48" t="s">
        <v>1716</v>
      </c>
      <c r="K309" s="54" t="s">
        <v>1722</v>
      </c>
      <c r="L309" s="54">
        <v>100318</v>
      </c>
    </row>
    <row r="310" spans="1:12">
      <c r="A310" s="52">
        <v>45605</v>
      </c>
      <c r="B310" s="48" t="s">
        <v>1456</v>
      </c>
      <c r="C310" s="48" t="s">
        <v>769</v>
      </c>
      <c r="D310" s="50" t="str">
        <f>_xlfn.XLOOKUP(J310,'Store Code'!B:B,'Store Code'!A:A)</f>
        <v>RASTA PETH</v>
      </c>
      <c r="E310" s="48" t="s">
        <v>1457</v>
      </c>
      <c r="F310" s="48">
        <v>35000</v>
      </c>
      <c r="G310" s="48" t="s">
        <v>738</v>
      </c>
      <c r="H310" s="48" t="s">
        <v>721</v>
      </c>
      <c r="I310" s="48" t="s">
        <v>722</v>
      </c>
      <c r="J310" s="48" t="s">
        <v>1716</v>
      </c>
      <c r="K310" s="54" t="s">
        <v>1722</v>
      </c>
      <c r="L310" s="54">
        <v>100314</v>
      </c>
    </row>
    <row r="311" spans="1:12">
      <c r="A311" s="52">
        <v>45605</v>
      </c>
      <c r="B311" s="48" t="s">
        <v>1459</v>
      </c>
      <c r="C311" s="48" t="s">
        <v>725</v>
      </c>
      <c r="D311" s="50" t="str">
        <f>_xlfn.XLOOKUP(J311,'Store Code'!B:B,'Store Code'!A:A)</f>
        <v>RASTA PETH</v>
      </c>
      <c r="E311" s="48" t="s">
        <v>800</v>
      </c>
      <c r="F311" s="48">
        <v>110000</v>
      </c>
      <c r="G311" s="48" t="s">
        <v>738</v>
      </c>
      <c r="H311" s="48" t="s">
        <v>721</v>
      </c>
      <c r="I311" s="48" t="s">
        <v>722</v>
      </c>
      <c r="J311" s="48" t="s">
        <v>1716</v>
      </c>
      <c r="K311" s="54" t="s">
        <v>1722</v>
      </c>
      <c r="L311" s="54">
        <v>100322</v>
      </c>
    </row>
    <row r="312" spans="1:12">
      <c r="A312" s="52">
        <v>45605</v>
      </c>
      <c r="B312" s="48" t="s">
        <v>1461</v>
      </c>
      <c r="C312" s="48" t="s">
        <v>736</v>
      </c>
      <c r="D312" s="50" t="str">
        <f>_xlfn.XLOOKUP(J312,'Store Code'!B:B,'Store Code'!A:A)</f>
        <v>RASTA PETH</v>
      </c>
      <c r="E312" s="48" t="s">
        <v>224</v>
      </c>
      <c r="F312" s="48">
        <v>65000</v>
      </c>
      <c r="G312" s="48" t="s">
        <v>738</v>
      </c>
      <c r="H312" s="48" t="s">
        <v>721</v>
      </c>
      <c r="I312" s="48" t="s">
        <v>722</v>
      </c>
      <c r="J312" s="48" t="s">
        <v>1716</v>
      </c>
      <c r="K312" s="54" t="s">
        <v>1722</v>
      </c>
      <c r="L312" s="54">
        <v>100320</v>
      </c>
    </row>
    <row r="313" spans="1:12">
      <c r="A313" s="52">
        <v>45605</v>
      </c>
      <c r="B313" s="48" t="s">
        <v>1463</v>
      </c>
      <c r="C313" s="48" t="s">
        <v>725</v>
      </c>
      <c r="D313" s="50" t="str">
        <f>_xlfn.XLOOKUP(J313,'Store Code'!B:B,'Store Code'!A:A)</f>
        <v>RASTA PETH</v>
      </c>
      <c r="E313" s="48" t="s">
        <v>356</v>
      </c>
      <c r="F313" s="48">
        <v>46000</v>
      </c>
      <c r="G313" s="48" t="s">
        <v>738</v>
      </c>
      <c r="H313" s="48" t="s">
        <v>721</v>
      </c>
      <c r="I313" s="48" t="s">
        <v>722</v>
      </c>
      <c r="J313" s="48" t="s">
        <v>1716</v>
      </c>
      <c r="K313" s="54" t="s">
        <v>1722</v>
      </c>
      <c r="L313" s="54">
        <v>100315</v>
      </c>
    </row>
    <row r="314" spans="1:12">
      <c r="A314" s="52">
        <v>45605</v>
      </c>
      <c r="B314" s="48" t="s">
        <v>1465</v>
      </c>
      <c r="C314" s="48" t="s">
        <v>732</v>
      </c>
      <c r="D314" s="50" t="str">
        <f>_xlfn.XLOOKUP(J314,'Store Code'!B:B,'Store Code'!A:A)</f>
        <v>RASTA PETH</v>
      </c>
      <c r="E314" s="48" t="s">
        <v>1466</v>
      </c>
      <c r="F314" s="48">
        <v>13500</v>
      </c>
      <c r="G314" s="51" t="s">
        <v>733</v>
      </c>
      <c r="H314" s="48" t="s">
        <v>721</v>
      </c>
      <c r="I314" s="48" t="s">
        <v>722</v>
      </c>
      <c r="J314" s="48" t="s">
        <v>1716</v>
      </c>
      <c r="K314" s="54" t="s">
        <v>1722</v>
      </c>
      <c r="L314" s="54">
        <v>100319</v>
      </c>
    </row>
    <row r="315" spans="1:12">
      <c r="A315" s="52">
        <v>45605</v>
      </c>
      <c r="B315" s="48" t="s">
        <v>1468</v>
      </c>
      <c r="C315" s="48" t="s">
        <v>781</v>
      </c>
      <c r="D315" s="50" t="str">
        <f>_xlfn.XLOOKUP(J315,'Store Code'!B:B,'Store Code'!A:A)</f>
        <v>RASTA PETH</v>
      </c>
      <c r="E315" s="48" t="s">
        <v>326</v>
      </c>
      <c r="F315" s="48">
        <v>68000</v>
      </c>
      <c r="G315" s="48" t="s">
        <v>738</v>
      </c>
      <c r="H315" s="48" t="s">
        <v>721</v>
      </c>
      <c r="I315" s="48" t="s">
        <v>722</v>
      </c>
      <c r="J315" s="48" t="s">
        <v>1716</v>
      </c>
      <c r="K315" s="54" t="s">
        <v>1722</v>
      </c>
      <c r="L315" s="54">
        <v>100324</v>
      </c>
    </row>
    <row r="316" spans="1:12">
      <c r="A316" s="53">
        <v>45606</v>
      </c>
      <c r="B316" s="48" t="s">
        <v>1470</v>
      </c>
      <c r="C316" s="48" t="s">
        <v>725</v>
      </c>
      <c r="D316" s="50" t="str">
        <f>_xlfn.XLOOKUP(J316,'Store Code'!B:B,'Store Code'!A:A)</f>
        <v>RASTA PETH</v>
      </c>
      <c r="E316" s="48" t="s">
        <v>543</v>
      </c>
      <c r="F316" s="48">
        <v>26000</v>
      </c>
      <c r="G316" s="48" t="s">
        <v>770</v>
      </c>
      <c r="H316" s="48" t="s">
        <v>721</v>
      </c>
      <c r="I316" s="48" t="s">
        <v>722</v>
      </c>
      <c r="J316" s="48" t="s">
        <v>1716</v>
      </c>
      <c r="K316" s="54" t="s">
        <v>1722</v>
      </c>
      <c r="L316" s="54">
        <v>100327</v>
      </c>
    </row>
    <row r="317" spans="1:12">
      <c r="A317" s="53">
        <v>45607</v>
      </c>
      <c r="B317" s="48" t="s">
        <v>1472</v>
      </c>
      <c r="C317" s="48" t="s">
        <v>732</v>
      </c>
      <c r="D317" s="50" t="str">
        <f>_xlfn.XLOOKUP(J317,'Store Code'!B:B,'Store Code'!A:A)</f>
        <v>WAKAD</v>
      </c>
      <c r="E317" s="48" t="s">
        <v>707</v>
      </c>
      <c r="F317" s="48">
        <v>40000</v>
      </c>
      <c r="G317" s="48" t="s">
        <v>738</v>
      </c>
      <c r="H317" s="48" t="s">
        <v>721</v>
      </c>
      <c r="I317" s="48" t="s">
        <v>722</v>
      </c>
      <c r="J317" s="48" t="s">
        <v>1718</v>
      </c>
      <c r="K317" s="54" t="s">
        <v>1722</v>
      </c>
      <c r="L317" s="54">
        <v>100325</v>
      </c>
    </row>
    <row r="318" spans="1:12">
      <c r="A318" s="53">
        <v>45608</v>
      </c>
      <c r="B318" s="48" t="s">
        <v>1474</v>
      </c>
      <c r="C318" s="48" t="s">
        <v>725</v>
      </c>
      <c r="D318" s="50" t="str">
        <f>_xlfn.XLOOKUP(J318,'Store Code'!B:B,'Store Code'!A:A)</f>
        <v>WAKAD</v>
      </c>
      <c r="E318" s="48" t="s">
        <v>867</v>
      </c>
      <c r="F318" s="48">
        <v>33000</v>
      </c>
      <c r="G318" s="51" t="s">
        <v>733</v>
      </c>
      <c r="H318" s="48" t="s">
        <v>721</v>
      </c>
      <c r="I318" s="48" t="s">
        <v>722</v>
      </c>
      <c r="J318" s="48" t="s">
        <v>1718</v>
      </c>
      <c r="K318" s="54" t="s">
        <v>1722</v>
      </c>
      <c r="L318" s="54">
        <v>100326</v>
      </c>
    </row>
    <row r="319" spans="1:12">
      <c r="A319" s="53">
        <v>45608</v>
      </c>
      <c r="B319" s="48" t="s">
        <v>1476</v>
      </c>
      <c r="C319" s="48" t="s">
        <v>769</v>
      </c>
      <c r="D319" s="50" t="str">
        <f>_xlfn.XLOOKUP(J319,'Store Code'!B:B,'Store Code'!A:A)</f>
        <v>RASTA PETH</v>
      </c>
      <c r="E319" s="48" t="s">
        <v>1271</v>
      </c>
      <c r="F319" s="48">
        <v>68000</v>
      </c>
      <c r="G319" s="51" t="s">
        <v>733</v>
      </c>
      <c r="H319" s="48" t="s">
        <v>721</v>
      </c>
      <c r="I319" s="48" t="s">
        <v>722</v>
      </c>
      <c r="J319" s="48" t="s">
        <v>1716</v>
      </c>
      <c r="K319" s="54" t="s">
        <v>1722</v>
      </c>
      <c r="L319" s="54">
        <v>100328</v>
      </c>
    </row>
    <row r="320" spans="1:12">
      <c r="A320" s="53">
        <v>45608</v>
      </c>
      <c r="B320" s="48" t="s">
        <v>1478</v>
      </c>
      <c r="C320" s="48" t="s">
        <v>278</v>
      </c>
      <c r="D320" s="50" t="str">
        <f>_xlfn.XLOOKUP(J320,'Store Code'!B:B,'Store Code'!A:A)</f>
        <v>RASTA PETH</v>
      </c>
      <c r="E320" s="48" t="s">
        <v>581</v>
      </c>
      <c r="F320" s="48">
        <v>50000</v>
      </c>
      <c r="G320" s="48" t="s">
        <v>770</v>
      </c>
      <c r="H320" s="48" t="s">
        <v>721</v>
      </c>
      <c r="I320" s="48" t="s">
        <v>722</v>
      </c>
      <c r="J320" s="48" t="s">
        <v>1716</v>
      </c>
      <c r="K320" s="54" t="s">
        <v>1722</v>
      </c>
      <c r="L320" s="54">
        <v>100329</v>
      </c>
    </row>
    <row r="321" spans="1:12">
      <c r="A321" s="53">
        <v>45609</v>
      </c>
      <c r="B321" s="48" t="s">
        <v>1480</v>
      </c>
      <c r="C321" s="48" t="s">
        <v>769</v>
      </c>
      <c r="D321" s="50" t="str">
        <f>_xlfn.XLOOKUP(J321,'Store Code'!B:B,'Store Code'!A:A)</f>
        <v>RASTA PETH</v>
      </c>
      <c r="E321" s="48" t="s">
        <v>979</v>
      </c>
      <c r="F321" s="48">
        <v>37000</v>
      </c>
      <c r="G321" s="51" t="s">
        <v>733</v>
      </c>
      <c r="H321" s="48" t="s">
        <v>757</v>
      </c>
      <c r="I321" s="48" t="s">
        <v>722</v>
      </c>
      <c r="J321" s="48" t="s">
        <v>1716</v>
      </c>
      <c r="K321" s="54" t="s">
        <v>1722</v>
      </c>
      <c r="L321" s="54">
        <v>100330</v>
      </c>
    </row>
    <row r="322" spans="1:12">
      <c r="A322" s="53">
        <v>45610</v>
      </c>
      <c r="B322" s="48" t="s">
        <v>1482</v>
      </c>
      <c r="C322" s="48" t="s">
        <v>736</v>
      </c>
      <c r="D322" s="50" t="str">
        <f>_xlfn.XLOOKUP(J322,'Store Code'!B:B,'Store Code'!A:A)</f>
        <v>RASTA PETH</v>
      </c>
      <c r="E322" s="48" t="s">
        <v>1483</v>
      </c>
      <c r="F322" s="48">
        <v>51000</v>
      </c>
      <c r="G322" s="51" t="s">
        <v>733</v>
      </c>
      <c r="H322" s="48" t="s">
        <v>721</v>
      </c>
      <c r="I322" s="48" t="s">
        <v>722</v>
      </c>
      <c r="J322" s="48" t="s">
        <v>1716</v>
      </c>
      <c r="K322" s="54" t="s">
        <v>1722</v>
      </c>
      <c r="L322" s="54">
        <v>100332</v>
      </c>
    </row>
    <row r="323" spans="1:12">
      <c r="A323" s="53">
        <v>45610</v>
      </c>
      <c r="B323" s="48" t="s">
        <v>1485</v>
      </c>
      <c r="C323" s="48" t="s">
        <v>725</v>
      </c>
      <c r="D323" s="50" t="str">
        <f>_xlfn.XLOOKUP(J323,'Store Code'!B:B,'Store Code'!A:A)</f>
        <v>RASTA PETH</v>
      </c>
      <c r="E323" s="48" t="s">
        <v>990</v>
      </c>
      <c r="F323" s="48">
        <v>25000</v>
      </c>
      <c r="G323" s="51" t="s">
        <v>733</v>
      </c>
      <c r="H323" s="48" t="s">
        <v>721</v>
      </c>
      <c r="I323" s="48" t="s">
        <v>722</v>
      </c>
      <c r="J323" s="48" t="s">
        <v>1716</v>
      </c>
      <c r="K323" s="54" t="s">
        <v>1722</v>
      </c>
      <c r="L323" s="54">
        <v>100331</v>
      </c>
    </row>
    <row r="324" spans="1:12">
      <c r="A324" s="53">
        <v>45610</v>
      </c>
      <c r="B324" s="48" t="s">
        <v>1487</v>
      </c>
      <c r="C324" s="48" t="s">
        <v>781</v>
      </c>
      <c r="D324" s="50" t="str">
        <f>_xlfn.XLOOKUP(J324,'Store Code'!B:B,'Store Code'!A:A)</f>
        <v>KHARADI</v>
      </c>
      <c r="E324" s="48" t="s">
        <v>1488</v>
      </c>
      <c r="F324" s="48">
        <v>43500</v>
      </c>
      <c r="G324" s="48" t="s">
        <v>770</v>
      </c>
      <c r="H324" s="48" t="s">
        <v>721</v>
      </c>
      <c r="I324" s="48" t="s">
        <v>722</v>
      </c>
      <c r="J324" s="48" t="s">
        <v>1717</v>
      </c>
      <c r="K324" s="54" t="s">
        <v>1722</v>
      </c>
      <c r="L324" s="54">
        <v>100320</v>
      </c>
    </row>
    <row r="325" spans="1:12">
      <c r="A325" s="53">
        <v>45610</v>
      </c>
      <c r="B325" s="48" t="s">
        <v>1490</v>
      </c>
      <c r="C325" s="48" t="s">
        <v>769</v>
      </c>
      <c r="D325" s="50" t="str">
        <f>_xlfn.XLOOKUP(J325,'Store Code'!B:B,'Store Code'!A:A)</f>
        <v>WAKAD</v>
      </c>
      <c r="E325" s="48" t="s">
        <v>979</v>
      </c>
      <c r="F325" s="48">
        <v>26000</v>
      </c>
      <c r="G325" s="48" t="s">
        <v>720</v>
      </c>
      <c r="H325" s="48" t="s">
        <v>721</v>
      </c>
      <c r="I325" s="48" t="s">
        <v>722</v>
      </c>
      <c r="J325" s="48" t="s">
        <v>1718</v>
      </c>
      <c r="K325" s="54" t="s">
        <v>1722</v>
      </c>
      <c r="L325" s="54">
        <v>100327</v>
      </c>
    </row>
    <row r="326" spans="1:12">
      <c r="A326" s="53">
        <v>45610</v>
      </c>
      <c r="B326" s="48" t="s">
        <v>1492</v>
      </c>
      <c r="C326" s="48" t="s">
        <v>769</v>
      </c>
      <c r="D326" s="50" t="str">
        <f>_xlfn.XLOOKUP(J326,'Store Code'!B:B,'Store Code'!A:A)</f>
        <v>RASTA PETH</v>
      </c>
      <c r="E326" s="48" t="s">
        <v>897</v>
      </c>
      <c r="F326" s="48">
        <v>55000</v>
      </c>
      <c r="G326" s="48" t="s">
        <v>770</v>
      </c>
      <c r="H326" s="48" t="s">
        <v>721</v>
      </c>
      <c r="I326" s="48" t="s">
        <v>722</v>
      </c>
      <c r="J326" s="48" t="s">
        <v>1716</v>
      </c>
      <c r="K326" s="54" t="s">
        <v>1722</v>
      </c>
      <c r="L326" s="54">
        <v>100333</v>
      </c>
    </row>
    <row r="327" spans="1:12">
      <c r="A327" s="53">
        <v>45611</v>
      </c>
      <c r="B327" s="48" t="s">
        <v>827</v>
      </c>
      <c r="C327" s="48" t="s">
        <v>725</v>
      </c>
      <c r="D327" s="50" t="str">
        <f>_xlfn.XLOOKUP(J327,'Store Code'!B:B,'Store Code'!A:A)</f>
        <v>KHARADI</v>
      </c>
      <c r="E327" s="48" t="s">
        <v>828</v>
      </c>
      <c r="F327" s="48">
        <v>63000</v>
      </c>
      <c r="G327" s="51" t="s">
        <v>733</v>
      </c>
      <c r="H327" s="48" t="s">
        <v>721</v>
      </c>
      <c r="I327" s="48" t="s">
        <v>722</v>
      </c>
      <c r="J327" s="48" t="s">
        <v>1717</v>
      </c>
      <c r="K327" s="54" t="s">
        <v>1722</v>
      </c>
      <c r="L327" s="54">
        <v>100326</v>
      </c>
    </row>
    <row r="328" spans="1:12">
      <c r="A328" s="53">
        <v>45611</v>
      </c>
      <c r="B328" s="48" t="s">
        <v>1495</v>
      </c>
      <c r="C328" s="48" t="s">
        <v>769</v>
      </c>
      <c r="D328" s="50" t="str">
        <f>_xlfn.XLOOKUP(J328,'Store Code'!B:B,'Store Code'!A:A)</f>
        <v>WAKAD</v>
      </c>
      <c r="E328" s="48" t="s">
        <v>1496</v>
      </c>
      <c r="F328" s="48">
        <v>14000</v>
      </c>
      <c r="G328" s="48" t="s">
        <v>720</v>
      </c>
      <c r="H328" s="48" t="s">
        <v>721</v>
      </c>
      <c r="I328" s="48" t="s">
        <v>722</v>
      </c>
      <c r="J328" s="48" t="s">
        <v>1718</v>
      </c>
      <c r="K328" s="54" t="s">
        <v>1722</v>
      </c>
      <c r="L328" s="54">
        <v>100332</v>
      </c>
    </row>
    <row r="329" spans="1:12">
      <c r="A329" s="53">
        <v>45612</v>
      </c>
      <c r="B329" s="48" t="s">
        <v>1498</v>
      </c>
      <c r="C329" s="48" t="s">
        <v>725</v>
      </c>
      <c r="D329" s="50" t="str">
        <f>_xlfn.XLOOKUP(J329,'Store Code'!B:B,'Store Code'!A:A)</f>
        <v>RASTA PETH</v>
      </c>
      <c r="E329" s="48" t="s">
        <v>501</v>
      </c>
      <c r="F329" s="48">
        <v>51000</v>
      </c>
      <c r="G329" s="51" t="s">
        <v>733</v>
      </c>
      <c r="H329" s="48" t="s">
        <v>721</v>
      </c>
      <c r="I329" s="48" t="s">
        <v>722</v>
      </c>
      <c r="J329" s="48" t="s">
        <v>1716</v>
      </c>
      <c r="K329" s="54" t="s">
        <v>1722</v>
      </c>
      <c r="L329" s="54">
        <v>100334</v>
      </c>
    </row>
    <row r="330" spans="1:12">
      <c r="A330" s="53">
        <v>45613</v>
      </c>
      <c r="B330" s="48" t="s">
        <v>1500</v>
      </c>
      <c r="C330" s="48" t="s">
        <v>781</v>
      </c>
      <c r="D330" s="50" t="str">
        <f>_xlfn.XLOOKUP(J330,'Store Code'!B:B,'Store Code'!A:A)</f>
        <v>RASTA PETH</v>
      </c>
      <c r="E330" s="48" t="s">
        <v>1501</v>
      </c>
      <c r="F330" s="48">
        <v>58000</v>
      </c>
      <c r="G330" s="51" t="s">
        <v>733</v>
      </c>
      <c r="H330" s="48" t="s">
        <v>721</v>
      </c>
      <c r="I330" s="48" t="s">
        <v>722</v>
      </c>
      <c r="J330" s="48" t="s">
        <v>1716</v>
      </c>
      <c r="K330" s="54" t="s">
        <v>1722</v>
      </c>
      <c r="L330" s="54">
        <v>100335</v>
      </c>
    </row>
    <row r="331" spans="1:12">
      <c r="A331" s="53">
        <v>45615</v>
      </c>
      <c r="B331" s="48" t="s">
        <v>1503</v>
      </c>
      <c r="C331" s="48" t="s">
        <v>725</v>
      </c>
      <c r="D331" s="50" t="str">
        <f>_xlfn.XLOOKUP(J331,'Store Code'!B:B,'Store Code'!A:A)</f>
        <v>WAKAD</v>
      </c>
      <c r="E331" s="48" t="s">
        <v>545</v>
      </c>
      <c r="F331" s="48">
        <v>37500</v>
      </c>
      <c r="G331" s="51" t="s">
        <v>733</v>
      </c>
      <c r="H331" s="48" t="s">
        <v>721</v>
      </c>
      <c r="I331" s="48" t="s">
        <v>722</v>
      </c>
      <c r="J331" s="48" t="s">
        <v>1718</v>
      </c>
      <c r="K331" s="54" t="s">
        <v>1722</v>
      </c>
      <c r="L331" s="54">
        <v>100336</v>
      </c>
    </row>
    <row r="332" spans="1:12">
      <c r="A332" s="53">
        <v>45615</v>
      </c>
      <c r="B332" s="48" t="s">
        <v>1505</v>
      </c>
      <c r="C332" s="48" t="s">
        <v>755</v>
      </c>
      <c r="D332" s="50" t="str">
        <f>_xlfn.XLOOKUP(J332,'Store Code'!B:B,'Store Code'!A:A)</f>
        <v>WAKAD</v>
      </c>
      <c r="E332" s="48" t="s">
        <v>1506</v>
      </c>
      <c r="F332" s="48">
        <v>130000</v>
      </c>
      <c r="G332" s="48" t="s">
        <v>738</v>
      </c>
      <c r="H332" s="48" t="s">
        <v>721</v>
      </c>
      <c r="I332" s="48" t="s">
        <v>722</v>
      </c>
      <c r="J332" s="48" t="s">
        <v>1718</v>
      </c>
      <c r="K332" s="54" t="s">
        <v>1722</v>
      </c>
      <c r="L332" s="54">
        <v>100335</v>
      </c>
    </row>
    <row r="333" spans="1:12">
      <c r="A333" s="53">
        <v>45617</v>
      </c>
      <c r="B333" s="48" t="s">
        <v>1508</v>
      </c>
      <c r="C333" s="48" t="s">
        <v>736</v>
      </c>
      <c r="D333" s="50" t="str">
        <f>_xlfn.XLOOKUP(J333,'Store Code'!B:B,'Store Code'!A:A)</f>
        <v>RASTA PETH</v>
      </c>
      <c r="E333" s="48" t="s">
        <v>224</v>
      </c>
      <c r="F333" s="48">
        <v>15000</v>
      </c>
      <c r="G333" s="51" t="s">
        <v>733</v>
      </c>
      <c r="H333" s="48" t="s">
        <v>721</v>
      </c>
      <c r="I333" s="48" t="s">
        <v>722</v>
      </c>
      <c r="J333" s="48" t="s">
        <v>1716</v>
      </c>
      <c r="K333" s="54" t="s">
        <v>1722</v>
      </c>
      <c r="L333" s="54">
        <v>100340</v>
      </c>
    </row>
    <row r="334" spans="1:12">
      <c r="A334" s="53">
        <v>45617</v>
      </c>
      <c r="B334" s="48" t="s">
        <v>1510</v>
      </c>
      <c r="C334" s="48" t="s">
        <v>781</v>
      </c>
      <c r="D334" s="50" t="str">
        <f>_xlfn.XLOOKUP(J334,'Store Code'!B:B,'Store Code'!A:A)</f>
        <v>RASTA PETH</v>
      </c>
      <c r="E334" s="48" t="s">
        <v>1116</v>
      </c>
      <c r="F334" s="48">
        <v>53000</v>
      </c>
      <c r="G334" s="51" t="s">
        <v>733</v>
      </c>
      <c r="H334" s="48" t="s">
        <v>721</v>
      </c>
      <c r="I334" s="48" t="s">
        <v>722</v>
      </c>
      <c r="J334" s="48" t="s">
        <v>1716</v>
      </c>
      <c r="K334" s="54" t="s">
        <v>1722</v>
      </c>
      <c r="L334" s="54">
        <v>100337</v>
      </c>
    </row>
    <row r="335" spans="1:12">
      <c r="A335" s="53">
        <v>45617</v>
      </c>
      <c r="B335" s="48" t="s">
        <v>1512</v>
      </c>
      <c r="C335" s="48" t="s">
        <v>732</v>
      </c>
      <c r="D335" s="50" t="str">
        <f>_xlfn.XLOOKUP(J335,'Store Code'!B:B,'Store Code'!A:A)</f>
        <v>RASTA PETH</v>
      </c>
      <c r="E335" s="48" t="s">
        <v>694</v>
      </c>
      <c r="F335" s="48">
        <v>27000</v>
      </c>
      <c r="G335" s="48" t="s">
        <v>1011</v>
      </c>
      <c r="H335" s="48" t="s">
        <v>721</v>
      </c>
      <c r="I335" s="48" t="s">
        <v>722</v>
      </c>
      <c r="J335" s="48" t="s">
        <v>1716</v>
      </c>
      <c r="K335" s="54" t="s">
        <v>1722</v>
      </c>
      <c r="L335" s="54">
        <v>100336</v>
      </c>
    </row>
    <row r="336" spans="1:12">
      <c r="A336" s="53">
        <v>45618</v>
      </c>
      <c r="B336" s="48" t="s">
        <v>1514</v>
      </c>
      <c r="C336" s="48" t="s">
        <v>725</v>
      </c>
      <c r="D336" s="50" t="str">
        <f>_xlfn.XLOOKUP(J336,'Store Code'!B:B,'Store Code'!A:A)</f>
        <v>RASTA PETH</v>
      </c>
      <c r="E336" s="48" t="s">
        <v>867</v>
      </c>
      <c r="F336" s="48">
        <v>15000</v>
      </c>
      <c r="G336" s="48" t="s">
        <v>738</v>
      </c>
      <c r="H336" s="48" t="s">
        <v>721</v>
      </c>
      <c r="I336" s="48" t="s">
        <v>722</v>
      </c>
      <c r="J336" s="48" t="s">
        <v>1716</v>
      </c>
      <c r="K336" s="54" t="s">
        <v>1722</v>
      </c>
      <c r="L336" s="54">
        <v>100339</v>
      </c>
    </row>
    <row r="337" spans="1:12">
      <c r="A337" s="53">
        <v>45619</v>
      </c>
      <c r="B337" s="48" t="s">
        <v>1516</v>
      </c>
      <c r="C337" s="48" t="s">
        <v>736</v>
      </c>
      <c r="D337" s="50" t="str">
        <f>_xlfn.XLOOKUP(J337,'Store Code'!B:B,'Store Code'!A:A)</f>
        <v>RASTA PETH</v>
      </c>
      <c r="E337" s="48" t="s">
        <v>205</v>
      </c>
      <c r="F337" s="48">
        <v>44000</v>
      </c>
      <c r="G337" s="51" t="s">
        <v>733</v>
      </c>
      <c r="H337" s="48" t="s">
        <v>721</v>
      </c>
      <c r="I337" s="48" t="s">
        <v>722</v>
      </c>
      <c r="J337" s="48" t="s">
        <v>1716</v>
      </c>
      <c r="K337" s="54" t="s">
        <v>1722</v>
      </c>
      <c r="L337" s="54">
        <v>100341</v>
      </c>
    </row>
    <row r="338" spans="1:12">
      <c r="A338" s="53">
        <v>45619</v>
      </c>
      <c r="B338" s="48" t="s">
        <v>1518</v>
      </c>
      <c r="C338" s="48" t="s">
        <v>725</v>
      </c>
      <c r="D338" s="50" t="str">
        <f>_xlfn.XLOOKUP(J338,'Store Code'!B:B,'Store Code'!A:A)</f>
        <v>RASTA PETH</v>
      </c>
      <c r="E338" s="48" t="s">
        <v>1234</v>
      </c>
      <c r="F338" s="48">
        <v>105000</v>
      </c>
      <c r="G338" s="51" t="s">
        <v>733</v>
      </c>
      <c r="H338" s="48" t="s">
        <v>721</v>
      </c>
      <c r="I338" s="48" t="s">
        <v>722</v>
      </c>
      <c r="J338" s="48" t="s">
        <v>1716</v>
      </c>
      <c r="K338" s="54" t="s">
        <v>1722</v>
      </c>
      <c r="L338" s="54">
        <v>100342</v>
      </c>
    </row>
    <row r="339" spans="1:12">
      <c r="A339" s="53">
        <v>45620</v>
      </c>
      <c r="B339" s="48" t="s">
        <v>1520</v>
      </c>
      <c r="C339" s="48" t="s">
        <v>732</v>
      </c>
      <c r="D339" s="50" t="str">
        <f>_xlfn.XLOOKUP(J339,'Store Code'!B:B,'Store Code'!A:A)</f>
        <v>WAKAD</v>
      </c>
      <c r="E339" s="48" t="s">
        <v>1521</v>
      </c>
      <c r="F339" s="48">
        <v>155000</v>
      </c>
      <c r="G339" s="48" t="s">
        <v>738</v>
      </c>
      <c r="H339" s="48" t="s">
        <v>721</v>
      </c>
      <c r="I339" s="48" t="s">
        <v>722</v>
      </c>
      <c r="J339" s="48" t="s">
        <v>1718</v>
      </c>
      <c r="K339" s="54" t="s">
        <v>1722</v>
      </c>
      <c r="L339" s="54">
        <v>100337</v>
      </c>
    </row>
    <row r="340" spans="1:12">
      <c r="A340" s="53">
        <v>45620</v>
      </c>
      <c r="B340" s="48" t="s">
        <v>1523</v>
      </c>
      <c r="C340" s="48" t="s">
        <v>755</v>
      </c>
      <c r="D340" s="50" t="str">
        <f>_xlfn.XLOOKUP(J340,'Store Code'!B:B,'Store Code'!A:A)</f>
        <v>WAKAD</v>
      </c>
      <c r="E340" s="48" t="s">
        <v>943</v>
      </c>
      <c r="F340" s="48">
        <v>30000</v>
      </c>
      <c r="G340" s="48" t="s">
        <v>738</v>
      </c>
      <c r="H340" s="48" t="s">
        <v>721</v>
      </c>
      <c r="I340" s="48" t="s">
        <v>722</v>
      </c>
      <c r="J340" s="48" t="s">
        <v>1718</v>
      </c>
      <c r="K340" s="54" t="s">
        <v>1722</v>
      </c>
      <c r="L340" s="54">
        <v>100338</v>
      </c>
    </row>
    <row r="341" spans="1:12">
      <c r="A341" s="53">
        <v>45621</v>
      </c>
      <c r="B341" s="48" t="s">
        <v>1525</v>
      </c>
      <c r="C341" s="48" t="s">
        <v>736</v>
      </c>
      <c r="D341" s="50" t="str">
        <f>_xlfn.XLOOKUP(J341,'Store Code'!B:B,'Store Code'!A:A)</f>
        <v>RASTA PETH</v>
      </c>
      <c r="E341" s="48" t="s">
        <v>750</v>
      </c>
      <c r="F341" s="48">
        <v>25000</v>
      </c>
      <c r="G341" s="51" t="s">
        <v>733</v>
      </c>
      <c r="H341" s="48" t="s">
        <v>721</v>
      </c>
      <c r="I341" s="48" t="s">
        <v>722</v>
      </c>
      <c r="J341" s="48" t="s">
        <v>1716</v>
      </c>
      <c r="K341" s="54" t="s">
        <v>1722</v>
      </c>
      <c r="L341" s="54">
        <v>100343</v>
      </c>
    </row>
    <row r="342" spans="1:12">
      <c r="A342" s="53">
        <v>45621</v>
      </c>
      <c r="B342" s="48" t="s">
        <v>1527</v>
      </c>
      <c r="C342" s="48" t="s">
        <v>725</v>
      </c>
      <c r="D342" s="50" t="str">
        <f>_xlfn.XLOOKUP(J342,'Store Code'!B:B,'Store Code'!A:A)</f>
        <v>WAKAD</v>
      </c>
      <c r="E342" s="48" t="s">
        <v>1528</v>
      </c>
      <c r="F342" s="48">
        <v>155000</v>
      </c>
      <c r="G342" s="51" t="s">
        <v>733</v>
      </c>
      <c r="H342" s="48" t="s">
        <v>721</v>
      </c>
      <c r="I342" s="48" t="s">
        <v>722</v>
      </c>
      <c r="J342" s="48" t="s">
        <v>1718</v>
      </c>
      <c r="K342" s="54" t="s">
        <v>1722</v>
      </c>
      <c r="L342" s="54">
        <v>100339</v>
      </c>
    </row>
    <row r="343" spans="1:12">
      <c r="A343" s="53">
        <v>45623</v>
      </c>
      <c r="B343" s="48" t="s">
        <v>1530</v>
      </c>
      <c r="C343" s="48" t="s">
        <v>725</v>
      </c>
      <c r="D343" s="50" t="str">
        <f>_xlfn.XLOOKUP(J343,'Store Code'!B:B,'Store Code'!A:A)</f>
        <v>RASTA PETH</v>
      </c>
      <c r="E343" s="48" t="s">
        <v>1049</v>
      </c>
      <c r="F343" s="48">
        <v>18000</v>
      </c>
      <c r="G343" s="48" t="s">
        <v>720</v>
      </c>
      <c r="H343" s="48" t="s">
        <v>721</v>
      </c>
      <c r="I343" s="48" t="s">
        <v>722</v>
      </c>
      <c r="J343" s="48" t="s">
        <v>1716</v>
      </c>
      <c r="K343" s="54" t="s">
        <v>1722</v>
      </c>
      <c r="L343" s="54">
        <v>100344</v>
      </c>
    </row>
    <row r="344" spans="1:12">
      <c r="A344" s="53">
        <v>45624</v>
      </c>
      <c r="B344" s="48" t="s">
        <v>1532</v>
      </c>
      <c r="C344" s="48" t="s">
        <v>743</v>
      </c>
      <c r="D344" s="50" t="str">
        <f>_xlfn.XLOOKUP(J344,'Store Code'!B:B,'Store Code'!A:A)</f>
        <v>RASTA PETH</v>
      </c>
      <c r="E344" s="48" t="s">
        <v>684</v>
      </c>
      <c r="F344" s="48">
        <v>67000</v>
      </c>
      <c r="G344" s="48" t="s">
        <v>720</v>
      </c>
      <c r="H344" s="48" t="s">
        <v>721</v>
      </c>
      <c r="I344" s="48" t="s">
        <v>722</v>
      </c>
      <c r="J344" s="48" t="s">
        <v>1716</v>
      </c>
      <c r="K344" s="54" t="s">
        <v>1722</v>
      </c>
      <c r="L344" s="54">
        <v>100345</v>
      </c>
    </row>
    <row r="345" spans="1:12">
      <c r="A345" s="53">
        <v>45626</v>
      </c>
      <c r="B345" s="48" t="s">
        <v>1534</v>
      </c>
      <c r="C345" s="48" t="s">
        <v>781</v>
      </c>
      <c r="D345" s="50" t="str">
        <f>_xlfn.XLOOKUP(J345,'Store Code'!B:B,'Store Code'!A:A)</f>
        <v>WAKAD</v>
      </c>
      <c r="E345" s="48" t="s">
        <v>1501</v>
      </c>
      <c r="F345" s="48">
        <v>58000</v>
      </c>
      <c r="G345" s="48" t="s">
        <v>733</v>
      </c>
      <c r="H345" s="48" t="s">
        <v>721</v>
      </c>
      <c r="I345" s="48" t="s">
        <v>722</v>
      </c>
      <c r="J345" s="48" t="s">
        <v>1718</v>
      </c>
      <c r="K345" s="54" t="s">
        <v>1722</v>
      </c>
      <c r="L345" s="54">
        <v>100340</v>
      </c>
    </row>
    <row r="346" spans="1:12">
      <c r="A346" s="53">
        <v>45626</v>
      </c>
      <c r="B346" s="48" t="s">
        <v>1536</v>
      </c>
      <c r="C346" s="48" t="s">
        <v>755</v>
      </c>
      <c r="D346" s="50" t="str">
        <f>_xlfn.XLOOKUP(J346,'Store Code'!B:B,'Store Code'!A:A)</f>
        <v>RASTA PETH</v>
      </c>
      <c r="E346" s="48" t="s">
        <v>886</v>
      </c>
      <c r="F346" s="48">
        <v>15000</v>
      </c>
      <c r="G346" s="51" t="s">
        <v>733</v>
      </c>
      <c r="H346" s="48" t="s">
        <v>721</v>
      </c>
      <c r="I346" s="48" t="s">
        <v>722</v>
      </c>
      <c r="J346" s="48" t="s">
        <v>1716</v>
      </c>
      <c r="K346" s="54" t="s">
        <v>1722</v>
      </c>
      <c r="L346" s="54">
        <v>100368</v>
      </c>
    </row>
    <row r="347" spans="1:12">
      <c r="A347" s="52">
        <v>45627</v>
      </c>
      <c r="B347" s="48" t="s">
        <v>1538</v>
      </c>
      <c r="C347" s="48" t="s">
        <v>769</v>
      </c>
      <c r="D347" s="50" t="str">
        <f>_xlfn.XLOOKUP(J347,'Store Code'!B:B,'Store Code'!A:A)</f>
        <v>RASTA PETH</v>
      </c>
      <c r="E347" s="48" t="s">
        <v>1539</v>
      </c>
      <c r="F347" s="48">
        <v>56600</v>
      </c>
      <c r="G347" s="51" t="s">
        <v>733</v>
      </c>
      <c r="H347" s="48" t="s">
        <v>721</v>
      </c>
      <c r="I347" s="48" t="s">
        <v>722</v>
      </c>
      <c r="J347" s="48" t="s">
        <v>1716</v>
      </c>
      <c r="K347" s="54" t="s">
        <v>1722</v>
      </c>
      <c r="L347" s="54">
        <v>100353</v>
      </c>
    </row>
    <row r="348" spans="1:12">
      <c r="A348" s="52">
        <v>45627</v>
      </c>
      <c r="B348" s="48" t="s">
        <v>1541</v>
      </c>
      <c r="C348" s="48" t="s">
        <v>781</v>
      </c>
      <c r="D348" s="50" t="str">
        <f>_xlfn.XLOOKUP(J348,'Store Code'!B:B,'Store Code'!A:A)</f>
        <v>RASTA PETH</v>
      </c>
      <c r="E348" s="48" t="s">
        <v>1542</v>
      </c>
      <c r="F348" s="48">
        <v>75000</v>
      </c>
      <c r="G348" s="51" t="s">
        <v>733</v>
      </c>
      <c r="H348" s="48" t="s">
        <v>721</v>
      </c>
      <c r="I348" s="48" t="s">
        <v>722</v>
      </c>
      <c r="J348" s="48" t="s">
        <v>1716</v>
      </c>
      <c r="K348" s="54" t="s">
        <v>1722</v>
      </c>
      <c r="L348" s="54">
        <v>100352</v>
      </c>
    </row>
    <row r="349" spans="1:12">
      <c r="A349" s="52">
        <v>45627</v>
      </c>
      <c r="B349" s="48" t="s">
        <v>1544</v>
      </c>
      <c r="C349" s="48" t="s">
        <v>725</v>
      </c>
      <c r="D349" s="50" t="str">
        <f>_xlfn.XLOOKUP(J349,'Store Code'!B:B,'Store Code'!A:A)</f>
        <v>RASTA PETH</v>
      </c>
      <c r="E349" s="48" t="s">
        <v>292</v>
      </c>
      <c r="F349" s="48">
        <v>80000</v>
      </c>
      <c r="G349" s="48" t="s">
        <v>738</v>
      </c>
      <c r="H349" s="48" t="s">
        <v>721</v>
      </c>
      <c r="I349" s="48" t="s">
        <v>722</v>
      </c>
      <c r="J349" s="48" t="s">
        <v>1716</v>
      </c>
      <c r="K349" s="54" t="s">
        <v>1722</v>
      </c>
      <c r="L349" s="54">
        <v>100347</v>
      </c>
    </row>
    <row r="350" spans="1:12">
      <c r="A350" s="52">
        <v>45627</v>
      </c>
      <c r="B350" s="48" t="s">
        <v>1546</v>
      </c>
      <c r="C350" s="48" t="s">
        <v>769</v>
      </c>
      <c r="D350" s="50" t="str">
        <f>_xlfn.XLOOKUP(J350,'Store Code'!B:B,'Store Code'!A:A)</f>
        <v>RASTA PETH</v>
      </c>
      <c r="E350" s="48" t="s">
        <v>1547</v>
      </c>
      <c r="F350" s="48">
        <v>81000</v>
      </c>
      <c r="G350" s="51" t="s">
        <v>733</v>
      </c>
      <c r="H350" s="48" t="s">
        <v>721</v>
      </c>
      <c r="I350" s="48" t="s">
        <v>722</v>
      </c>
      <c r="J350" s="48" t="s">
        <v>1716</v>
      </c>
      <c r="K350" s="54" t="s">
        <v>1722</v>
      </c>
      <c r="L350" s="54">
        <v>100357</v>
      </c>
    </row>
    <row r="351" spans="1:12">
      <c r="A351" s="52">
        <v>45627</v>
      </c>
      <c r="B351" s="48" t="s">
        <v>1549</v>
      </c>
      <c r="C351" s="48" t="s">
        <v>769</v>
      </c>
      <c r="D351" s="50" t="str">
        <f>_xlfn.XLOOKUP(J351,'Store Code'!B:B,'Store Code'!A:A)</f>
        <v>RASTA PETH</v>
      </c>
      <c r="E351" s="48" t="s">
        <v>816</v>
      </c>
      <c r="F351" s="48">
        <v>30000</v>
      </c>
      <c r="G351" s="51" t="s">
        <v>733</v>
      </c>
      <c r="H351" s="48" t="s">
        <v>721</v>
      </c>
      <c r="I351" s="48" t="s">
        <v>722</v>
      </c>
      <c r="J351" s="48" t="s">
        <v>1716</v>
      </c>
      <c r="K351" s="54" t="s">
        <v>1722</v>
      </c>
      <c r="L351" s="54">
        <v>100356</v>
      </c>
    </row>
    <row r="352" spans="1:12">
      <c r="A352" s="52">
        <v>45627</v>
      </c>
      <c r="B352" s="48" t="s">
        <v>1551</v>
      </c>
      <c r="C352" s="48" t="s">
        <v>781</v>
      </c>
      <c r="D352" s="50" t="str">
        <f>_xlfn.XLOOKUP(J352,'Store Code'!B:B,'Store Code'!A:A)</f>
        <v>RASTA PETH</v>
      </c>
      <c r="E352" s="48" t="s">
        <v>326</v>
      </c>
      <c r="F352" s="48">
        <v>22000</v>
      </c>
      <c r="G352" s="51" t="s">
        <v>733</v>
      </c>
      <c r="H352" s="48" t="s">
        <v>721</v>
      </c>
      <c r="I352" s="48" t="s">
        <v>722</v>
      </c>
      <c r="J352" s="48" t="s">
        <v>1716</v>
      </c>
      <c r="K352" s="54" t="s">
        <v>1722</v>
      </c>
      <c r="L352" s="54">
        <v>100349</v>
      </c>
    </row>
    <row r="353" spans="1:12">
      <c r="A353" s="52">
        <v>45627</v>
      </c>
      <c r="B353" s="48" t="s">
        <v>1553</v>
      </c>
      <c r="C353" s="48" t="s">
        <v>736</v>
      </c>
      <c r="D353" s="50" t="str">
        <f>_xlfn.XLOOKUP(J353,'Store Code'!B:B,'Store Code'!A:A)</f>
        <v>RASTA PETH</v>
      </c>
      <c r="E353" s="48" t="s">
        <v>1554</v>
      </c>
      <c r="F353" s="48">
        <v>25000</v>
      </c>
      <c r="G353" s="51" t="s">
        <v>733</v>
      </c>
      <c r="H353" s="48" t="s">
        <v>721</v>
      </c>
      <c r="I353" s="48" t="s">
        <v>722</v>
      </c>
      <c r="J353" s="48" t="s">
        <v>1716</v>
      </c>
      <c r="K353" s="54" t="s">
        <v>1722</v>
      </c>
      <c r="L353" s="54">
        <v>100358</v>
      </c>
    </row>
    <row r="354" spans="1:12">
      <c r="A354" s="52">
        <v>45627</v>
      </c>
      <c r="B354" s="48" t="s">
        <v>1556</v>
      </c>
      <c r="C354" s="48" t="s">
        <v>773</v>
      </c>
      <c r="D354" s="50" t="str">
        <f>_xlfn.XLOOKUP(J354,'Store Code'!B:B,'Store Code'!A:A)</f>
        <v>RASTA PETH</v>
      </c>
      <c r="E354" s="48" t="s">
        <v>974</v>
      </c>
      <c r="F354" s="48">
        <v>5000</v>
      </c>
      <c r="G354" s="51" t="s">
        <v>733</v>
      </c>
      <c r="H354" s="48" t="s">
        <v>721</v>
      </c>
      <c r="I354" s="48" t="s">
        <v>722</v>
      </c>
      <c r="J354" s="48" t="s">
        <v>1716</v>
      </c>
      <c r="K354" s="54" t="s">
        <v>1722</v>
      </c>
      <c r="L354" s="54">
        <v>100350</v>
      </c>
    </row>
    <row r="355" spans="1:12">
      <c r="A355" s="52">
        <v>45627</v>
      </c>
      <c r="B355" s="48" t="s">
        <v>1558</v>
      </c>
      <c r="C355" s="48" t="s">
        <v>755</v>
      </c>
      <c r="D355" s="50" t="str">
        <f>_xlfn.XLOOKUP(J355,'Store Code'!B:B,'Store Code'!A:A)</f>
        <v>RASTA PETH</v>
      </c>
      <c r="E355" s="48" t="s">
        <v>943</v>
      </c>
      <c r="F355" s="48">
        <v>145000</v>
      </c>
      <c r="G355" s="51" t="s">
        <v>733</v>
      </c>
      <c r="H355" s="48" t="s">
        <v>721</v>
      </c>
      <c r="I355" s="48" t="s">
        <v>722</v>
      </c>
      <c r="J355" s="48" t="s">
        <v>1716</v>
      </c>
      <c r="K355" s="54" t="s">
        <v>1722</v>
      </c>
      <c r="L355" s="54">
        <v>100348</v>
      </c>
    </row>
    <row r="356" spans="1:12">
      <c r="A356" s="52">
        <v>45627</v>
      </c>
      <c r="B356" s="48" t="s">
        <v>1560</v>
      </c>
      <c r="C356" s="48" t="s">
        <v>725</v>
      </c>
      <c r="D356" s="50" t="str">
        <f>_xlfn.XLOOKUP(J356,'Store Code'!B:B,'Store Code'!A:A)</f>
        <v>RASTA PETH</v>
      </c>
      <c r="E356" s="48" t="s">
        <v>515</v>
      </c>
      <c r="F356" s="48">
        <v>100000</v>
      </c>
      <c r="G356" s="48" t="s">
        <v>738</v>
      </c>
      <c r="H356" s="48" t="s">
        <v>721</v>
      </c>
      <c r="I356" s="48" t="s">
        <v>722</v>
      </c>
      <c r="J356" s="48" t="s">
        <v>1716</v>
      </c>
      <c r="K356" s="54" t="s">
        <v>1722</v>
      </c>
      <c r="L356" s="54">
        <v>100351</v>
      </c>
    </row>
    <row r="357" spans="1:12">
      <c r="A357" s="52">
        <v>45627</v>
      </c>
      <c r="B357" s="48" t="s">
        <v>1562</v>
      </c>
      <c r="C357" s="48" t="s">
        <v>773</v>
      </c>
      <c r="D357" s="50" t="str">
        <f>_xlfn.XLOOKUP(J357,'Store Code'!B:B,'Store Code'!A:A)</f>
        <v>RASTA PETH</v>
      </c>
      <c r="E357" s="48" t="s">
        <v>1411</v>
      </c>
      <c r="F357" s="48">
        <v>20000</v>
      </c>
      <c r="G357" s="51" t="s">
        <v>733</v>
      </c>
      <c r="H357" s="48" t="s">
        <v>721</v>
      </c>
      <c r="I357" s="48" t="s">
        <v>722</v>
      </c>
      <c r="J357" s="48" t="s">
        <v>1716</v>
      </c>
      <c r="K357" s="54" t="s">
        <v>1722</v>
      </c>
      <c r="L357" s="54">
        <v>100355</v>
      </c>
    </row>
    <row r="358" spans="1:12">
      <c r="A358" s="52">
        <v>45627</v>
      </c>
      <c r="B358" s="48" t="s">
        <v>1564</v>
      </c>
      <c r="C358" s="48" t="s">
        <v>725</v>
      </c>
      <c r="D358" s="50" t="str">
        <f>_xlfn.XLOOKUP(J358,'Store Code'!B:B,'Store Code'!A:A)</f>
        <v>RASTA PETH</v>
      </c>
      <c r="E358" s="48" t="s">
        <v>441</v>
      </c>
      <c r="F358" s="48">
        <v>41000</v>
      </c>
      <c r="G358" s="51" t="s">
        <v>733</v>
      </c>
      <c r="H358" s="48" t="s">
        <v>721</v>
      </c>
      <c r="I358" s="48" t="s">
        <v>722</v>
      </c>
      <c r="J358" s="48" t="s">
        <v>1716</v>
      </c>
      <c r="K358" s="54" t="s">
        <v>1722</v>
      </c>
      <c r="L358" s="54">
        <v>100354</v>
      </c>
    </row>
    <row r="359" spans="1:12">
      <c r="A359" s="52">
        <v>45628</v>
      </c>
      <c r="B359" s="48" t="s">
        <v>1566</v>
      </c>
      <c r="C359" s="48" t="s">
        <v>732</v>
      </c>
      <c r="D359" s="50" t="str">
        <f>_xlfn.XLOOKUP(J359,'Store Code'!B:B,'Store Code'!A:A)</f>
        <v>RASTA PETH</v>
      </c>
      <c r="E359" s="48" t="s">
        <v>707</v>
      </c>
      <c r="F359" s="48">
        <v>129500</v>
      </c>
      <c r="G359" s="51" t="s">
        <v>733</v>
      </c>
      <c r="H359" s="48" t="s">
        <v>721</v>
      </c>
      <c r="I359" s="48" t="s">
        <v>722</v>
      </c>
      <c r="J359" s="48" t="s">
        <v>1716</v>
      </c>
      <c r="K359" s="54" t="s">
        <v>1722</v>
      </c>
      <c r="L359" s="54">
        <v>100359</v>
      </c>
    </row>
    <row r="360" spans="1:12">
      <c r="A360" s="52">
        <v>45629</v>
      </c>
      <c r="B360" s="48" t="s">
        <v>1568</v>
      </c>
      <c r="C360" s="48" t="s">
        <v>736</v>
      </c>
      <c r="D360" s="50" t="str">
        <f>_xlfn.XLOOKUP(J360,'Store Code'!B:B,'Store Code'!A:A)</f>
        <v>RASTA PETH</v>
      </c>
      <c r="E360" s="48" t="s">
        <v>1322</v>
      </c>
      <c r="F360" s="48">
        <v>34500</v>
      </c>
      <c r="G360" s="51" t="s">
        <v>733</v>
      </c>
      <c r="H360" s="48" t="s">
        <v>721</v>
      </c>
      <c r="I360" s="48" t="s">
        <v>722</v>
      </c>
      <c r="J360" s="48" t="s">
        <v>1716</v>
      </c>
      <c r="K360" s="54" t="s">
        <v>1722</v>
      </c>
      <c r="L360" s="54">
        <v>100360</v>
      </c>
    </row>
    <row r="361" spans="1:12">
      <c r="A361" s="52">
        <v>45629</v>
      </c>
      <c r="B361" s="48" t="s">
        <v>1570</v>
      </c>
      <c r="C361" s="48" t="s">
        <v>769</v>
      </c>
      <c r="D361" s="50" t="str">
        <f>_xlfn.XLOOKUP(J361,'Store Code'!B:B,'Store Code'!A:A)</f>
        <v>WAKAD</v>
      </c>
      <c r="E361" s="48" t="s">
        <v>1571</v>
      </c>
      <c r="F361" s="48">
        <v>50000</v>
      </c>
      <c r="G361" s="48" t="s">
        <v>720</v>
      </c>
      <c r="H361" s="48" t="s">
        <v>721</v>
      </c>
      <c r="I361" s="48" t="s">
        <v>722</v>
      </c>
      <c r="J361" s="48" t="s">
        <v>1718</v>
      </c>
      <c r="K361" s="54" t="s">
        <v>1722</v>
      </c>
      <c r="L361" s="54">
        <v>100341</v>
      </c>
    </row>
    <row r="362" spans="1:12">
      <c r="A362" s="52">
        <v>45631</v>
      </c>
      <c r="B362" s="48" t="s">
        <v>1573</v>
      </c>
      <c r="C362" s="48" t="s">
        <v>725</v>
      </c>
      <c r="D362" s="50" t="str">
        <f>_xlfn.XLOOKUP(J362,'Store Code'!B:B,'Store Code'!A:A)</f>
        <v>RASTA PETH</v>
      </c>
      <c r="E362" s="48" t="s">
        <v>292</v>
      </c>
      <c r="F362" s="48">
        <v>23000</v>
      </c>
      <c r="G362" s="48" t="s">
        <v>770</v>
      </c>
      <c r="H362" s="48" t="s">
        <v>721</v>
      </c>
      <c r="I362" s="48" t="s">
        <v>722</v>
      </c>
      <c r="J362" s="48" t="s">
        <v>1716</v>
      </c>
      <c r="K362" s="54" t="s">
        <v>1722</v>
      </c>
      <c r="L362" s="54">
        <v>100361</v>
      </c>
    </row>
    <row r="363" spans="1:12">
      <c r="A363" s="52">
        <v>45631</v>
      </c>
      <c r="B363" s="48" t="s">
        <v>1575</v>
      </c>
      <c r="C363" s="48" t="s">
        <v>725</v>
      </c>
      <c r="D363" s="50" t="str">
        <f>_xlfn.XLOOKUP(J363,'Store Code'!B:B,'Store Code'!A:A)</f>
        <v>KHARADI</v>
      </c>
      <c r="E363" s="48" t="s">
        <v>501</v>
      </c>
      <c r="F363" s="48">
        <v>39500</v>
      </c>
      <c r="G363" s="48" t="s">
        <v>1011</v>
      </c>
      <c r="H363" s="48" t="s">
        <v>721</v>
      </c>
      <c r="I363" s="48" t="s">
        <v>722</v>
      </c>
      <c r="J363" s="48" t="s">
        <v>1717</v>
      </c>
      <c r="K363" s="54" t="s">
        <v>1722</v>
      </c>
      <c r="L363" s="54">
        <v>100341</v>
      </c>
    </row>
    <row r="364" spans="1:12">
      <c r="A364" s="52">
        <v>45631</v>
      </c>
      <c r="B364" s="48" t="s">
        <v>1577</v>
      </c>
      <c r="C364" s="48" t="s">
        <v>769</v>
      </c>
      <c r="D364" s="50" t="str">
        <f>_xlfn.XLOOKUP(J364,'Store Code'!B:B,'Store Code'!A:A)</f>
        <v>RASTA PETH</v>
      </c>
      <c r="E364" s="48" t="s">
        <v>1578</v>
      </c>
      <c r="F364" s="48">
        <v>120000</v>
      </c>
      <c r="G364" s="51" t="s">
        <v>733</v>
      </c>
      <c r="H364" s="48" t="s">
        <v>721</v>
      </c>
      <c r="I364" s="48" t="s">
        <v>722</v>
      </c>
      <c r="J364" s="48" t="s">
        <v>1716</v>
      </c>
      <c r="K364" s="54" t="s">
        <v>1722</v>
      </c>
      <c r="L364" s="54">
        <v>100363</v>
      </c>
    </row>
    <row r="365" spans="1:12">
      <c r="A365" s="52">
        <v>45631</v>
      </c>
      <c r="B365" s="48" t="s">
        <v>1580</v>
      </c>
      <c r="C365" s="48" t="s">
        <v>725</v>
      </c>
      <c r="D365" s="50" t="str">
        <f>_xlfn.XLOOKUP(J365,'Store Code'!B:B,'Store Code'!A:A)</f>
        <v>RASTA PETH</v>
      </c>
      <c r="E365" s="48" t="s">
        <v>990</v>
      </c>
      <c r="F365" s="48">
        <v>14100</v>
      </c>
      <c r="G365" s="48" t="s">
        <v>720</v>
      </c>
      <c r="H365" s="48" t="s">
        <v>721</v>
      </c>
      <c r="I365" s="48" t="s">
        <v>722</v>
      </c>
      <c r="J365" s="48" t="s">
        <v>1716</v>
      </c>
      <c r="K365" s="54" t="s">
        <v>1722</v>
      </c>
      <c r="L365" s="54">
        <v>100362</v>
      </c>
    </row>
    <row r="366" spans="1:12">
      <c r="A366" s="52">
        <v>45633</v>
      </c>
      <c r="B366" s="48" t="s">
        <v>1582</v>
      </c>
      <c r="C366" s="48" t="s">
        <v>736</v>
      </c>
      <c r="D366" s="50" t="str">
        <f>_xlfn.XLOOKUP(J366,'Store Code'!B:B,'Store Code'!A:A)</f>
        <v>RASTA PETH</v>
      </c>
      <c r="E366" s="48" t="s">
        <v>750</v>
      </c>
      <c r="F366" s="48">
        <v>17500</v>
      </c>
      <c r="G366" s="48" t="s">
        <v>738</v>
      </c>
      <c r="H366" s="48" t="s">
        <v>721</v>
      </c>
      <c r="I366" s="48" t="s">
        <v>722</v>
      </c>
      <c r="J366" s="48" t="s">
        <v>1716</v>
      </c>
      <c r="K366" s="54" t="s">
        <v>1722</v>
      </c>
      <c r="L366" s="54">
        <v>100366</v>
      </c>
    </row>
    <row r="367" spans="1:12">
      <c r="A367" s="52">
        <v>45633</v>
      </c>
      <c r="B367" s="48" t="s">
        <v>1584</v>
      </c>
      <c r="C367" s="48" t="s">
        <v>725</v>
      </c>
      <c r="D367" s="50" t="str">
        <f>_xlfn.XLOOKUP(J367,'Store Code'!B:B,'Store Code'!A:A)</f>
        <v>RASTA PETH</v>
      </c>
      <c r="E367" s="48" t="s">
        <v>515</v>
      </c>
      <c r="F367" s="48">
        <v>28000</v>
      </c>
      <c r="G367" s="48" t="s">
        <v>738</v>
      </c>
      <c r="H367" s="48" t="s">
        <v>721</v>
      </c>
      <c r="I367" s="48" t="s">
        <v>722</v>
      </c>
      <c r="J367" s="48" t="s">
        <v>1716</v>
      </c>
      <c r="K367" s="54" t="s">
        <v>1722</v>
      </c>
      <c r="L367" s="54">
        <v>100364</v>
      </c>
    </row>
    <row r="368" spans="1:12">
      <c r="A368" s="52">
        <v>45633</v>
      </c>
      <c r="B368" s="48" t="s">
        <v>1586</v>
      </c>
      <c r="C368" s="48" t="s">
        <v>736</v>
      </c>
      <c r="D368" s="50" t="str">
        <f>_xlfn.XLOOKUP(J368,'Store Code'!B:B,'Store Code'!A:A)</f>
        <v>KHARADI</v>
      </c>
      <c r="E368" s="48" t="s">
        <v>853</v>
      </c>
      <c r="F368" s="48">
        <v>80000</v>
      </c>
      <c r="G368" s="51" t="s">
        <v>733</v>
      </c>
      <c r="H368" s="48" t="s">
        <v>721</v>
      </c>
      <c r="I368" s="48" t="s">
        <v>722</v>
      </c>
      <c r="J368" s="48" t="s">
        <v>1717</v>
      </c>
      <c r="K368" s="54" t="s">
        <v>1722</v>
      </c>
      <c r="L368" s="54">
        <v>100364</v>
      </c>
    </row>
    <row r="369" spans="1:12">
      <c r="A369" s="52">
        <v>45633</v>
      </c>
      <c r="B369" s="48" t="s">
        <v>1588</v>
      </c>
      <c r="C369" s="48" t="s">
        <v>781</v>
      </c>
      <c r="D369" s="50" t="str">
        <f>_xlfn.XLOOKUP(J369,'Store Code'!B:B,'Store Code'!A:A)</f>
        <v>RASTA PETH</v>
      </c>
      <c r="E369" s="48" t="s">
        <v>1488</v>
      </c>
      <c r="F369" s="48">
        <v>35000</v>
      </c>
      <c r="G369" s="51" t="s">
        <v>733</v>
      </c>
      <c r="H369" s="48" t="s">
        <v>721</v>
      </c>
      <c r="I369" s="48" t="s">
        <v>722</v>
      </c>
      <c r="J369" s="48" t="s">
        <v>1716</v>
      </c>
      <c r="K369" s="54" t="s">
        <v>1722</v>
      </c>
      <c r="L369" s="54">
        <v>100365</v>
      </c>
    </row>
    <row r="370" spans="1:12">
      <c r="A370" s="52">
        <v>45633</v>
      </c>
      <c r="B370" s="48" t="s">
        <v>1590</v>
      </c>
      <c r="C370" s="48" t="s">
        <v>755</v>
      </c>
      <c r="D370" s="50" t="str">
        <f>_xlfn.XLOOKUP(J370,'Store Code'!B:B,'Store Code'!A:A)</f>
        <v>WAKAD</v>
      </c>
      <c r="E370" s="48" t="s">
        <v>943</v>
      </c>
      <c r="F370" s="48">
        <v>20000</v>
      </c>
      <c r="G370" s="51" t="s">
        <v>733</v>
      </c>
      <c r="H370" s="48" t="s">
        <v>721</v>
      </c>
      <c r="I370" s="48" t="s">
        <v>722</v>
      </c>
      <c r="J370" s="48" t="s">
        <v>1718</v>
      </c>
      <c r="K370" s="54" t="s">
        <v>1722</v>
      </c>
      <c r="L370" s="54">
        <v>100362</v>
      </c>
    </row>
    <row r="371" spans="1:12">
      <c r="A371" s="52">
        <v>45633</v>
      </c>
      <c r="B371" s="48" t="s">
        <v>1592</v>
      </c>
      <c r="C371" s="48" t="s">
        <v>755</v>
      </c>
      <c r="D371" s="50" t="str">
        <f>_xlfn.XLOOKUP(J371,'Store Code'!B:B,'Store Code'!A:A)</f>
        <v>WAKAD</v>
      </c>
      <c r="E371" s="48" t="s">
        <v>1593</v>
      </c>
      <c r="F371" s="48">
        <v>18000</v>
      </c>
      <c r="G371" s="48" t="s">
        <v>720</v>
      </c>
      <c r="H371" s="48" t="s">
        <v>721</v>
      </c>
      <c r="I371" s="48" t="s">
        <v>722</v>
      </c>
      <c r="J371" s="48" t="s">
        <v>1718</v>
      </c>
      <c r="K371" s="54" t="s">
        <v>1722</v>
      </c>
      <c r="L371" s="54">
        <v>100366</v>
      </c>
    </row>
    <row r="372" spans="1:12">
      <c r="A372" s="52">
        <v>45633</v>
      </c>
      <c r="B372" s="48" t="s">
        <v>1595</v>
      </c>
      <c r="C372" s="48" t="s">
        <v>725</v>
      </c>
      <c r="D372" s="50" t="str">
        <f>_xlfn.XLOOKUP(J372,'Store Code'!B:B,'Store Code'!A:A)</f>
        <v>RASTA PETH</v>
      </c>
      <c r="E372" s="48" t="s">
        <v>1032</v>
      </c>
      <c r="F372" s="48">
        <v>20500</v>
      </c>
      <c r="G372" s="48" t="s">
        <v>738</v>
      </c>
      <c r="H372" s="48" t="s">
        <v>721</v>
      </c>
      <c r="I372" s="48" t="s">
        <v>722</v>
      </c>
      <c r="J372" s="48" t="s">
        <v>1716</v>
      </c>
      <c r="K372" s="54" t="s">
        <v>1722</v>
      </c>
      <c r="L372" s="54">
        <v>100367</v>
      </c>
    </row>
    <row r="373" spans="1:12">
      <c r="A373" s="52">
        <v>45633</v>
      </c>
      <c r="B373" s="48" t="s">
        <v>1597</v>
      </c>
      <c r="C373" s="48" t="s">
        <v>736</v>
      </c>
      <c r="D373" s="50" t="str">
        <f>_xlfn.XLOOKUP(J373,'Store Code'!B:B,'Store Code'!A:A)</f>
        <v>KHARADI</v>
      </c>
      <c r="E373" s="48" t="s">
        <v>224</v>
      </c>
      <c r="F373" s="48">
        <v>39100</v>
      </c>
      <c r="G373" s="51" t="s">
        <v>733</v>
      </c>
      <c r="H373" s="48" t="s">
        <v>721</v>
      </c>
      <c r="I373" s="48" t="s">
        <v>722</v>
      </c>
      <c r="J373" s="48" t="s">
        <v>1717</v>
      </c>
      <c r="K373" s="54" t="s">
        <v>1722</v>
      </c>
      <c r="L373" s="54">
        <v>100365</v>
      </c>
    </row>
    <row r="374" spans="1:12">
      <c r="A374" s="52">
        <v>45634</v>
      </c>
      <c r="B374" s="48" t="s">
        <v>1599</v>
      </c>
      <c r="C374" s="48" t="s">
        <v>725</v>
      </c>
      <c r="D374" s="50" t="str">
        <f>_xlfn.XLOOKUP(J374,'Store Code'!B:B,'Store Code'!A:A)</f>
        <v>RASTA PETH</v>
      </c>
      <c r="E374" s="48" t="s">
        <v>609</v>
      </c>
      <c r="F374" s="48">
        <v>52000</v>
      </c>
      <c r="G374" s="51" t="s">
        <v>733</v>
      </c>
      <c r="H374" s="48" t="s">
        <v>721</v>
      </c>
      <c r="I374" s="48" t="s">
        <v>722</v>
      </c>
      <c r="J374" s="48" t="s">
        <v>1716</v>
      </c>
      <c r="K374" s="54" t="s">
        <v>1722</v>
      </c>
      <c r="L374" s="54">
        <v>100369</v>
      </c>
    </row>
    <row r="375" spans="1:12">
      <c r="A375" s="52">
        <v>45635</v>
      </c>
      <c r="B375" s="48" t="s">
        <v>1601</v>
      </c>
      <c r="C375" s="48" t="s">
        <v>725</v>
      </c>
      <c r="D375" s="50" t="str">
        <f>_xlfn.XLOOKUP(J375,'Store Code'!B:B,'Store Code'!A:A)</f>
        <v>WAKAD</v>
      </c>
      <c r="E375" s="48" t="s">
        <v>515</v>
      </c>
      <c r="F375" s="48">
        <v>23000</v>
      </c>
      <c r="G375" s="48" t="s">
        <v>770</v>
      </c>
      <c r="H375" s="48" t="s">
        <v>721</v>
      </c>
      <c r="I375" s="48" t="s">
        <v>722</v>
      </c>
      <c r="J375" s="48" t="s">
        <v>1718</v>
      </c>
      <c r="K375" s="54" t="s">
        <v>1722</v>
      </c>
      <c r="L375" s="54">
        <v>100368</v>
      </c>
    </row>
    <row r="376" spans="1:12">
      <c r="A376" s="52">
        <v>45635</v>
      </c>
      <c r="B376" s="48" t="s">
        <v>1603</v>
      </c>
      <c r="C376" s="48" t="s">
        <v>743</v>
      </c>
      <c r="D376" s="50" t="str">
        <f>_xlfn.XLOOKUP(J376,'Store Code'!B:B,'Store Code'!A:A)</f>
        <v>WAKAD</v>
      </c>
      <c r="E376" s="48" t="s">
        <v>684</v>
      </c>
      <c r="F376" s="48">
        <v>10000</v>
      </c>
      <c r="G376" s="48" t="s">
        <v>770</v>
      </c>
      <c r="H376" s="48" t="s">
        <v>721</v>
      </c>
      <c r="I376" s="48" t="s">
        <v>722</v>
      </c>
      <c r="J376" s="48" t="s">
        <v>1718</v>
      </c>
      <c r="K376" s="54" t="s">
        <v>1722</v>
      </c>
      <c r="L376" s="54">
        <v>100367</v>
      </c>
    </row>
    <row r="377" spans="1:12">
      <c r="A377" s="53">
        <v>45637</v>
      </c>
      <c r="B377" s="48" t="s">
        <v>1605</v>
      </c>
      <c r="C377" s="48" t="s">
        <v>725</v>
      </c>
      <c r="D377" s="50" t="str">
        <f>_xlfn.XLOOKUP(J377,'Store Code'!B:B,'Store Code'!A:A)</f>
        <v>WAKAD</v>
      </c>
      <c r="E377" s="48" t="s">
        <v>1027</v>
      </c>
      <c r="F377" s="48">
        <v>75000</v>
      </c>
      <c r="G377" s="48" t="s">
        <v>760</v>
      </c>
      <c r="H377" s="48" t="s">
        <v>721</v>
      </c>
      <c r="I377" s="48" t="s">
        <v>722</v>
      </c>
      <c r="J377" s="48" t="s">
        <v>1718</v>
      </c>
      <c r="K377" s="54" t="s">
        <v>1722</v>
      </c>
      <c r="L377" s="54">
        <v>100369</v>
      </c>
    </row>
    <row r="378" spans="1:12">
      <c r="A378" s="53">
        <v>45637</v>
      </c>
      <c r="B378" s="48" t="s">
        <v>1607</v>
      </c>
      <c r="C378" s="48" t="s">
        <v>755</v>
      </c>
      <c r="D378" s="50" t="str">
        <f>_xlfn.XLOOKUP(J378,'Store Code'!B:B,'Store Code'!A:A)</f>
        <v>RASTA PETH</v>
      </c>
      <c r="E378" s="48" t="s">
        <v>1608</v>
      </c>
      <c r="F378" s="48">
        <v>23000</v>
      </c>
      <c r="G378" s="48" t="s">
        <v>738</v>
      </c>
      <c r="H378" s="48" t="s">
        <v>721</v>
      </c>
      <c r="I378" s="48" t="s">
        <v>722</v>
      </c>
      <c r="J378" s="48" t="s">
        <v>1716</v>
      </c>
      <c r="K378" s="54" t="s">
        <v>1722</v>
      </c>
      <c r="L378" s="54">
        <v>100372</v>
      </c>
    </row>
    <row r="379" spans="1:12">
      <c r="A379" s="53">
        <v>45639</v>
      </c>
      <c r="B379" s="48" t="s">
        <v>1610</v>
      </c>
      <c r="C379" s="48" t="s">
        <v>725</v>
      </c>
      <c r="D379" s="50" t="str">
        <f>_xlfn.XLOOKUP(J379,'Store Code'!B:B,'Store Code'!A:A)</f>
        <v>RASTA PETH</v>
      </c>
      <c r="E379" s="48" t="s">
        <v>356</v>
      </c>
      <c r="F379" s="48">
        <v>34500</v>
      </c>
      <c r="G379" s="48" t="s">
        <v>770</v>
      </c>
      <c r="H379" s="48" t="s">
        <v>721</v>
      </c>
      <c r="I379" s="48" t="s">
        <v>722</v>
      </c>
      <c r="J379" s="48" t="s">
        <v>1716</v>
      </c>
      <c r="K379" s="54" t="s">
        <v>1722</v>
      </c>
      <c r="L379" s="54">
        <v>100373</v>
      </c>
    </row>
    <row r="380" spans="1:12">
      <c r="A380" s="53">
        <v>45639</v>
      </c>
      <c r="B380" s="48" t="s">
        <v>1612</v>
      </c>
      <c r="C380" s="48" t="s">
        <v>736</v>
      </c>
      <c r="D380" s="50" t="str">
        <f>_xlfn.XLOOKUP(J380,'Store Code'!B:B,'Store Code'!A:A)</f>
        <v>RASTA PETH</v>
      </c>
      <c r="E380" s="48" t="s">
        <v>1177</v>
      </c>
      <c r="F380" s="48">
        <v>32500</v>
      </c>
      <c r="G380" s="48" t="s">
        <v>720</v>
      </c>
      <c r="H380" s="48" t="s">
        <v>721</v>
      </c>
      <c r="I380" s="48" t="s">
        <v>722</v>
      </c>
      <c r="J380" s="48" t="s">
        <v>1716</v>
      </c>
      <c r="K380" s="54" t="s">
        <v>1722</v>
      </c>
      <c r="L380" s="54">
        <v>100374</v>
      </c>
    </row>
    <row r="381" spans="1:12">
      <c r="A381" s="53">
        <v>45640</v>
      </c>
      <c r="B381" s="48" t="s">
        <v>1614</v>
      </c>
      <c r="C381" s="48" t="s">
        <v>725</v>
      </c>
      <c r="D381" s="50" t="str">
        <f>_xlfn.XLOOKUP(J381,'Store Code'!B:B,'Store Code'!A:A)</f>
        <v>RASTA PETH</v>
      </c>
      <c r="E381" s="48" t="s">
        <v>1032</v>
      </c>
      <c r="F381" s="48">
        <v>20000</v>
      </c>
      <c r="G381" s="48" t="s">
        <v>738</v>
      </c>
      <c r="H381" s="48" t="s">
        <v>721</v>
      </c>
      <c r="I381" s="48" t="s">
        <v>722</v>
      </c>
      <c r="J381" s="48" t="s">
        <v>1716</v>
      </c>
      <c r="K381" s="54" t="s">
        <v>1722</v>
      </c>
      <c r="L381" s="54">
        <v>100375</v>
      </c>
    </row>
    <row r="382" spans="1:12">
      <c r="A382" s="53">
        <v>45640</v>
      </c>
      <c r="B382" s="48" t="s">
        <v>1616</v>
      </c>
      <c r="C382" s="48" t="s">
        <v>773</v>
      </c>
      <c r="D382" s="50" t="str">
        <f>_xlfn.XLOOKUP(J382,'Store Code'!B:B,'Store Code'!A:A)</f>
        <v>RASTA PETH</v>
      </c>
      <c r="E382" s="48" t="s">
        <v>1617</v>
      </c>
      <c r="F382" s="48">
        <v>34000</v>
      </c>
      <c r="G382" s="51" t="s">
        <v>733</v>
      </c>
      <c r="H382" s="48" t="s">
        <v>721</v>
      </c>
      <c r="I382" s="48" t="s">
        <v>722</v>
      </c>
      <c r="J382" s="48" t="s">
        <v>1716</v>
      </c>
      <c r="K382" s="54" t="s">
        <v>1722</v>
      </c>
      <c r="L382" s="54">
        <v>100376</v>
      </c>
    </row>
    <row r="383" spans="1:12">
      <c r="A383" s="53">
        <v>45640</v>
      </c>
      <c r="B383" s="48" t="s">
        <v>1619</v>
      </c>
      <c r="C383" s="48" t="s">
        <v>736</v>
      </c>
      <c r="D383" s="50" t="str">
        <f>_xlfn.XLOOKUP(J383,'Store Code'!B:B,'Store Code'!A:A)</f>
        <v>KHARADI</v>
      </c>
      <c r="E383" s="48" t="s">
        <v>750</v>
      </c>
      <c r="F383" s="48">
        <v>22000</v>
      </c>
      <c r="G383" s="51" t="s">
        <v>733</v>
      </c>
      <c r="H383" s="48" t="s">
        <v>721</v>
      </c>
      <c r="I383" s="48" t="s">
        <v>722</v>
      </c>
      <c r="J383" s="48" t="s">
        <v>1717</v>
      </c>
      <c r="K383" s="54" t="s">
        <v>1722</v>
      </c>
      <c r="L383" s="54">
        <v>100377</v>
      </c>
    </row>
    <row r="384" spans="1:12">
      <c r="A384" s="53">
        <v>45641</v>
      </c>
      <c r="B384" s="48" t="s">
        <v>1621</v>
      </c>
      <c r="C384" s="48" t="s">
        <v>781</v>
      </c>
      <c r="D384" s="50" t="str">
        <f>_xlfn.XLOOKUP(J384,'Store Code'!B:B,'Store Code'!A:A)</f>
        <v>RASTA PETH</v>
      </c>
      <c r="E384" s="48" t="s">
        <v>1622</v>
      </c>
      <c r="F384" s="48">
        <v>55000</v>
      </c>
      <c r="G384" s="51" t="s">
        <v>733</v>
      </c>
      <c r="H384" s="48" t="s">
        <v>721</v>
      </c>
      <c r="I384" s="48" t="s">
        <v>722</v>
      </c>
      <c r="J384" s="48" t="s">
        <v>1716</v>
      </c>
      <c r="K384" s="54" t="s">
        <v>1722</v>
      </c>
      <c r="L384" s="54">
        <v>100377</v>
      </c>
    </row>
    <row r="385" spans="1:12">
      <c r="A385" s="53">
        <v>45642</v>
      </c>
      <c r="B385" s="48" t="s">
        <v>1624</v>
      </c>
      <c r="C385" s="48" t="s">
        <v>736</v>
      </c>
      <c r="D385" s="50" t="str">
        <f>_xlfn.XLOOKUP(J385,'Store Code'!B:B,'Store Code'!A:A)</f>
        <v>RASTA PETH</v>
      </c>
      <c r="E385" s="48" t="s">
        <v>224</v>
      </c>
      <c r="F385" s="48">
        <v>14560</v>
      </c>
      <c r="G385" s="48" t="s">
        <v>738</v>
      </c>
      <c r="H385" s="48" t="s">
        <v>721</v>
      </c>
      <c r="I385" s="48" t="s">
        <v>722</v>
      </c>
      <c r="J385" s="48" t="s">
        <v>1716</v>
      </c>
      <c r="K385" s="54" t="s">
        <v>1722</v>
      </c>
      <c r="L385" s="54">
        <v>100379</v>
      </c>
    </row>
    <row r="386" spans="1:12">
      <c r="A386" s="53">
        <v>45642</v>
      </c>
      <c r="B386" s="48" t="s">
        <v>1626</v>
      </c>
      <c r="C386" s="48" t="s">
        <v>725</v>
      </c>
      <c r="D386" s="50" t="str">
        <f>_xlfn.XLOOKUP(J386,'Store Code'!B:B,'Store Code'!A:A)</f>
        <v>RASTA PETH</v>
      </c>
      <c r="E386" s="48" t="s">
        <v>867</v>
      </c>
      <c r="F386" s="48">
        <v>16500</v>
      </c>
      <c r="G386" s="51" t="s">
        <v>733</v>
      </c>
      <c r="H386" s="48" t="s">
        <v>721</v>
      </c>
      <c r="I386" s="48" t="s">
        <v>722</v>
      </c>
      <c r="J386" s="48" t="s">
        <v>1716</v>
      </c>
      <c r="K386" s="54" t="s">
        <v>1722</v>
      </c>
      <c r="L386" s="54">
        <v>100378</v>
      </c>
    </row>
    <row r="387" spans="1:12">
      <c r="A387" s="53">
        <v>45642</v>
      </c>
      <c r="B387" s="48" t="s">
        <v>1628</v>
      </c>
      <c r="C387" s="48" t="s">
        <v>278</v>
      </c>
      <c r="D387" s="50" t="str">
        <f>_xlfn.XLOOKUP(J387,'Store Code'!B:B,'Store Code'!A:A)</f>
        <v>RASTA PETH</v>
      </c>
      <c r="E387" s="48" t="s">
        <v>1113</v>
      </c>
      <c r="F387" s="48">
        <v>36000</v>
      </c>
      <c r="G387" s="48" t="s">
        <v>770</v>
      </c>
      <c r="H387" s="48" t="s">
        <v>721</v>
      </c>
      <c r="I387" s="48" t="s">
        <v>722</v>
      </c>
      <c r="J387" s="48" t="s">
        <v>1716</v>
      </c>
      <c r="K387" s="54" t="s">
        <v>1722</v>
      </c>
      <c r="L387" s="54">
        <v>100395</v>
      </c>
    </row>
    <row r="388" spans="1:12">
      <c r="A388" s="53">
        <v>45642</v>
      </c>
      <c r="B388" s="48" t="s">
        <v>1630</v>
      </c>
      <c r="C388" s="48" t="s">
        <v>725</v>
      </c>
      <c r="D388" s="50" t="str">
        <f>_xlfn.XLOOKUP(J388,'Store Code'!B:B,'Store Code'!A:A)</f>
        <v>RASTA PETH</v>
      </c>
      <c r="E388" s="48" t="s">
        <v>292</v>
      </c>
      <c r="F388" s="48">
        <v>26000</v>
      </c>
      <c r="G388" s="51" t="s">
        <v>733</v>
      </c>
      <c r="H388" s="48" t="s">
        <v>721</v>
      </c>
      <c r="I388" s="48" t="s">
        <v>722</v>
      </c>
      <c r="J388" s="48" t="s">
        <v>1716</v>
      </c>
      <c r="K388" s="54" t="s">
        <v>1722</v>
      </c>
      <c r="L388" s="54">
        <v>100381</v>
      </c>
    </row>
    <row r="389" spans="1:12">
      <c r="A389" s="53">
        <v>45642</v>
      </c>
      <c r="B389" s="48" t="s">
        <v>1632</v>
      </c>
      <c r="C389" s="48" t="s">
        <v>732</v>
      </c>
      <c r="D389" s="50" t="str">
        <f>_xlfn.XLOOKUP(J389,'Store Code'!B:B,'Store Code'!A:A)</f>
        <v>RASTA PETH</v>
      </c>
      <c r="E389" s="48" t="s">
        <v>707</v>
      </c>
      <c r="F389" s="48">
        <v>22100</v>
      </c>
      <c r="G389" s="51" t="s">
        <v>733</v>
      </c>
      <c r="H389" s="48" t="s">
        <v>721</v>
      </c>
      <c r="I389" s="48" t="s">
        <v>722</v>
      </c>
      <c r="J389" s="48" t="s">
        <v>1716</v>
      </c>
      <c r="K389" s="54" t="s">
        <v>1722</v>
      </c>
      <c r="L389" s="54">
        <v>100380</v>
      </c>
    </row>
    <row r="390" spans="1:12">
      <c r="A390" s="53">
        <v>45643</v>
      </c>
      <c r="B390" s="48" t="s">
        <v>1634</v>
      </c>
      <c r="C390" s="48" t="s">
        <v>743</v>
      </c>
      <c r="D390" s="50" t="str">
        <f>_xlfn.XLOOKUP(J390,'Store Code'!B:B,'Store Code'!A:A)</f>
        <v>RASTA PETH</v>
      </c>
      <c r="E390" s="48" t="s">
        <v>1039</v>
      </c>
      <c r="F390" s="48">
        <v>30000</v>
      </c>
      <c r="G390" s="48" t="s">
        <v>738</v>
      </c>
      <c r="H390" s="48" t="s">
        <v>721</v>
      </c>
      <c r="I390" s="48" t="s">
        <v>722</v>
      </c>
      <c r="J390" s="48" t="s">
        <v>1716</v>
      </c>
      <c r="K390" s="54" t="s">
        <v>1722</v>
      </c>
      <c r="L390" s="54">
        <v>100383</v>
      </c>
    </row>
    <row r="391" spans="1:12">
      <c r="A391" s="53">
        <v>45643</v>
      </c>
      <c r="B391" s="48" t="s">
        <v>1636</v>
      </c>
      <c r="C391" s="48" t="s">
        <v>725</v>
      </c>
      <c r="D391" s="50" t="str">
        <f>_xlfn.XLOOKUP(J391,'Store Code'!B:B,'Store Code'!A:A)</f>
        <v>RASTA PETH</v>
      </c>
      <c r="E391" s="48" t="s">
        <v>867</v>
      </c>
      <c r="F391" s="48">
        <v>13500</v>
      </c>
      <c r="G391" s="48" t="s">
        <v>738</v>
      </c>
      <c r="H391" s="48" t="s">
        <v>721</v>
      </c>
      <c r="I391" s="48" t="s">
        <v>722</v>
      </c>
      <c r="J391" s="48" t="s">
        <v>1716</v>
      </c>
      <c r="K391" s="54" t="s">
        <v>1722</v>
      </c>
      <c r="L391" s="54">
        <v>100385</v>
      </c>
    </row>
    <row r="392" spans="1:12">
      <c r="A392" s="53">
        <v>45643</v>
      </c>
      <c r="B392" s="48" t="s">
        <v>1638</v>
      </c>
      <c r="C392" s="48" t="s">
        <v>769</v>
      </c>
      <c r="D392" s="50" t="str">
        <f>_xlfn.XLOOKUP(J392,'Store Code'!B:B,'Store Code'!A:A)</f>
        <v>RASTA PETH</v>
      </c>
      <c r="E392" s="48" t="s">
        <v>433</v>
      </c>
      <c r="F392" s="48">
        <v>30000</v>
      </c>
      <c r="G392" s="48" t="s">
        <v>738</v>
      </c>
      <c r="H392" s="48" t="s">
        <v>721</v>
      </c>
      <c r="I392" s="48" t="s">
        <v>722</v>
      </c>
      <c r="J392" s="48" t="s">
        <v>1716</v>
      </c>
      <c r="K392" s="54" t="s">
        <v>1722</v>
      </c>
      <c r="L392" s="54">
        <v>100384</v>
      </c>
    </row>
    <row r="393" spans="1:12">
      <c r="A393" s="53">
        <v>45643</v>
      </c>
      <c r="B393" s="48" t="s">
        <v>1640</v>
      </c>
      <c r="C393" s="48" t="s">
        <v>725</v>
      </c>
      <c r="D393" s="50" t="str">
        <f>_xlfn.XLOOKUP(J393,'Store Code'!B:B,'Store Code'!A:A)</f>
        <v>RASTA PETH</v>
      </c>
      <c r="E393" s="48" t="s">
        <v>1641</v>
      </c>
      <c r="F393" s="48">
        <v>90000</v>
      </c>
      <c r="G393" s="48" t="s">
        <v>738</v>
      </c>
      <c r="H393" s="48" t="s">
        <v>721</v>
      </c>
      <c r="I393" s="48" t="s">
        <v>722</v>
      </c>
      <c r="J393" s="48" t="s">
        <v>1716</v>
      </c>
      <c r="K393" s="54" t="s">
        <v>1722</v>
      </c>
      <c r="L393" s="54">
        <v>100382</v>
      </c>
    </row>
    <row r="394" spans="1:12">
      <c r="A394" s="53">
        <v>45643</v>
      </c>
      <c r="B394" s="48" t="s">
        <v>1643</v>
      </c>
      <c r="C394" s="48" t="s">
        <v>725</v>
      </c>
      <c r="D394" s="50" t="str">
        <f>_xlfn.XLOOKUP(J394,'Store Code'!B:B,'Store Code'!A:A)</f>
        <v>RASTA PETH</v>
      </c>
      <c r="E394" s="48" t="s">
        <v>501</v>
      </c>
      <c r="F394" s="48">
        <v>28000</v>
      </c>
      <c r="G394" s="48" t="s">
        <v>738</v>
      </c>
      <c r="H394" s="48" t="s">
        <v>721</v>
      </c>
      <c r="I394" s="48" t="s">
        <v>722</v>
      </c>
      <c r="J394" s="48" t="s">
        <v>1716</v>
      </c>
      <c r="K394" s="54" t="s">
        <v>1722</v>
      </c>
      <c r="L394" s="54">
        <v>100386</v>
      </c>
    </row>
    <row r="395" spans="1:12">
      <c r="A395" s="53">
        <v>45643</v>
      </c>
      <c r="B395" s="48" t="s">
        <v>1645</v>
      </c>
      <c r="C395" s="48" t="s">
        <v>781</v>
      </c>
      <c r="D395" s="50" t="str">
        <f>_xlfn.XLOOKUP(J395,'Store Code'!B:B,'Store Code'!A:A)</f>
        <v>RASTA PETH</v>
      </c>
      <c r="E395" s="48" t="s">
        <v>894</v>
      </c>
      <c r="F395" s="48">
        <v>42000</v>
      </c>
      <c r="G395" s="48" t="s">
        <v>738</v>
      </c>
      <c r="H395" s="48" t="s">
        <v>721</v>
      </c>
      <c r="I395" s="48" t="s">
        <v>722</v>
      </c>
      <c r="J395" s="48" t="s">
        <v>1716</v>
      </c>
      <c r="K395" s="54" t="s">
        <v>1722</v>
      </c>
      <c r="L395" s="54">
        <v>100388</v>
      </c>
    </row>
    <row r="396" spans="1:12">
      <c r="A396" s="53">
        <v>45643</v>
      </c>
      <c r="B396" s="48" t="s">
        <v>1647</v>
      </c>
      <c r="C396" s="48" t="s">
        <v>755</v>
      </c>
      <c r="D396" s="50" t="str">
        <f>_xlfn.XLOOKUP(J396,'Store Code'!B:B,'Store Code'!A:A)</f>
        <v>RASTA PETH</v>
      </c>
      <c r="E396" s="48" t="s">
        <v>1506</v>
      </c>
      <c r="F396" s="48">
        <v>29000</v>
      </c>
      <c r="G396" s="48" t="s">
        <v>738</v>
      </c>
      <c r="H396" s="48" t="s">
        <v>721</v>
      </c>
      <c r="I396" s="48" t="s">
        <v>722</v>
      </c>
      <c r="J396" s="48" t="s">
        <v>1716</v>
      </c>
      <c r="K396" s="54" t="s">
        <v>1722</v>
      </c>
      <c r="L396" s="54">
        <v>100389</v>
      </c>
    </row>
    <row r="397" spans="1:12">
      <c r="A397" s="53">
        <v>45643</v>
      </c>
      <c r="B397" s="48" t="s">
        <v>1649</v>
      </c>
      <c r="C397" s="48" t="s">
        <v>781</v>
      </c>
      <c r="D397" s="50" t="str">
        <f>_xlfn.XLOOKUP(J397,'Store Code'!B:B,'Store Code'!A:A)</f>
        <v>RASTA PETH</v>
      </c>
      <c r="E397" s="48" t="s">
        <v>894</v>
      </c>
      <c r="F397" s="48">
        <v>23000</v>
      </c>
      <c r="G397" s="48" t="s">
        <v>738</v>
      </c>
      <c r="H397" s="48" t="s">
        <v>721</v>
      </c>
      <c r="I397" s="48" t="s">
        <v>722</v>
      </c>
      <c r="J397" s="48" t="s">
        <v>1716</v>
      </c>
      <c r="K397" s="54" t="s">
        <v>1722</v>
      </c>
      <c r="L397" s="54">
        <v>100387</v>
      </c>
    </row>
    <row r="398" spans="1:12">
      <c r="A398" s="53">
        <v>45644</v>
      </c>
      <c r="B398" s="48" t="s">
        <v>1651</v>
      </c>
      <c r="C398" s="48" t="s">
        <v>736</v>
      </c>
      <c r="D398" s="50" t="str">
        <f>_xlfn.XLOOKUP(J398,'Store Code'!B:B,'Store Code'!A:A)</f>
        <v>RASTA PETH</v>
      </c>
      <c r="E398" s="48" t="s">
        <v>205</v>
      </c>
      <c r="F398" s="48">
        <v>18000</v>
      </c>
      <c r="G398" s="48" t="s">
        <v>720</v>
      </c>
      <c r="H398" s="48" t="s">
        <v>721</v>
      </c>
      <c r="I398" s="48" t="s">
        <v>722</v>
      </c>
      <c r="J398" s="48" t="s">
        <v>1716</v>
      </c>
      <c r="K398" s="54" t="s">
        <v>1722</v>
      </c>
      <c r="L398" s="54">
        <v>100390</v>
      </c>
    </row>
    <row r="399" spans="1:12">
      <c r="A399" s="53">
        <v>45645</v>
      </c>
      <c r="B399" s="48" t="s">
        <v>1653</v>
      </c>
      <c r="C399" s="48" t="s">
        <v>725</v>
      </c>
      <c r="D399" s="50" t="str">
        <f>_xlfn.XLOOKUP(J399,'Store Code'!B:B,'Store Code'!A:A)</f>
        <v>RASTA PETH</v>
      </c>
      <c r="E399" s="48" t="s">
        <v>515</v>
      </c>
      <c r="F399" s="48">
        <v>30500</v>
      </c>
      <c r="G399" s="51" t="s">
        <v>733</v>
      </c>
      <c r="H399" s="48" t="s">
        <v>721</v>
      </c>
      <c r="I399" s="48" t="s">
        <v>722</v>
      </c>
      <c r="J399" s="48" t="s">
        <v>1716</v>
      </c>
      <c r="K399" s="54" t="s">
        <v>1722</v>
      </c>
      <c r="L399" s="54">
        <v>100392</v>
      </c>
    </row>
    <row r="400" spans="1:12">
      <c r="A400" s="53">
        <v>45645</v>
      </c>
      <c r="B400" s="48" t="s">
        <v>1655</v>
      </c>
      <c r="C400" s="48" t="s">
        <v>725</v>
      </c>
      <c r="D400" s="50" t="str">
        <f>_xlfn.XLOOKUP(J400,'Store Code'!B:B,'Store Code'!A:A)</f>
        <v>RASTA PETH</v>
      </c>
      <c r="E400" s="48" t="s">
        <v>292</v>
      </c>
      <c r="F400" s="48">
        <v>23000</v>
      </c>
      <c r="G400" s="48" t="s">
        <v>738</v>
      </c>
      <c r="H400" s="48" t="s">
        <v>721</v>
      </c>
      <c r="I400" s="48" t="s">
        <v>722</v>
      </c>
      <c r="J400" s="48" t="s">
        <v>1716</v>
      </c>
      <c r="K400" s="54" t="s">
        <v>1722</v>
      </c>
      <c r="L400" s="54">
        <v>100393</v>
      </c>
    </row>
    <row r="401" spans="1:12">
      <c r="A401" s="53">
        <v>45645</v>
      </c>
      <c r="B401" s="48" t="s">
        <v>1657</v>
      </c>
      <c r="C401" s="48" t="s">
        <v>725</v>
      </c>
      <c r="D401" s="50" t="str">
        <f>_xlfn.XLOOKUP(J401,'Store Code'!B:B,'Store Code'!A:A)</f>
        <v>RASTA PETH</v>
      </c>
      <c r="E401" s="48" t="s">
        <v>800</v>
      </c>
      <c r="F401" s="48">
        <v>63000</v>
      </c>
      <c r="G401" s="51" t="s">
        <v>733</v>
      </c>
      <c r="H401" s="48" t="s">
        <v>721</v>
      </c>
      <c r="I401" s="48" t="s">
        <v>722</v>
      </c>
      <c r="J401" s="48" t="s">
        <v>1716</v>
      </c>
      <c r="K401" s="54" t="s">
        <v>1722</v>
      </c>
      <c r="L401" s="54">
        <v>100391</v>
      </c>
    </row>
    <row r="402" spans="1:12">
      <c r="A402" s="53">
        <v>45646</v>
      </c>
      <c r="B402" s="48" t="s">
        <v>1659</v>
      </c>
      <c r="C402" s="48" t="s">
        <v>769</v>
      </c>
      <c r="D402" s="50" t="str">
        <f>_xlfn.XLOOKUP(J402,'Store Code'!B:B,'Store Code'!A:A)</f>
        <v>RASTA PETH</v>
      </c>
      <c r="E402" s="48" t="s">
        <v>1406</v>
      </c>
      <c r="F402" s="48">
        <v>29200</v>
      </c>
      <c r="G402" s="48" t="s">
        <v>738</v>
      </c>
      <c r="H402" s="48" t="s">
        <v>721</v>
      </c>
      <c r="I402" s="48" t="s">
        <v>722</v>
      </c>
      <c r="J402" s="48" t="s">
        <v>1716</v>
      </c>
      <c r="K402" s="54" t="s">
        <v>1722</v>
      </c>
      <c r="L402" s="54">
        <v>100402</v>
      </c>
    </row>
    <row r="403" spans="1:12">
      <c r="A403" s="53">
        <v>45648</v>
      </c>
      <c r="B403" s="48" t="s">
        <v>1661</v>
      </c>
      <c r="C403" s="48" t="s">
        <v>725</v>
      </c>
      <c r="D403" s="50" t="str">
        <f>_xlfn.XLOOKUP(J403,'Store Code'!B:B,'Store Code'!A:A)</f>
        <v>WAKAD</v>
      </c>
      <c r="E403" s="48" t="s">
        <v>867</v>
      </c>
      <c r="F403" s="48">
        <v>77000</v>
      </c>
      <c r="G403" s="48" t="s">
        <v>720</v>
      </c>
      <c r="H403" s="48" t="s">
        <v>721</v>
      </c>
      <c r="I403" s="48" t="s">
        <v>722</v>
      </c>
      <c r="J403" s="48" t="s">
        <v>1718</v>
      </c>
      <c r="K403" s="54" t="s">
        <v>1722</v>
      </c>
      <c r="L403" s="54">
        <v>100386</v>
      </c>
    </row>
    <row r="404" spans="1:12">
      <c r="A404" s="53">
        <v>45648</v>
      </c>
      <c r="B404" s="48" t="s">
        <v>1663</v>
      </c>
      <c r="C404" s="48" t="s">
        <v>725</v>
      </c>
      <c r="D404" s="50" t="str">
        <f>_xlfn.XLOOKUP(J404,'Store Code'!B:B,'Store Code'!A:A)</f>
        <v>RASTA PETH</v>
      </c>
      <c r="E404" s="48" t="s">
        <v>292</v>
      </c>
      <c r="F404" s="48">
        <v>28000</v>
      </c>
      <c r="G404" s="51" t="s">
        <v>733</v>
      </c>
      <c r="H404" s="48" t="s">
        <v>721</v>
      </c>
      <c r="I404" s="48" t="s">
        <v>722</v>
      </c>
      <c r="J404" s="48" t="s">
        <v>1716</v>
      </c>
      <c r="K404" s="54" t="s">
        <v>1722</v>
      </c>
      <c r="L404" s="54">
        <v>100396</v>
      </c>
    </row>
    <row r="405" spans="1:12">
      <c r="A405" s="53">
        <v>45649</v>
      </c>
      <c r="B405" s="48" t="s">
        <v>1665</v>
      </c>
      <c r="C405" s="48" t="s">
        <v>725</v>
      </c>
      <c r="D405" s="50" t="str">
        <f>_xlfn.XLOOKUP(J405,'Store Code'!B:B,'Store Code'!A:A)</f>
        <v>KHARADI</v>
      </c>
      <c r="E405" s="48" t="s">
        <v>292</v>
      </c>
      <c r="F405" s="48">
        <v>75000</v>
      </c>
      <c r="G405" s="51" t="s">
        <v>733</v>
      </c>
      <c r="H405" s="48" t="s">
        <v>721</v>
      </c>
      <c r="I405" s="48" t="s">
        <v>722</v>
      </c>
      <c r="J405" s="48" t="s">
        <v>1717</v>
      </c>
      <c r="K405" s="54" t="s">
        <v>1722</v>
      </c>
      <c r="L405" s="54">
        <v>100390</v>
      </c>
    </row>
    <row r="406" spans="1:12">
      <c r="A406" s="53">
        <v>45649</v>
      </c>
      <c r="B406" s="48" t="s">
        <v>1667</v>
      </c>
      <c r="C406" s="48" t="s">
        <v>725</v>
      </c>
      <c r="D406" s="50" t="str">
        <f>_xlfn.XLOOKUP(J406,'Store Code'!B:B,'Store Code'!A:A)</f>
        <v>RASTA PETH</v>
      </c>
      <c r="E406" s="48" t="s">
        <v>1668</v>
      </c>
      <c r="F406" s="48">
        <v>41000</v>
      </c>
      <c r="G406" s="51" t="s">
        <v>733</v>
      </c>
      <c r="H406" s="48" t="s">
        <v>721</v>
      </c>
      <c r="I406" s="48" t="s">
        <v>722</v>
      </c>
      <c r="J406" s="48" t="s">
        <v>1716</v>
      </c>
      <c r="K406" s="54" t="s">
        <v>1722</v>
      </c>
      <c r="L406" s="54">
        <v>100398</v>
      </c>
    </row>
    <row r="407" spans="1:12">
      <c r="A407" s="53">
        <v>45652</v>
      </c>
      <c r="B407" s="48" t="s">
        <v>1670</v>
      </c>
      <c r="C407" s="48" t="s">
        <v>725</v>
      </c>
      <c r="D407" s="50" t="str">
        <f>_xlfn.XLOOKUP(J407,'Store Code'!B:B,'Store Code'!A:A)</f>
        <v>WAKAD</v>
      </c>
      <c r="E407" s="48" t="s">
        <v>1124</v>
      </c>
      <c r="F407" s="48">
        <v>18000</v>
      </c>
      <c r="G407" s="51" t="s">
        <v>733</v>
      </c>
      <c r="H407" s="48" t="s">
        <v>721</v>
      </c>
      <c r="I407" s="48" t="s">
        <v>722</v>
      </c>
      <c r="J407" s="48" t="s">
        <v>1718</v>
      </c>
      <c r="K407" s="54" t="s">
        <v>1722</v>
      </c>
      <c r="L407" s="54">
        <v>100387</v>
      </c>
    </row>
    <row r="408" spans="1:12">
      <c r="A408" s="53">
        <v>45653</v>
      </c>
      <c r="B408" s="48" t="s">
        <v>1672</v>
      </c>
      <c r="C408" s="48" t="s">
        <v>736</v>
      </c>
      <c r="D408" s="50" t="str">
        <f>_xlfn.XLOOKUP(J408,'Store Code'!B:B,'Store Code'!A:A)</f>
        <v>RASTA PETH</v>
      </c>
      <c r="E408" s="48" t="s">
        <v>1673</v>
      </c>
      <c r="F408" s="48">
        <v>125000</v>
      </c>
      <c r="G408" s="48" t="s">
        <v>720</v>
      </c>
      <c r="H408" s="48" t="s">
        <v>721</v>
      </c>
      <c r="I408" s="48" t="s">
        <v>722</v>
      </c>
      <c r="J408" s="48" t="s">
        <v>1716</v>
      </c>
      <c r="K408" s="54" t="s">
        <v>1722</v>
      </c>
      <c r="L408" s="54">
        <v>100399</v>
      </c>
    </row>
    <row r="409" spans="1:12">
      <c r="A409" s="53">
        <v>45653</v>
      </c>
      <c r="B409" s="48" t="s">
        <v>1675</v>
      </c>
      <c r="C409" s="48" t="s">
        <v>736</v>
      </c>
      <c r="D409" s="50" t="str">
        <f>_xlfn.XLOOKUP(J409,'Store Code'!B:B,'Store Code'!A:A)</f>
        <v>KHARADI</v>
      </c>
      <c r="E409" s="48" t="s">
        <v>224</v>
      </c>
      <c r="F409" s="48">
        <v>4000</v>
      </c>
      <c r="G409" s="51" t="s">
        <v>733</v>
      </c>
      <c r="H409" s="48" t="s">
        <v>721</v>
      </c>
      <c r="I409" s="48" t="s">
        <v>722</v>
      </c>
      <c r="J409" s="48" t="s">
        <v>1717</v>
      </c>
      <c r="K409" s="54" t="s">
        <v>1722</v>
      </c>
      <c r="L409" s="54">
        <v>100398</v>
      </c>
    </row>
    <row r="410" spans="1:12">
      <c r="A410" s="53">
        <v>45654</v>
      </c>
      <c r="B410" s="48" t="s">
        <v>1677</v>
      </c>
      <c r="C410" s="48" t="s">
        <v>725</v>
      </c>
      <c r="D410" s="50" t="str">
        <f>_xlfn.XLOOKUP(J410,'Store Code'!B:B,'Store Code'!A:A)</f>
        <v>RASTA PETH</v>
      </c>
      <c r="E410" s="48" t="s">
        <v>800</v>
      </c>
      <c r="F410" s="48">
        <v>36100</v>
      </c>
      <c r="G410" s="48" t="s">
        <v>738</v>
      </c>
      <c r="H410" s="48" t="s">
        <v>721</v>
      </c>
      <c r="I410" s="48" t="s">
        <v>722</v>
      </c>
      <c r="J410" s="48" t="s">
        <v>1716</v>
      </c>
      <c r="K410" s="54" t="s">
        <v>1722</v>
      </c>
      <c r="L410" s="54">
        <v>100404</v>
      </c>
    </row>
    <row r="411" spans="1:12">
      <c r="A411" s="53">
        <v>45654</v>
      </c>
      <c r="B411" s="48" t="s">
        <v>1679</v>
      </c>
      <c r="C411" s="48" t="s">
        <v>732</v>
      </c>
      <c r="D411" s="50" t="str">
        <f>_xlfn.XLOOKUP(J411,'Store Code'!B:B,'Store Code'!A:A)</f>
        <v>KHARADI</v>
      </c>
      <c r="E411" s="48" t="s">
        <v>1680</v>
      </c>
      <c r="F411" s="48">
        <v>40500</v>
      </c>
      <c r="G411" s="51" t="s">
        <v>733</v>
      </c>
      <c r="H411" s="48" t="s">
        <v>721</v>
      </c>
      <c r="I411" s="48" t="s">
        <v>722</v>
      </c>
      <c r="J411" s="48" t="s">
        <v>1717</v>
      </c>
      <c r="K411" s="54" t="s">
        <v>1722</v>
      </c>
      <c r="L411" s="54">
        <v>100399</v>
      </c>
    </row>
    <row r="412" spans="1:12">
      <c r="A412" s="53">
        <v>45655</v>
      </c>
      <c r="B412" s="48" t="s">
        <v>1682</v>
      </c>
      <c r="C412" s="48" t="s">
        <v>725</v>
      </c>
      <c r="D412" s="50" t="str">
        <f>_xlfn.XLOOKUP(J412,'Store Code'!B:B,'Store Code'!A:A)</f>
        <v>RASTA PETH</v>
      </c>
      <c r="E412" s="48" t="s">
        <v>1206</v>
      </c>
      <c r="F412" s="48">
        <v>52000</v>
      </c>
      <c r="G412" s="48" t="s">
        <v>720</v>
      </c>
      <c r="H412" s="48" t="s">
        <v>721</v>
      </c>
      <c r="I412" s="48" t="s">
        <v>722</v>
      </c>
      <c r="J412" s="48" t="s">
        <v>1716</v>
      </c>
      <c r="K412" s="54" t="s">
        <v>1722</v>
      </c>
      <c r="L412" s="54">
        <v>100401</v>
      </c>
    </row>
    <row r="413" spans="1:12">
      <c r="A413" s="53">
        <v>45655</v>
      </c>
      <c r="B413" s="48" t="s">
        <v>1684</v>
      </c>
      <c r="C413" s="48" t="s">
        <v>743</v>
      </c>
      <c r="D413" s="50" t="str">
        <f>_xlfn.XLOOKUP(J413,'Store Code'!B:B,'Store Code'!A:A)</f>
        <v>WAKAD</v>
      </c>
      <c r="E413" s="48" t="s">
        <v>1685</v>
      </c>
      <c r="F413" s="48">
        <v>38500</v>
      </c>
      <c r="G413" s="51" t="s">
        <v>733</v>
      </c>
      <c r="H413" s="48" t="s">
        <v>721</v>
      </c>
      <c r="I413" s="48" t="s">
        <v>722</v>
      </c>
      <c r="J413" s="48" t="s">
        <v>1718</v>
      </c>
      <c r="K413" s="54" t="s">
        <v>1722</v>
      </c>
      <c r="L413" s="54">
        <v>100388</v>
      </c>
    </row>
    <row r="414" spans="1:12">
      <c r="A414" s="53">
        <v>45656</v>
      </c>
      <c r="B414" s="48" t="s">
        <v>1687</v>
      </c>
      <c r="C414" s="48" t="s">
        <v>725</v>
      </c>
      <c r="D414" s="50" t="str">
        <f>_xlfn.XLOOKUP(J414,'Store Code'!B:B,'Store Code'!A:A)</f>
        <v>RASTA PETH</v>
      </c>
      <c r="E414" s="48" t="s">
        <v>524</v>
      </c>
      <c r="F414" s="48">
        <v>50000</v>
      </c>
      <c r="G414" s="48" t="s">
        <v>738</v>
      </c>
      <c r="H414" s="48" t="s">
        <v>721</v>
      </c>
      <c r="I414" s="48" t="s">
        <v>722</v>
      </c>
      <c r="J414" s="48" t="s">
        <v>1716</v>
      </c>
      <c r="K414" s="54" t="s">
        <v>1722</v>
      </c>
      <c r="L414" s="54">
        <v>100403</v>
      </c>
    </row>
    <row r="415" spans="1:12">
      <c r="A415" s="53">
        <v>45656</v>
      </c>
      <c r="B415" s="48" t="s">
        <v>1689</v>
      </c>
      <c r="C415" s="48" t="s">
        <v>725</v>
      </c>
      <c r="D415" s="50" t="str">
        <f>_xlfn.XLOOKUP(J415,'Store Code'!B:B,'Store Code'!A:A)</f>
        <v>RASTA PETH</v>
      </c>
      <c r="E415" s="48" t="s">
        <v>515</v>
      </c>
      <c r="F415" s="48">
        <v>28500</v>
      </c>
      <c r="G415" s="48" t="s">
        <v>738</v>
      </c>
      <c r="H415" s="48" t="s">
        <v>721</v>
      </c>
      <c r="I415" s="48" t="s">
        <v>722</v>
      </c>
      <c r="J415" s="48" t="s">
        <v>1716</v>
      </c>
      <c r="K415" s="54" t="s">
        <v>1722</v>
      </c>
      <c r="L415" s="54">
        <v>100407</v>
      </c>
    </row>
    <row r="416" spans="1:12">
      <c r="A416" s="53">
        <v>45656</v>
      </c>
      <c r="B416" s="48" t="s">
        <v>1691</v>
      </c>
      <c r="C416" s="48" t="s">
        <v>725</v>
      </c>
      <c r="D416" s="50" t="str">
        <f>_xlfn.XLOOKUP(J416,'Store Code'!B:B,'Store Code'!A:A)</f>
        <v>RASTA PETH</v>
      </c>
      <c r="E416" s="48" t="s">
        <v>292</v>
      </c>
      <c r="F416" s="48">
        <v>22000</v>
      </c>
      <c r="G416" s="48" t="s">
        <v>738</v>
      </c>
      <c r="H416" s="48" t="s">
        <v>721</v>
      </c>
      <c r="I416" s="48" t="s">
        <v>722</v>
      </c>
      <c r="J416" s="48" t="s">
        <v>1716</v>
      </c>
      <c r="K416" s="54" t="s">
        <v>1722</v>
      </c>
      <c r="L416" s="54">
        <v>100405</v>
      </c>
    </row>
    <row r="417" spans="1:12">
      <c r="A417" s="53">
        <v>45656</v>
      </c>
      <c r="B417" s="48" t="s">
        <v>1693</v>
      </c>
      <c r="C417" s="48" t="s">
        <v>755</v>
      </c>
      <c r="D417" s="50" t="str">
        <f>_xlfn.XLOOKUP(J417,'Store Code'!B:B,'Store Code'!A:A)</f>
        <v>WAKAD</v>
      </c>
      <c r="E417" s="48" t="s">
        <v>1694</v>
      </c>
      <c r="F417" s="48">
        <v>80000</v>
      </c>
      <c r="G417" s="48" t="s">
        <v>720</v>
      </c>
      <c r="H417" s="48" t="s">
        <v>721</v>
      </c>
      <c r="I417" s="48" t="s">
        <v>722</v>
      </c>
      <c r="J417" s="48" t="s">
        <v>1718</v>
      </c>
      <c r="K417" s="54" t="s">
        <v>1722</v>
      </c>
      <c r="L417" s="54">
        <v>100404</v>
      </c>
    </row>
    <row r="418" spans="1:12">
      <c r="A418" s="53">
        <v>45656</v>
      </c>
      <c r="B418" s="48" t="s">
        <v>1696</v>
      </c>
      <c r="C418" s="48" t="s">
        <v>725</v>
      </c>
      <c r="D418" s="50" t="str">
        <f>_xlfn.XLOOKUP(J418,'Store Code'!B:B,'Store Code'!A:A)</f>
        <v>KHARADI</v>
      </c>
      <c r="E418" s="48" t="s">
        <v>825</v>
      </c>
      <c r="F418" s="48">
        <v>37500</v>
      </c>
      <c r="G418" s="51" t="s">
        <v>733</v>
      </c>
      <c r="H418" s="48" t="s">
        <v>721</v>
      </c>
      <c r="I418" s="48" t="s">
        <v>722</v>
      </c>
      <c r="J418" s="48" t="s">
        <v>1717</v>
      </c>
      <c r="K418" s="54" t="s">
        <v>1722</v>
      </c>
      <c r="L418" s="54">
        <v>100401</v>
      </c>
    </row>
    <row r="419" spans="1:12">
      <c r="A419" s="53">
        <v>45656</v>
      </c>
      <c r="B419" s="48" t="s">
        <v>1698</v>
      </c>
      <c r="C419" s="48" t="s">
        <v>725</v>
      </c>
      <c r="D419" s="50" t="str">
        <f>_xlfn.XLOOKUP(J419,'Store Code'!B:B,'Store Code'!A:A)</f>
        <v>RASTA PETH</v>
      </c>
      <c r="E419" s="48" t="s">
        <v>292</v>
      </c>
      <c r="F419" s="48">
        <v>18000</v>
      </c>
      <c r="G419" s="48" t="s">
        <v>738</v>
      </c>
      <c r="H419" s="48" t="s">
        <v>721</v>
      </c>
      <c r="I419" s="48" t="s">
        <v>722</v>
      </c>
      <c r="J419" s="48" t="s">
        <v>1716</v>
      </c>
      <c r="K419" s="54" t="s">
        <v>1722</v>
      </c>
      <c r="L419" s="54">
        <v>100408</v>
      </c>
    </row>
    <row r="420" spans="1:12">
      <c r="A420" s="53">
        <v>45656</v>
      </c>
      <c r="B420" s="48" t="s">
        <v>1700</v>
      </c>
      <c r="C420" s="48" t="s">
        <v>781</v>
      </c>
      <c r="D420" s="50" t="str">
        <f>_xlfn.XLOOKUP(J420,'Store Code'!B:B,'Store Code'!A:A)</f>
        <v>RASTA PETH</v>
      </c>
      <c r="E420" s="48" t="s">
        <v>275</v>
      </c>
      <c r="F420" s="48">
        <v>22000</v>
      </c>
      <c r="G420" s="48" t="s">
        <v>720</v>
      </c>
      <c r="H420" s="48" t="s">
        <v>721</v>
      </c>
      <c r="I420" s="48" t="s">
        <v>722</v>
      </c>
      <c r="J420" s="48" t="s">
        <v>1716</v>
      </c>
      <c r="K420" s="54" t="s">
        <v>1722</v>
      </c>
      <c r="L420" s="54">
        <v>100406</v>
      </c>
    </row>
    <row r="421" spans="1:12">
      <c r="A421" s="53">
        <v>45657</v>
      </c>
      <c r="B421" s="49" t="s">
        <v>1702</v>
      </c>
      <c r="C421" s="49" t="s">
        <v>725</v>
      </c>
      <c r="D421" s="50" t="str">
        <f>_xlfn.XLOOKUP(J421,'Store Code'!B:B,'Store Code'!A:A)</f>
        <v>RASTA PETH</v>
      </c>
      <c r="E421" s="49" t="s">
        <v>501</v>
      </c>
      <c r="F421" s="49">
        <v>36000</v>
      </c>
      <c r="G421" s="49" t="s">
        <v>738</v>
      </c>
      <c r="H421" s="49" t="s">
        <v>721</v>
      </c>
      <c r="I421" s="49" t="s">
        <v>722</v>
      </c>
      <c r="J421" s="48" t="s">
        <v>1716</v>
      </c>
      <c r="K421" s="54" t="s">
        <v>1722</v>
      </c>
      <c r="L421" s="54">
        <v>100410</v>
      </c>
    </row>
    <row r="422" spans="1:12">
      <c r="A422" s="53">
        <v>45657</v>
      </c>
      <c r="B422" s="48" t="s">
        <v>1704</v>
      </c>
      <c r="C422" s="48" t="s">
        <v>732</v>
      </c>
      <c r="D422" s="50" t="str">
        <f>_xlfn.XLOOKUP(J422,'Store Code'!B:B,'Store Code'!A:A)</f>
        <v>RASTA PETH</v>
      </c>
      <c r="E422" s="48" t="s">
        <v>1705</v>
      </c>
      <c r="F422" s="48">
        <v>135000</v>
      </c>
      <c r="G422" s="48" t="s">
        <v>720</v>
      </c>
      <c r="H422" s="48" t="s">
        <v>721</v>
      </c>
      <c r="I422" s="48" t="s">
        <v>722</v>
      </c>
      <c r="J422" s="48" t="s">
        <v>1716</v>
      </c>
      <c r="K422" s="54" t="s">
        <v>1722</v>
      </c>
      <c r="L422" s="54">
        <v>100412</v>
      </c>
    </row>
  </sheetData>
  <autoFilter ref="A1:L422" xr:uid="{D9D9D797-70DC-4EEC-819E-3C9B2258638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0"/>
  <sheetViews>
    <sheetView workbookViewId="0">
      <selection activeCell="A2" sqref="A2"/>
    </sheetView>
  </sheetViews>
  <sheetFormatPr defaultColWidth="14.42578125" defaultRowHeight="15" customHeight="1"/>
  <cols>
    <col min="1" max="1" width="15.7109375" style="56" customWidth="1"/>
    <col min="3" max="3" width="20" customWidth="1"/>
    <col min="4" max="4" width="16.85546875" customWidth="1"/>
    <col min="6" max="6" width="19.28515625" customWidth="1"/>
    <col min="7" max="7" width="33.140625" customWidth="1"/>
  </cols>
  <sheetData>
    <row r="1" spans="1:11">
      <c r="A1" s="55" t="s">
        <v>10</v>
      </c>
      <c r="B1" s="8" t="s">
        <v>53</v>
      </c>
      <c r="C1" s="8" t="s">
        <v>54</v>
      </c>
      <c r="D1" s="9" t="s">
        <v>18</v>
      </c>
      <c r="E1" s="8" t="s">
        <v>20</v>
      </c>
      <c r="F1" s="10" t="s">
        <v>55</v>
      </c>
      <c r="G1" s="8" t="s">
        <v>24</v>
      </c>
    </row>
    <row r="2" spans="1:11">
      <c r="A2" s="35">
        <v>45383</v>
      </c>
      <c r="B2" s="6" t="s">
        <v>56</v>
      </c>
      <c r="C2" s="11" t="s">
        <v>57</v>
      </c>
      <c r="D2" s="6" t="s">
        <v>58</v>
      </c>
      <c r="E2" s="11" t="s">
        <v>59</v>
      </c>
      <c r="F2" s="12">
        <v>44500</v>
      </c>
      <c r="G2" s="6" t="s">
        <v>60</v>
      </c>
    </row>
    <row r="3" spans="1:11">
      <c r="A3" s="35">
        <v>45383</v>
      </c>
      <c r="B3" s="6" t="s">
        <v>61</v>
      </c>
      <c r="C3" s="11" t="s">
        <v>62</v>
      </c>
      <c r="D3" s="6" t="s">
        <v>63</v>
      </c>
      <c r="E3" s="11" t="s">
        <v>59</v>
      </c>
      <c r="F3" s="12">
        <v>27000</v>
      </c>
      <c r="G3" s="6" t="s">
        <v>64</v>
      </c>
      <c r="I3" s="84" t="s">
        <v>1723</v>
      </c>
    </row>
    <row r="4" spans="1:11">
      <c r="A4" s="35">
        <v>45383</v>
      </c>
      <c r="B4" s="6" t="s">
        <v>65</v>
      </c>
      <c r="C4" s="11" t="s">
        <v>62</v>
      </c>
      <c r="D4" s="6" t="s">
        <v>66</v>
      </c>
      <c r="E4" s="11" t="s">
        <v>59</v>
      </c>
      <c r="F4" s="12">
        <v>38000</v>
      </c>
      <c r="G4" s="6" t="s">
        <v>67</v>
      </c>
      <c r="I4" s="84" t="s">
        <v>1724</v>
      </c>
    </row>
    <row r="5" spans="1:11">
      <c r="A5" s="35">
        <v>45385</v>
      </c>
      <c r="B5" s="6" t="s">
        <v>68</v>
      </c>
      <c r="C5" s="11" t="s">
        <v>69</v>
      </c>
      <c r="D5" s="6" t="s">
        <v>63</v>
      </c>
      <c r="E5" s="11" t="s">
        <v>59</v>
      </c>
      <c r="F5" s="12">
        <v>59000</v>
      </c>
      <c r="G5" s="6" t="s">
        <v>70</v>
      </c>
      <c r="I5" s="84"/>
    </row>
    <row r="6" spans="1:11">
      <c r="A6" s="35">
        <v>45385</v>
      </c>
      <c r="B6" s="6" t="s">
        <v>71</v>
      </c>
      <c r="C6" s="11" t="s">
        <v>72</v>
      </c>
      <c r="D6" s="6" t="s">
        <v>63</v>
      </c>
      <c r="E6" s="11" t="s">
        <v>59</v>
      </c>
      <c r="F6" s="12">
        <v>149500</v>
      </c>
      <c r="G6" s="6" t="s">
        <v>73</v>
      </c>
      <c r="I6" s="84">
        <f>COUNTA(A2:A46)</f>
        <v>45</v>
      </c>
    </row>
    <row r="7" spans="1:11">
      <c r="A7" s="35">
        <v>45385</v>
      </c>
      <c r="B7" s="6" t="s">
        <v>74</v>
      </c>
      <c r="C7" s="11" t="s">
        <v>75</v>
      </c>
      <c r="D7" s="6" t="s">
        <v>66</v>
      </c>
      <c r="E7" s="11" t="s">
        <v>59</v>
      </c>
      <c r="F7" s="12">
        <v>27000</v>
      </c>
      <c r="G7" s="6" t="s">
        <v>76</v>
      </c>
    </row>
    <row r="8" spans="1:11">
      <c r="A8" s="35">
        <v>45388</v>
      </c>
      <c r="B8" s="6" t="s">
        <v>77</v>
      </c>
      <c r="C8" s="11" t="s">
        <v>78</v>
      </c>
      <c r="D8" s="6" t="s">
        <v>63</v>
      </c>
      <c r="E8" s="11" t="s">
        <v>59</v>
      </c>
      <c r="F8" s="12">
        <v>91000</v>
      </c>
      <c r="G8" s="6" t="s">
        <v>79</v>
      </c>
    </row>
    <row r="9" spans="1:11">
      <c r="A9" s="35">
        <v>45388</v>
      </c>
      <c r="B9" s="6" t="s">
        <v>80</v>
      </c>
      <c r="C9" s="11" t="s">
        <v>81</v>
      </c>
      <c r="D9" s="6" t="s">
        <v>63</v>
      </c>
      <c r="E9" s="11" t="s">
        <v>59</v>
      </c>
      <c r="F9" s="12">
        <v>33000</v>
      </c>
      <c r="G9" s="6" t="s">
        <v>82</v>
      </c>
    </row>
    <row r="10" spans="1:11">
      <c r="A10" s="35">
        <v>45390</v>
      </c>
      <c r="B10" s="6" t="s">
        <v>83</v>
      </c>
      <c r="C10" s="11" t="s">
        <v>84</v>
      </c>
      <c r="D10" s="6" t="s">
        <v>66</v>
      </c>
      <c r="E10" s="11" t="s">
        <v>59</v>
      </c>
      <c r="F10" s="12">
        <v>20500</v>
      </c>
      <c r="G10" s="6" t="s">
        <v>85</v>
      </c>
      <c r="K10" s="3"/>
    </row>
    <row r="11" spans="1:11">
      <c r="A11" s="35">
        <v>45390</v>
      </c>
      <c r="B11" s="6" t="s">
        <v>86</v>
      </c>
      <c r="C11" s="11" t="s">
        <v>87</v>
      </c>
      <c r="D11" s="6" t="s">
        <v>66</v>
      </c>
      <c r="E11" s="11" t="s">
        <v>59</v>
      </c>
      <c r="F11" s="12">
        <v>25000</v>
      </c>
      <c r="G11" s="6" t="s">
        <v>88</v>
      </c>
      <c r="K11" s="3"/>
    </row>
    <row r="12" spans="1:11">
      <c r="A12" s="35">
        <v>45390</v>
      </c>
      <c r="B12" s="6" t="s">
        <v>89</v>
      </c>
      <c r="C12" s="11" t="s">
        <v>90</v>
      </c>
      <c r="D12" s="6" t="s">
        <v>63</v>
      </c>
      <c r="E12" s="11" t="s">
        <v>59</v>
      </c>
      <c r="F12" s="12">
        <v>59000</v>
      </c>
      <c r="G12" s="6" t="s">
        <v>91</v>
      </c>
      <c r="K12" s="3"/>
    </row>
    <row r="13" spans="1:11">
      <c r="A13" s="35">
        <v>45390</v>
      </c>
      <c r="B13" s="6" t="s">
        <v>92</v>
      </c>
      <c r="C13" s="11" t="s">
        <v>93</v>
      </c>
      <c r="D13" s="6" t="s">
        <v>58</v>
      </c>
      <c r="E13" s="11" t="s">
        <v>59</v>
      </c>
      <c r="F13" s="12">
        <v>19000</v>
      </c>
      <c r="G13" s="6" t="s">
        <v>94</v>
      </c>
      <c r="K13" s="3"/>
    </row>
    <row r="14" spans="1:11">
      <c r="A14" s="35">
        <v>45391</v>
      </c>
      <c r="B14" s="6" t="s">
        <v>95</v>
      </c>
      <c r="C14" s="11" t="s">
        <v>96</v>
      </c>
      <c r="D14" s="6" t="s">
        <v>63</v>
      </c>
      <c r="E14" s="11" t="s">
        <v>59</v>
      </c>
      <c r="F14" s="12">
        <v>44500</v>
      </c>
      <c r="G14" s="6" t="s">
        <v>97</v>
      </c>
      <c r="K14" s="3"/>
    </row>
    <row r="15" spans="1:11">
      <c r="A15" s="35">
        <v>45391</v>
      </c>
      <c r="B15" s="6" t="s">
        <v>98</v>
      </c>
      <c r="C15" s="11" t="s">
        <v>99</v>
      </c>
      <c r="D15" s="6" t="s">
        <v>63</v>
      </c>
      <c r="E15" s="11" t="s">
        <v>59</v>
      </c>
      <c r="F15" s="12">
        <v>21000</v>
      </c>
      <c r="G15" s="6" t="s">
        <v>100</v>
      </c>
      <c r="K15" s="3"/>
    </row>
    <row r="16" spans="1:11">
      <c r="A16" s="35">
        <v>45394</v>
      </c>
      <c r="B16" s="6" t="s">
        <v>101</v>
      </c>
      <c r="C16" s="11" t="s">
        <v>75</v>
      </c>
      <c r="D16" s="6" t="s">
        <v>58</v>
      </c>
      <c r="E16" s="11" t="s">
        <v>59</v>
      </c>
      <c r="F16" s="12">
        <v>43200</v>
      </c>
      <c r="G16" s="6" t="s">
        <v>102</v>
      </c>
      <c r="K16" s="3"/>
    </row>
    <row r="17" spans="1:11">
      <c r="A17" s="35">
        <v>45394</v>
      </c>
      <c r="B17" s="6" t="s">
        <v>103</v>
      </c>
      <c r="C17" s="11" t="s">
        <v>104</v>
      </c>
      <c r="D17" s="6" t="s">
        <v>58</v>
      </c>
      <c r="E17" s="11" t="s">
        <v>59</v>
      </c>
      <c r="F17" s="12">
        <v>111000</v>
      </c>
      <c r="G17" s="6" t="s">
        <v>105</v>
      </c>
      <c r="K17" s="3"/>
    </row>
    <row r="18" spans="1:11">
      <c r="A18" s="35">
        <v>45394</v>
      </c>
      <c r="B18" s="6" t="s">
        <v>106</v>
      </c>
      <c r="C18" s="11" t="s">
        <v>75</v>
      </c>
      <c r="D18" s="6" t="s">
        <v>63</v>
      </c>
      <c r="E18" s="11" t="s">
        <v>59</v>
      </c>
      <c r="F18" s="12">
        <v>30500</v>
      </c>
      <c r="G18" s="6" t="s">
        <v>107</v>
      </c>
      <c r="K18" s="3"/>
    </row>
    <row r="19" spans="1:11">
      <c r="A19" s="35">
        <v>45396</v>
      </c>
      <c r="B19" s="6" t="s">
        <v>108</v>
      </c>
      <c r="C19" s="11" t="s">
        <v>109</v>
      </c>
      <c r="D19" s="6" t="s">
        <v>66</v>
      </c>
      <c r="E19" s="11" t="s">
        <v>59</v>
      </c>
      <c r="F19" s="12">
        <v>28000</v>
      </c>
      <c r="G19" s="6" t="s">
        <v>110</v>
      </c>
      <c r="K19" s="3"/>
    </row>
    <row r="20" spans="1:11">
      <c r="A20" s="35">
        <v>45396</v>
      </c>
      <c r="B20" s="6" t="s">
        <v>111</v>
      </c>
      <c r="C20" s="11" t="s">
        <v>75</v>
      </c>
      <c r="D20" s="6" t="s">
        <v>66</v>
      </c>
      <c r="E20" s="11" t="s">
        <v>59</v>
      </c>
      <c r="F20" s="12">
        <v>30200</v>
      </c>
      <c r="G20" s="6" t="s">
        <v>112</v>
      </c>
      <c r="K20" s="3"/>
    </row>
    <row r="21" spans="1:11">
      <c r="A21" s="35">
        <v>45396</v>
      </c>
      <c r="B21" s="6" t="s">
        <v>113</v>
      </c>
      <c r="C21" s="11" t="s">
        <v>114</v>
      </c>
      <c r="D21" s="6" t="s">
        <v>66</v>
      </c>
      <c r="E21" s="11" t="s">
        <v>59</v>
      </c>
      <c r="F21" s="12">
        <v>149500</v>
      </c>
      <c r="G21" s="6" t="s">
        <v>115</v>
      </c>
      <c r="K21" s="3"/>
    </row>
    <row r="22" spans="1:11">
      <c r="A22" s="35">
        <v>45396</v>
      </c>
      <c r="B22" s="6" t="s">
        <v>116</v>
      </c>
      <c r="C22" s="11" t="s">
        <v>75</v>
      </c>
      <c r="D22" s="6" t="s">
        <v>66</v>
      </c>
      <c r="E22" s="11" t="s">
        <v>59</v>
      </c>
      <c r="F22" s="12">
        <v>21500</v>
      </c>
      <c r="G22" s="6" t="s">
        <v>117</v>
      </c>
      <c r="K22" s="3"/>
    </row>
    <row r="23" spans="1:11">
      <c r="A23" s="35">
        <v>45398</v>
      </c>
      <c r="B23" s="6" t="s">
        <v>118</v>
      </c>
      <c r="C23" s="11" t="s">
        <v>84</v>
      </c>
      <c r="D23" s="6" t="s">
        <v>63</v>
      </c>
      <c r="E23" s="11" t="s">
        <v>59</v>
      </c>
      <c r="F23" s="12">
        <v>36000</v>
      </c>
      <c r="G23" s="6" t="s">
        <v>119</v>
      </c>
      <c r="K23" s="3"/>
    </row>
    <row r="24" spans="1:11">
      <c r="A24" s="35">
        <v>45390</v>
      </c>
      <c r="B24" s="13" t="s">
        <v>120</v>
      </c>
      <c r="C24" s="14" t="s">
        <v>121</v>
      </c>
      <c r="D24" s="6" t="s">
        <v>63</v>
      </c>
      <c r="E24" s="14" t="s">
        <v>122</v>
      </c>
      <c r="F24" s="15">
        <v>90000</v>
      </c>
      <c r="G24" s="13" t="s">
        <v>123</v>
      </c>
      <c r="K24" s="3"/>
    </row>
    <row r="25" spans="1:11">
      <c r="A25" s="35">
        <v>45390</v>
      </c>
      <c r="B25" s="16" t="s">
        <v>124</v>
      </c>
      <c r="C25" s="11" t="s">
        <v>75</v>
      </c>
      <c r="D25" s="6" t="s">
        <v>58</v>
      </c>
      <c r="E25" s="11" t="s">
        <v>125</v>
      </c>
      <c r="F25" s="17">
        <v>18500</v>
      </c>
      <c r="G25" s="18" t="s">
        <v>126</v>
      </c>
      <c r="K25" s="3"/>
    </row>
    <row r="26" spans="1:11">
      <c r="A26" s="35">
        <v>45391</v>
      </c>
      <c r="B26" s="19" t="s">
        <v>127</v>
      </c>
      <c r="C26" s="11" t="s">
        <v>128</v>
      </c>
      <c r="D26" s="6" t="s">
        <v>58</v>
      </c>
      <c r="E26" s="11" t="s">
        <v>129</v>
      </c>
      <c r="F26" s="17">
        <v>43200</v>
      </c>
      <c r="G26" s="18" t="s">
        <v>130</v>
      </c>
      <c r="K26" s="3"/>
    </row>
    <row r="27" spans="1:11">
      <c r="A27" s="35">
        <v>45395</v>
      </c>
      <c r="B27" s="20" t="s">
        <v>131</v>
      </c>
      <c r="C27" s="11" t="s">
        <v>132</v>
      </c>
      <c r="D27" s="6" t="s">
        <v>63</v>
      </c>
      <c r="E27" s="11" t="s">
        <v>133</v>
      </c>
      <c r="F27" s="17">
        <v>19000</v>
      </c>
      <c r="G27" s="18" t="s">
        <v>134</v>
      </c>
      <c r="K27" s="3"/>
    </row>
    <row r="28" spans="1:11">
      <c r="A28" s="35">
        <v>45398</v>
      </c>
      <c r="B28" s="21" t="s">
        <v>135</v>
      </c>
      <c r="C28" s="22" t="s">
        <v>136</v>
      </c>
      <c r="D28" s="6" t="s">
        <v>66</v>
      </c>
      <c r="E28" s="11"/>
      <c r="F28" s="17">
        <v>78000</v>
      </c>
      <c r="G28" s="23" t="s">
        <v>137</v>
      </c>
      <c r="K28" s="3"/>
    </row>
    <row r="29" spans="1:11">
      <c r="A29" s="35">
        <v>45401</v>
      </c>
      <c r="B29" s="24" t="s">
        <v>138</v>
      </c>
      <c r="C29" s="11" t="s">
        <v>72</v>
      </c>
      <c r="D29" s="6" t="s">
        <v>63</v>
      </c>
      <c r="E29" s="11" t="s">
        <v>139</v>
      </c>
      <c r="F29" s="17">
        <v>10000</v>
      </c>
      <c r="G29" s="18" t="s">
        <v>140</v>
      </c>
      <c r="K29" s="3"/>
    </row>
    <row r="30" spans="1:11">
      <c r="A30" s="35">
        <v>45408</v>
      </c>
      <c r="B30" s="18" t="s">
        <v>141</v>
      </c>
      <c r="C30" s="11" t="s">
        <v>142</v>
      </c>
      <c r="D30" s="6" t="s">
        <v>63</v>
      </c>
      <c r="E30" s="11" t="s">
        <v>143</v>
      </c>
      <c r="F30" s="17">
        <v>14000</v>
      </c>
      <c r="G30" s="18" t="s">
        <v>144</v>
      </c>
      <c r="K30" s="3"/>
    </row>
    <row r="31" spans="1:11">
      <c r="A31" s="35">
        <v>45384</v>
      </c>
      <c r="B31" s="25" t="s">
        <v>145</v>
      </c>
      <c r="C31" s="25" t="s">
        <v>146</v>
      </c>
      <c r="D31" s="6" t="s">
        <v>58</v>
      </c>
      <c r="E31" s="11"/>
      <c r="F31" s="25">
        <v>22000</v>
      </c>
      <c r="G31" s="25" t="s">
        <v>147</v>
      </c>
      <c r="K31" s="3"/>
    </row>
    <row r="32" spans="1:11">
      <c r="A32" s="35">
        <v>45388</v>
      </c>
      <c r="B32" s="26" t="s">
        <v>148</v>
      </c>
      <c r="C32" s="25" t="s">
        <v>149</v>
      </c>
      <c r="D32" s="6" t="s">
        <v>58</v>
      </c>
      <c r="E32" s="11"/>
      <c r="F32" s="25">
        <v>36000</v>
      </c>
      <c r="G32" s="25" t="s">
        <v>150</v>
      </c>
    </row>
    <row r="33" spans="1:12">
      <c r="A33" s="35">
        <v>45389</v>
      </c>
      <c r="B33" s="25" t="s">
        <v>151</v>
      </c>
      <c r="C33" s="25" t="s">
        <v>152</v>
      </c>
      <c r="D33" s="6" t="s">
        <v>63</v>
      </c>
      <c r="E33" s="11"/>
      <c r="F33" s="25">
        <v>45000</v>
      </c>
      <c r="G33" s="25" t="s">
        <v>153</v>
      </c>
      <c r="K33" s="27"/>
      <c r="L33" s="27"/>
    </row>
    <row r="34" spans="1:12">
      <c r="A34" s="35">
        <v>45389</v>
      </c>
      <c r="B34" s="28" t="s">
        <v>154</v>
      </c>
      <c r="C34" s="28" t="s">
        <v>155</v>
      </c>
      <c r="D34" s="6" t="s">
        <v>66</v>
      </c>
      <c r="E34" s="11"/>
      <c r="F34" s="25">
        <v>33000</v>
      </c>
      <c r="G34" s="29"/>
      <c r="K34" s="27"/>
      <c r="L34" s="27"/>
    </row>
    <row r="35" spans="1:12">
      <c r="A35" s="35">
        <v>45390</v>
      </c>
      <c r="B35" s="28" t="s">
        <v>156</v>
      </c>
      <c r="C35" s="28" t="s">
        <v>57</v>
      </c>
      <c r="D35" s="6" t="s">
        <v>63</v>
      </c>
      <c r="E35" s="11"/>
      <c r="F35" s="25">
        <v>13000</v>
      </c>
      <c r="G35" s="18" t="s">
        <v>157</v>
      </c>
      <c r="K35" s="27"/>
      <c r="L35" s="27"/>
    </row>
    <row r="36" spans="1:12">
      <c r="A36" s="35">
        <v>45392</v>
      </c>
      <c r="B36" s="28" t="s">
        <v>158</v>
      </c>
      <c r="C36" s="28" t="s">
        <v>159</v>
      </c>
      <c r="D36" s="6" t="s">
        <v>66</v>
      </c>
      <c r="E36" s="11"/>
      <c r="F36" s="25">
        <v>46000</v>
      </c>
      <c r="G36" s="18" t="s">
        <v>160</v>
      </c>
      <c r="K36" s="27"/>
      <c r="L36" s="27"/>
    </row>
    <row r="37" spans="1:12">
      <c r="A37" s="35">
        <v>45392</v>
      </c>
      <c r="B37" s="28" t="s">
        <v>161</v>
      </c>
      <c r="C37" s="28" t="s">
        <v>149</v>
      </c>
      <c r="D37" s="6" t="s">
        <v>63</v>
      </c>
      <c r="E37" s="11"/>
      <c r="F37" s="30">
        <v>69000</v>
      </c>
      <c r="G37" s="31" t="s">
        <v>162</v>
      </c>
      <c r="K37" s="27"/>
      <c r="L37" s="27"/>
    </row>
    <row r="38" spans="1:12">
      <c r="A38" s="35">
        <v>45393</v>
      </c>
      <c r="B38" s="28" t="s">
        <v>163</v>
      </c>
      <c r="C38" s="28" t="s">
        <v>164</v>
      </c>
      <c r="D38" s="6" t="s">
        <v>63</v>
      </c>
      <c r="E38" s="11"/>
      <c r="F38" s="32">
        <v>15000</v>
      </c>
      <c r="G38" s="18" t="s">
        <v>165</v>
      </c>
      <c r="K38" s="27"/>
      <c r="L38" s="27"/>
    </row>
    <row r="39" spans="1:12">
      <c r="A39" s="35">
        <v>45398</v>
      </c>
      <c r="B39" s="30" t="s">
        <v>166</v>
      </c>
      <c r="C39" s="30" t="s">
        <v>167</v>
      </c>
      <c r="D39" s="6" t="s">
        <v>63</v>
      </c>
      <c r="E39" s="11"/>
      <c r="F39" s="30">
        <v>30000</v>
      </c>
      <c r="G39" s="18" t="s">
        <v>168</v>
      </c>
      <c r="K39" s="27"/>
      <c r="L39" s="27"/>
    </row>
    <row r="40" spans="1:12">
      <c r="A40" s="35">
        <v>45403</v>
      </c>
      <c r="B40" s="30" t="s">
        <v>169</v>
      </c>
      <c r="C40" s="30" t="s">
        <v>170</v>
      </c>
      <c r="D40" s="6" t="s">
        <v>58</v>
      </c>
      <c r="E40" s="11"/>
      <c r="F40" s="32">
        <v>18000</v>
      </c>
      <c r="G40" s="29" t="s">
        <v>171</v>
      </c>
      <c r="K40" s="27"/>
      <c r="L40" s="27"/>
    </row>
    <row r="41" spans="1:12">
      <c r="A41" s="35">
        <v>45406</v>
      </c>
      <c r="B41" s="30" t="s">
        <v>172</v>
      </c>
      <c r="C41" s="30" t="s">
        <v>173</v>
      </c>
      <c r="D41" s="6" t="s">
        <v>58</v>
      </c>
      <c r="E41" s="11"/>
      <c r="F41" s="30">
        <v>48000</v>
      </c>
      <c r="G41" s="18" t="s">
        <v>174</v>
      </c>
      <c r="K41" s="27"/>
      <c r="L41" s="27"/>
    </row>
    <row r="42" spans="1:12">
      <c r="A42" s="35">
        <v>45406</v>
      </c>
      <c r="B42" s="30" t="s">
        <v>175</v>
      </c>
      <c r="C42" s="28" t="s">
        <v>176</v>
      </c>
      <c r="D42" s="6" t="s">
        <v>63</v>
      </c>
      <c r="E42" s="11"/>
      <c r="F42" s="30">
        <v>15400</v>
      </c>
      <c r="G42" s="18" t="s">
        <v>177</v>
      </c>
      <c r="K42" s="27"/>
      <c r="L42" s="27"/>
    </row>
    <row r="43" spans="1:12">
      <c r="A43" s="35">
        <v>45407</v>
      </c>
      <c r="B43" s="30" t="s">
        <v>178</v>
      </c>
      <c r="C43" s="30" t="s">
        <v>179</v>
      </c>
      <c r="D43" s="6" t="s">
        <v>63</v>
      </c>
      <c r="E43" s="11"/>
      <c r="F43" s="30">
        <v>13000</v>
      </c>
      <c r="G43" s="18" t="s">
        <v>180</v>
      </c>
      <c r="K43" s="27"/>
      <c r="L43" s="27"/>
    </row>
    <row r="44" spans="1:12">
      <c r="A44" s="35">
        <v>45407</v>
      </c>
      <c r="B44" s="30" t="s">
        <v>181</v>
      </c>
      <c r="C44" s="30" t="s">
        <v>182</v>
      </c>
      <c r="D44" s="6" t="s">
        <v>66</v>
      </c>
      <c r="E44" s="11"/>
      <c r="F44" s="30">
        <v>27000</v>
      </c>
      <c r="G44" s="18" t="s">
        <v>183</v>
      </c>
      <c r="K44" s="27"/>
      <c r="L44" s="27"/>
    </row>
    <row r="45" spans="1:12">
      <c r="A45" s="35">
        <v>45408</v>
      </c>
      <c r="B45" s="30" t="s">
        <v>184</v>
      </c>
      <c r="C45" s="30" t="s">
        <v>185</v>
      </c>
      <c r="D45" s="6" t="s">
        <v>63</v>
      </c>
      <c r="E45" s="11"/>
      <c r="F45" s="32">
        <v>16000</v>
      </c>
      <c r="G45" s="18" t="s">
        <v>186</v>
      </c>
      <c r="K45" s="27"/>
      <c r="L45" s="27"/>
    </row>
    <row r="46" spans="1:12">
      <c r="A46" s="35">
        <v>45412</v>
      </c>
      <c r="B46" s="30" t="s">
        <v>187</v>
      </c>
      <c r="C46" s="30" t="s">
        <v>188</v>
      </c>
      <c r="D46" s="6" t="s">
        <v>58</v>
      </c>
      <c r="E46" s="11"/>
      <c r="F46" s="32">
        <v>38000</v>
      </c>
      <c r="G46" s="18" t="s">
        <v>189</v>
      </c>
      <c r="K46" s="27"/>
      <c r="L46" s="27"/>
    </row>
    <row r="47" spans="1:12">
      <c r="A47" s="35"/>
      <c r="C47" s="33"/>
      <c r="E47" s="33"/>
      <c r="F47" s="34"/>
      <c r="K47" s="27"/>
      <c r="L47" s="27"/>
    </row>
    <row r="48" spans="1:12">
      <c r="A48" s="35"/>
      <c r="C48" s="33"/>
      <c r="E48" s="33"/>
      <c r="F48" s="34"/>
      <c r="K48" s="27"/>
      <c r="L48" s="27"/>
    </row>
    <row r="49" spans="1:6">
      <c r="A49" s="35"/>
      <c r="C49" s="33"/>
      <c r="E49" s="33"/>
      <c r="F49" s="34"/>
    </row>
    <row r="50" spans="1:6">
      <c r="A50" s="35"/>
      <c r="C50" s="33"/>
      <c r="E50" s="33"/>
      <c r="F50" s="34"/>
    </row>
    <row r="51" spans="1:6">
      <c r="A51" s="35"/>
      <c r="C51" s="33"/>
      <c r="E51" s="33"/>
      <c r="F51" s="34"/>
    </row>
    <row r="52" spans="1:6">
      <c r="A52" s="35"/>
      <c r="C52" s="33"/>
      <c r="E52" s="33"/>
      <c r="F52" s="34"/>
    </row>
    <row r="53" spans="1:6">
      <c r="A53" s="35"/>
      <c r="C53" s="33"/>
      <c r="E53" s="33"/>
      <c r="F53" s="34"/>
    </row>
    <row r="54" spans="1:6">
      <c r="A54" s="35"/>
      <c r="C54" s="33"/>
      <c r="E54" s="33"/>
      <c r="F54" s="34"/>
    </row>
    <row r="55" spans="1:6">
      <c r="A55" s="35"/>
      <c r="C55" s="33"/>
      <c r="E55" s="33"/>
      <c r="F55" s="34"/>
    </row>
    <row r="56" spans="1:6">
      <c r="A56" s="35"/>
      <c r="C56" s="33"/>
      <c r="E56" s="33"/>
      <c r="F56" s="34"/>
    </row>
    <row r="57" spans="1:6">
      <c r="A57" s="35"/>
      <c r="C57" s="33"/>
      <c r="E57" s="33"/>
      <c r="F57" s="34"/>
    </row>
    <row r="58" spans="1:6">
      <c r="A58" s="35"/>
      <c r="C58" s="33"/>
      <c r="E58" s="33"/>
      <c r="F58" s="34"/>
    </row>
    <row r="59" spans="1:6">
      <c r="A59" s="35"/>
      <c r="C59" s="33"/>
      <c r="E59" s="33"/>
      <c r="F59" s="34"/>
    </row>
    <row r="60" spans="1:6">
      <c r="A60" s="35"/>
      <c r="C60" s="33"/>
      <c r="E60" s="33"/>
      <c r="F60" s="34"/>
    </row>
    <row r="61" spans="1:6">
      <c r="A61" s="35"/>
      <c r="C61" s="33"/>
      <c r="E61" s="33"/>
      <c r="F61" s="34"/>
    </row>
    <row r="62" spans="1:6">
      <c r="A62" s="35"/>
      <c r="C62" s="33"/>
      <c r="E62" s="33"/>
      <c r="F62" s="34"/>
    </row>
    <row r="63" spans="1:6">
      <c r="A63" s="35"/>
      <c r="C63" s="33"/>
      <c r="E63" s="33"/>
      <c r="F63" s="34"/>
    </row>
    <row r="64" spans="1:6">
      <c r="A64" s="35"/>
      <c r="C64" s="33"/>
      <c r="E64" s="33"/>
      <c r="F64" s="34"/>
    </row>
    <row r="65" spans="1:6">
      <c r="A65" s="35"/>
      <c r="C65" s="33"/>
      <c r="E65" s="33"/>
      <c r="F65" s="34"/>
    </row>
    <row r="66" spans="1:6">
      <c r="A66" s="35"/>
      <c r="C66" s="33"/>
      <c r="E66" s="33"/>
      <c r="F66" s="34"/>
    </row>
    <row r="67" spans="1:6">
      <c r="A67" s="35"/>
      <c r="C67" s="33"/>
      <c r="E67" s="33"/>
      <c r="F67" s="34"/>
    </row>
    <row r="68" spans="1:6">
      <c r="A68" s="35"/>
      <c r="C68" s="33"/>
      <c r="E68" s="33"/>
      <c r="F68" s="34"/>
    </row>
    <row r="69" spans="1:6">
      <c r="A69" s="35"/>
      <c r="C69" s="33"/>
      <c r="E69" s="33"/>
      <c r="F69" s="34"/>
    </row>
    <row r="70" spans="1:6">
      <c r="A70" s="35"/>
      <c r="C70" s="33"/>
      <c r="E70" s="33"/>
      <c r="F70" s="34"/>
    </row>
    <row r="71" spans="1:6">
      <c r="A71" s="35"/>
      <c r="C71" s="33"/>
      <c r="E71" s="33"/>
      <c r="F71" s="34"/>
    </row>
    <row r="72" spans="1:6">
      <c r="A72" s="35"/>
      <c r="C72" s="33"/>
      <c r="E72" s="33"/>
      <c r="F72" s="34"/>
    </row>
    <row r="73" spans="1:6">
      <c r="A73" s="35"/>
      <c r="C73" s="33"/>
      <c r="E73" s="33"/>
      <c r="F73" s="34"/>
    </row>
    <row r="74" spans="1:6">
      <c r="A74" s="35"/>
      <c r="C74" s="33"/>
      <c r="E74" s="33"/>
      <c r="F74" s="34"/>
    </row>
    <row r="75" spans="1:6">
      <c r="A75" s="35"/>
      <c r="C75" s="33"/>
      <c r="E75" s="33"/>
      <c r="F75" s="34"/>
    </row>
    <row r="76" spans="1:6">
      <c r="A76" s="35"/>
      <c r="C76" s="33"/>
      <c r="E76" s="33"/>
      <c r="F76" s="34"/>
    </row>
    <row r="77" spans="1:6">
      <c r="A77" s="35"/>
      <c r="C77" s="33"/>
      <c r="E77" s="33"/>
      <c r="F77" s="34"/>
    </row>
    <row r="78" spans="1:6">
      <c r="A78" s="35"/>
      <c r="C78" s="33"/>
      <c r="E78" s="33"/>
      <c r="F78" s="34"/>
    </row>
    <row r="79" spans="1:6">
      <c r="A79" s="35"/>
      <c r="C79" s="33"/>
      <c r="E79" s="33"/>
      <c r="F79" s="34"/>
    </row>
    <row r="80" spans="1:6">
      <c r="A80" s="35"/>
      <c r="C80" s="33"/>
      <c r="E80" s="33"/>
      <c r="F80" s="34"/>
    </row>
    <row r="81" spans="1:6">
      <c r="A81" s="35"/>
      <c r="C81" s="33"/>
      <c r="E81" s="33"/>
      <c r="F81" s="34"/>
    </row>
    <row r="82" spans="1:6">
      <c r="A82" s="35"/>
      <c r="C82" s="33"/>
      <c r="E82" s="33"/>
      <c r="F82" s="34"/>
    </row>
    <row r="83" spans="1:6">
      <c r="A83" s="35"/>
      <c r="C83" s="33"/>
      <c r="E83" s="33"/>
      <c r="F83" s="34"/>
    </row>
    <row r="84" spans="1:6">
      <c r="A84" s="35"/>
      <c r="C84" s="33"/>
      <c r="E84" s="33"/>
      <c r="F84" s="34"/>
    </row>
    <row r="85" spans="1:6">
      <c r="A85" s="35"/>
      <c r="C85" s="33"/>
      <c r="E85" s="33"/>
      <c r="F85" s="34"/>
    </row>
    <row r="86" spans="1:6">
      <c r="A86" s="35"/>
      <c r="C86" s="33"/>
      <c r="E86" s="33"/>
      <c r="F86" s="34"/>
    </row>
    <row r="87" spans="1:6">
      <c r="A87" s="35"/>
      <c r="C87" s="33"/>
      <c r="E87" s="33"/>
      <c r="F87" s="34"/>
    </row>
    <row r="88" spans="1:6">
      <c r="A88" s="35"/>
      <c r="C88" s="33"/>
      <c r="E88" s="33"/>
      <c r="F88" s="34"/>
    </row>
    <row r="89" spans="1:6">
      <c r="A89" s="35"/>
      <c r="C89" s="33"/>
      <c r="E89" s="33"/>
      <c r="F89" s="34"/>
    </row>
    <row r="90" spans="1:6">
      <c r="A90" s="35"/>
      <c r="C90" s="33"/>
      <c r="E90" s="33"/>
      <c r="F90" s="34"/>
    </row>
    <row r="91" spans="1:6">
      <c r="A91" s="35"/>
      <c r="C91" s="33"/>
      <c r="E91" s="33"/>
      <c r="F91" s="34"/>
    </row>
    <row r="92" spans="1:6">
      <c r="A92" s="35"/>
      <c r="C92" s="33"/>
      <c r="E92" s="33"/>
      <c r="F92" s="34"/>
    </row>
    <row r="93" spans="1:6">
      <c r="A93" s="35"/>
      <c r="C93" s="33"/>
      <c r="E93" s="33"/>
      <c r="F93" s="34"/>
    </row>
    <row r="94" spans="1:6">
      <c r="A94" s="35"/>
      <c r="C94" s="33"/>
      <c r="E94" s="33"/>
      <c r="F94" s="34"/>
    </row>
    <row r="95" spans="1:6">
      <c r="A95" s="35"/>
      <c r="C95" s="33"/>
      <c r="E95" s="33"/>
      <c r="F95" s="34"/>
    </row>
    <row r="96" spans="1:6">
      <c r="A96" s="35"/>
      <c r="C96" s="33"/>
      <c r="E96" s="33"/>
      <c r="F96" s="34"/>
    </row>
    <row r="97" spans="1:6">
      <c r="A97" s="35"/>
      <c r="C97" s="33"/>
      <c r="E97" s="33"/>
      <c r="F97" s="34"/>
    </row>
    <row r="98" spans="1:6">
      <c r="A98" s="35"/>
      <c r="C98" s="33"/>
      <c r="E98" s="33"/>
      <c r="F98" s="34"/>
    </row>
    <row r="99" spans="1:6">
      <c r="A99" s="35"/>
      <c r="C99" s="33"/>
      <c r="E99" s="33"/>
      <c r="F99" s="34"/>
    </row>
    <row r="100" spans="1:6">
      <c r="A100" s="35"/>
      <c r="C100" s="33"/>
      <c r="E100" s="33"/>
      <c r="F100" s="34"/>
    </row>
    <row r="101" spans="1:6">
      <c r="A101" s="35"/>
      <c r="C101" s="33"/>
      <c r="E101" s="33"/>
      <c r="F101" s="34"/>
    </row>
    <row r="102" spans="1:6">
      <c r="A102" s="35"/>
      <c r="C102" s="33"/>
      <c r="E102" s="33"/>
      <c r="F102" s="34"/>
    </row>
    <row r="103" spans="1:6">
      <c r="A103" s="35"/>
      <c r="C103" s="33"/>
      <c r="E103" s="33"/>
      <c r="F103" s="34"/>
    </row>
    <row r="104" spans="1:6">
      <c r="A104" s="35"/>
      <c r="C104" s="33"/>
      <c r="E104" s="33"/>
      <c r="F104" s="34"/>
    </row>
    <row r="105" spans="1:6">
      <c r="A105" s="35"/>
      <c r="C105" s="33"/>
      <c r="E105" s="33"/>
      <c r="F105" s="34"/>
    </row>
    <row r="106" spans="1:6">
      <c r="A106" s="35"/>
      <c r="C106" s="33"/>
      <c r="E106" s="33"/>
      <c r="F106" s="34"/>
    </row>
    <row r="107" spans="1:6">
      <c r="A107" s="35"/>
      <c r="C107" s="33"/>
      <c r="E107" s="33"/>
      <c r="F107" s="34"/>
    </row>
    <row r="108" spans="1:6">
      <c r="A108" s="35"/>
      <c r="C108" s="33"/>
      <c r="E108" s="33"/>
      <c r="F108" s="34"/>
    </row>
    <row r="109" spans="1:6">
      <c r="A109" s="35"/>
      <c r="C109" s="33"/>
      <c r="E109" s="33"/>
      <c r="F109" s="34"/>
    </row>
    <row r="110" spans="1:6">
      <c r="A110" s="35"/>
      <c r="C110" s="33"/>
      <c r="E110" s="33"/>
      <c r="F110" s="34"/>
    </row>
    <row r="111" spans="1:6">
      <c r="A111" s="35"/>
      <c r="C111" s="33"/>
      <c r="E111" s="33"/>
      <c r="F111" s="34"/>
    </row>
    <row r="112" spans="1:6">
      <c r="A112" s="35"/>
      <c r="C112" s="33"/>
      <c r="E112" s="33"/>
      <c r="F112" s="34"/>
    </row>
    <row r="113" spans="1:6">
      <c r="A113" s="35"/>
      <c r="C113" s="33"/>
      <c r="E113" s="33"/>
      <c r="F113" s="34"/>
    </row>
    <row r="114" spans="1:6">
      <c r="A114" s="35"/>
      <c r="C114" s="33"/>
      <c r="E114" s="33"/>
      <c r="F114" s="34"/>
    </row>
    <row r="115" spans="1:6">
      <c r="A115" s="35"/>
      <c r="C115" s="33"/>
      <c r="E115" s="33"/>
      <c r="F115" s="34"/>
    </row>
    <row r="116" spans="1:6">
      <c r="A116" s="35"/>
      <c r="C116" s="33"/>
      <c r="E116" s="33"/>
      <c r="F116" s="34"/>
    </row>
    <row r="117" spans="1:6">
      <c r="A117" s="35"/>
      <c r="C117" s="33"/>
      <c r="E117" s="33"/>
      <c r="F117" s="34"/>
    </row>
    <row r="118" spans="1:6">
      <c r="A118" s="35"/>
      <c r="C118" s="33"/>
      <c r="E118" s="33"/>
      <c r="F118" s="34"/>
    </row>
    <row r="119" spans="1:6">
      <c r="A119" s="35"/>
      <c r="C119" s="33"/>
      <c r="E119" s="33"/>
      <c r="F119" s="34"/>
    </row>
    <row r="120" spans="1:6">
      <c r="A120" s="35"/>
      <c r="C120" s="33"/>
      <c r="E120" s="33"/>
      <c r="F120" s="34"/>
    </row>
    <row r="121" spans="1:6">
      <c r="A121" s="35"/>
      <c r="C121" s="33"/>
      <c r="E121" s="33"/>
      <c r="F121" s="34"/>
    </row>
    <row r="122" spans="1:6">
      <c r="A122" s="35"/>
      <c r="C122" s="33"/>
      <c r="E122" s="33"/>
      <c r="F122" s="34"/>
    </row>
    <row r="123" spans="1:6">
      <c r="A123" s="35"/>
      <c r="C123" s="33"/>
      <c r="E123" s="33"/>
      <c r="F123" s="34"/>
    </row>
    <row r="124" spans="1:6">
      <c r="A124" s="35"/>
      <c r="C124" s="33"/>
      <c r="E124" s="33"/>
      <c r="F124" s="34"/>
    </row>
    <row r="125" spans="1:6">
      <c r="A125" s="35"/>
      <c r="C125" s="33"/>
      <c r="E125" s="33"/>
      <c r="F125" s="34"/>
    </row>
    <row r="126" spans="1:6">
      <c r="A126" s="35"/>
      <c r="C126" s="33"/>
      <c r="E126" s="33"/>
      <c r="F126" s="34"/>
    </row>
    <row r="127" spans="1:6">
      <c r="A127" s="35"/>
      <c r="C127" s="33"/>
      <c r="E127" s="33"/>
      <c r="F127" s="34"/>
    </row>
    <row r="128" spans="1:6">
      <c r="A128" s="35"/>
      <c r="C128" s="33"/>
      <c r="E128" s="33"/>
      <c r="F128" s="34"/>
    </row>
    <row r="129" spans="1:6">
      <c r="A129" s="35"/>
      <c r="C129" s="33"/>
      <c r="E129" s="33"/>
      <c r="F129" s="34"/>
    </row>
    <row r="130" spans="1:6">
      <c r="A130" s="35"/>
      <c r="C130" s="33"/>
      <c r="E130" s="33"/>
      <c r="F130" s="34"/>
    </row>
    <row r="131" spans="1:6">
      <c r="A131" s="35"/>
      <c r="C131" s="33"/>
      <c r="E131" s="33"/>
      <c r="F131" s="34"/>
    </row>
    <row r="132" spans="1:6">
      <c r="A132" s="35"/>
      <c r="C132" s="33"/>
      <c r="E132" s="33"/>
      <c r="F132" s="34"/>
    </row>
    <row r="133" spans="1:6">
      <c r="A133" s="35"/>
      <c r="C133" s="33"/>
      <c r="E133" s="33"/>
      <c r="F133" s="34"/>
    </row>
    <row r="134" spans="1:6">
      <c r="A134" s="35"/>
      <c r="C134" s="33"/>
      <c r="E134" s="33"/>
      <c r="F134" s="34"/>
    </row>
    <row r="135" spans="1:6">
      <c r="A135" s="35"/>
      <c r="C135" s="33"/>
      <c r="E135" s="33"/>
      <c r="F135" s="34"/>
    </row>
    <row r="136" spans="1:6">
      <c r="A136" s="35"/>
      <c r="C136" s="33"/>
      <c r="E136" s="33"/>
      <c r="F136" s="34"/>
    </row>
    <row r="137" spans="1:6">
      <c r="A137" s="35"/>
      <c r="C137" s="33"/>
      <c r="E137" s="33"/>
      <c r="F137" s="34"/>
    </row>
    <row r="138" spans="1:6">
      <c r="A138" s="35"/>
      <c r="C138" s="33"/>
      <c r="E138" s="33"/>
      <c r="F138" s="34"/>
    </row>
    <row r="139" spans="1:6">
      <c r="A139" s="35"/>
      <c r="C139" s="33"/>
      <c r="E139" s="33"/>
      <c r="F139" s="34"/>
    </row>
    <row r="140" spans="1:6">
      <c r="A140" s="35"/>
      <c r="C140" s="33"/>
      <c r="E140" s="33"/>
      <c r="F140" s="34"/>
    </row>
    <row r="141" spans="1:6">
      <c r="A141" s="35"/>
      <c r="C141" s="33"/>
      <c r="E141" s="33"/>
      <c r="F141" s="34"/>
    </row>
    <row r="142" spans="1:6">
      <c r="A142" s="35"/>
      <c r="C142" s="33"/>
      <c r="E142" s="33"/>
      <c r="F142" s="34"/>
    </row>
    <row r="143" spans="1:6">
      <c r="A143" s="35"/>
      <c r="C143" s="33"/>
      <c r="E143" s="33"/>
      <c r="F143" s="34"/>
    </row>
    <row r="144" spans="1:6">
      <c r="A144" s="35"/>
      <c r="C144" s="33"/>
      <c r="E144" s="33"/>
      <c r="F144" s="34"/>
    </row>
    <row r="145" spans="1:6">
      <c r="A145" s="35"/>
      <c r="C145" s="33"/>
      <c r="E145" s="33"/>
      <c r="F145" s="34"/>
    </row>
    <row r="146" spans="1:6">
      <c r="A146" s="35"/>
      <c r="C146" s="33"/>
      <c r="E146" s="33"/>
      <c r="F146" s="34"/>
    </row>
    <row r="147" spans="1:6">
      <c r="A147" s="35"/>
      <c r="C147" s="33"/>
      <c r="E147" s="33"/>
      <c r="F147" s="34"/>
    </row>
    <row r="148" spans="1:6">
      <c r="A148" s="35"/>
      <c r="C148" s="33"/>
      <c r="E148" s="33"/>
      <c r="F148" s="34"/>
    </row>
    <row r="149" spans="1:6">
      <c r="A149" s="35"/>
      <c r="C149" s="33"/>
      <c r="E149" s="33"/>
      <c r="F149" s="34"/>
    </row>
    <row r="150" spans="1:6">
      <c r="A150" s="35"/>
      <c r="C150" s="33"/>
      <c r="E150" s="33"/>
      <c r="F150" s="34"/>
    </row>
    <row r="151" spans="1:6">
      <c r="A151" s="35"/>
      <c r="C151" s="33"/>
      <c r="E151" s="33"/>
      <c r="F151" s="34"/>
    </row>
    <row r="152" spans="1:6">
      <c r="A152" s="35"/>
      <c r="C152" s="33"/>
      <c r="E152" s="33"/>
      <c r="F152" s="34"/>
    </row>
    <row r="153" spans="1:6">
      <c r="A153" s="35"/>
      <c r="C153" s="33"/>
      <c r="E153" s="33"/>
      <c r="F153" s="34"/>
    </row>
    <row r="154" spans="1:6">
      <c r="A154" s="35"/>
      <c r="C154" s="33"/>
      <c r="E154" s="33"/>
      <c r="F154" s="34"/>
    </row>
    <row r="155" spans="1:6">
      <c r="A155" s="35"/>
      <c r="C155" s="33"/>
      <c r="E155" s="33"/>
      <c r="F155" s="34"/>
    </row>
    <row r="156" spans="1:6">
      <c r="A156" s="35"/>
      <c r="C156" s="33"/>
      <c r="E156" s="33"/>
      <c r="F156" s="34"/>
    </row>
    <row r="157" spans="1:6">
      <c r="A157" s="35"/>
      <c r="C157" s="33"/>
      <c r="E157" s="33"/>
      <c r="F157" s="34"/>
    </row>
    <row r="158" spans="1:6">
      <c r="A158" s="35"/>
      <c r="C158" s="33"/>
      <c r="E158" s="33"/>
      <c r="F158" s="34"/>
    </row>
    <row r="159" spans="1:6">
      <c r="A159" s="35"/>
      <c r="C159" s="33"/>
      <c r="E159" s="33"/>
      <c r="F159" s="34"/>
    </row>
    <row r="160" spans="1:6">
      <c r="A160" s="35"/>
      <c r="C160" s="33"/>
      <c r="E160" s="33"/>
      <c r="F160" s="34"/>
    </row>
    <row r="161" spans="1:6">
      <c r="A161" s="35"/>
      <c r="C161" s="33"/>
      <c r="E161" s="33"/>
      <c r="F161" s="34"/>
    </row>
    <row r="162" spans="1:6">
      <c r="A162" s="35"/>
      <c r="C162" s="33"/>
      <c r="E162" s="33"/>
      <c r="F162" s="34"/>
    </row>
    <row r="163" spans="1:6">
      <c r="A163" s="35"/>
      <c r="C163" s="33"/>
      <c r="E163" s="33"/>
      <c r="F163" s="34"/>
    </row>
    <row r="164" spans="1:6">
      <c r="A164" s="35"/>
      <c r="C164" s="33"/>
      <c r="E164" s="33"/>
      <c r="F164" s="34"/>
    </row>
    <row r="165" spans="1:6">
      <c r="A165" s="35"/>
      <c r="C165" s="33"/>
      <c r="E165" s="33"/>
      <c r="F165" s="34"/>
    </row>
    <row r="166" spans="1:6">
      <c r="A166" s="35"/>
      <c r="C166" s="33"/>
      <c r="E166" s="33"/>
      <c r="F166" s="34"/>
    </row>
    <row r="167" spans="1:6">
      <c r="A167" s="35"/>
      <c r="C167" s="33"/>
      <c r="E167" s="33"/>
      <c r="F167" s="34"/>
    </row>
    <row r="168" spans="1:6">
      <c r="A168" s="35"/>
      <c r="C168" s="33"/>
      <c r="E168" s="33"/>
      <c r="F168" s="34"/>
    </row>
    <row r="169" spans="1:6">
      <c r="A169" s="35"/>
      <c r="C169" s="33"/>
      <c r="E169" s="33"/>
      <c r="F169" s="34"/>
    </row>
    <row r="170" spans="1:6">
      <c r="A170" s="35"/>
      <c r="C170" s="33"/>
      <c r="E170" s="33"/>
      <c r="F170" s="34"/>
    </row>
    <row r="171" spans="1:6">
      <c r="A171" s="35"/>
      <c r="C171" s="33"/>
      <c r="E171" s="33"/>
      <c r="F171" s="34"/>
    </row>
    <row r="172" spans="1:6">
      <c r="A172" s="35"/>
      <c r="C172" s="33"/>
      <c r="E172" s="33"/>
      <c r="F172" s="34"/>
    </row>
    <row r="173" spans="1:6">
      <c r="A173" s="35"/>
      <c r="C173" s="33"/>
      <c r="E173" s="33"/>
      <c r="F173" s="34"/>
    </row>
    <row r="174" spans="1:6">
      <c r="A174" s="35"/>
      <c r="C174" s="33"/>
      <c r="E174" s="33"/>
      <c r="F174" s="34"/>
    </row>
    <row r="175" spans="1:6">
      <c r="A175" s="35"/>
      <c r="C175" s="33"/>
      <c r="E175" s="33"/>
      <c r="F175" s="34"/>
    </row>
    <row r="176" spans="1:6">
      <c r="A176" s="35"/>
      <c r="C176" s="33"/>
      <c r="E176" s="33"/>
      <c r="F176" s="34"/>
    </row>
    <row r="177" spans="1:6">
      <c r="A177" s="35"/>
      <c r="C177" s="33"/>
      <c r="E177" s="33"/>
      <c r="F177" s="34"/>
    </row>
    <row r="178" spans="1:6">
      <c r="A178" s="35"/>
      <c r="C178" s="33"/>
      <c r="E178" s="33"/>
      <c r="F178" s="34"/>
    </row>
    <row r="179" spans="1:6">
      <c r="A179" s="35"/>
      <c r="C179" s="33"/>
      <c r="E179" s="33"/>
      <c r="F179" s="34"/>
    </row>
    <row r="180" spans="1:6">
      <c r="A180" s="35"/>
      <c r="C180" s="33"/>
      <c r="E180" s="33"/>
      <c r="F180" s="34"/>
    </row>
    <row r="181" spans="1:6">
      <c r="A181" s="35"/>
      <c r="C181" s="33"/>
      <c r="E181" s="33"/>
      <c r="F181" s="34"/>
    </row>
    <row r="182" spans="1:6">
      <c r="A182" s="35"/>
      <c r="C182" s="33"/>
      <c r="E182" s="33"/>
      <c r="F182" s="34"/>
    </row>
    <row r="183" spans="1:6">
      <c r="A183" s="35"/>
      <c r="C183" s="33"/>
      <c r="E183" s="33"/>
      <c r="F183" s="34"/>
    </row>
    <row r="184" spans="1:6">
      <c r="A184" s="35"/>
      <c r="C184" s="33"/>
      <c r="E184" s="33"/>
      <c r="F184" s="34"/>
    </row>
    <row r="185" spans="1:6">
      <c r="A185" s="35"/>
      <c r="C185" s="33"/>
      <c r="E185" s="33"/>
      <c r="F185" s="34"/>
    </row>
    <row r="186" spans="1:6">
      <c r="A186" s="35"/>
      <c r="C186" s="33"/>
      <c r="E186" s="33"/>
      <c r="F186" s="34"/>
    </row>
    <row r="187" spans="1:6">
      <c r="A187" s="35"/>
      <c r="C187" s="33"/>
      <c r="E187" s="33"/>
      <c r="F187" s="34"/>
    </row>
    <row r="188" spans="1:6">
      <c r="A188" s="35"/>
      <c r="C188" s="33"/>
      <c r="E188" s="33"/>
      <c r="F188" s="34"/>
    </row>
    <row r="189" spans="1:6">
      <c r="A189" s="35"/>
      <c r="C189" s="33"/>
      <c r="E189" s="33"/>
      <c r="F189" s="34"/>
    </row>
    <row r="190" spans="1:6">
      <c r="A190" s="35"/>
      <c r="C190" s="33"/>
      <c r="E190" s="33"/>
      <c r="F190" s="34"/>
    </row>
    <row r="191" spans="1:6">
      <c r="A191" s="35"/>
      <c r="C191" s="33"/>
      <c r="E191" s="33"/>
      <c r="F191" s="34"/>
    </row>
    <row r="192" spans="1:6">
      <c r="A192" s="35"/>
      <c r="C192" s="33"/>
      <c r="E192" s="33"/>
      <c r="F192" s="34"/>
    </row>
    <row r="193" spans="1:6">
      <c r="A193" s="35"/>
      <c r="C193" s="33"/>
      <c r="E193" s="33"/>
      <c r="F193" s="34"/>
    </row>
    <row r="194" spans="1:6">
      <c r="A194" s="35"/>
      <c r="C194" s="33"/>
      <c r="E194" s="33"/>
      <c r="F194" s="34"/>
    </row>
    <row r="195" spans="1:6">
      <c r="A195" s="35"/>
      <c r="C195" s="33"/>
      <c r="E195" s="33"/>
      <c r="F195" s="34"/>
    </row>
    <row r="196" spans="1:6">
      <c r="A196" s="35"/>
      <c r="C196" s="33"/>
      <c r="E196" s="33"/>
      <c r="F196" s="34"/>
    </row>
    <row r="197" spans="1:6">
      <c r="A197" s="35"/>
      <c r="C197" s="33"/>
      <c r="E197" s="33"/>
      <c r="F197" s="34"/>
    </row>
    <row r="198" spans="1:6">
      <c r="A198" s="35"/>
      <c r="C198" s="33"/>
      <c r="E198" s="33"/>
      <c r="F198" s="34"/>
    </row>
    <row r="199" spans="1:6">
      <c r="A199" s="35"/>
      <c r="C199" s="33"/>
      <c r="E199" s="33"/>
      <c r="F199" s="34"/>
    </row>
    <row r="200" spans="1:6">
      <c r="A200" s="35"/>
      <c r="C200" s="33"/>
      <c r="E200" s="33"/>
      <c r="F200" s="34"/>
    </row>
    <row r="201" spans="1:6">
      <c r="A201" s="35"/>
      <c r="C201" s="33"/>
      <c r="E201" s="33"/>
      <c r="F201" s="34"/>
    </row>
    <row r="202" spans="1:6">
      <c r="A202" s="35"/>
      <c r="C202" s="33"/>
      <c r="E202" s="33"/>
      <c r="F202" s="34"/>
    </row>
    <row r="203" spans="1:6">
      <c r="A203" s="35"/>
      <c r="C203" s="33"/>
      <c r="E203" s="33"/>
      <c r="F203" s="34"/>
    </row>
    <row r="204" spans="1:6">
      <c r="A204" s="35"/>
      <c r="C204" s="33"/>
      <c r="E204" s="33"/>
      <c r="F204" s="34"/>
    </row>
    <row r="205" spans="1:6">
      <c r="A205" s="35"/>
      <c r="C205" s="33"/>
      <c r="E205" s="33"/>
      <c r="F205" s="34"/>
    </row>
    <row r="206" spans="1:6">
      <c r="A206" s="35"/>
      <c r="C206" s="33"/>
      <c r="E206" s="33"/>
      <c r="F206" s="34"/>
    </row>
    <row r="207" spans="1:6">
      <c r="A207" s="35"/>
      <c r="C207" s="33"/>
      <c r="E207" s="33"/>
      <c r="F207" s="34"/>
    </row>
    <row r="208" spans="1:6">
      <c r="A208" s="35"/>
      <c r="C208" s="33"/>
      <c r="E208" s="33"/>
      <c r="F208" s="34"/>
    </row>
    <row r="209" spans="1:6">
      <c r="A209" s="35"/>
      <c r="C209" s="33"/>
      <c r="E209" s="33"/>
      <c r="F209" s="34"/>
    </row>
    <row r="210" spans="1:6">
      <c r="A210" s="35"/>
      <c r="C210" s="33"/>
      <c r="E210" s="33"/>
      <c r="F210" s="34"/>
    </row>
    <row r="211" spans="1:6">
      <c r="A211" s="35"/>
      <c r="C211" s="33"/>
      <c r="E211" s="33"/>
      <c r="F211" s="34"/>
    </row>
    <row r="212" spans="1:6">
      <c r="A212" s="35"/>
      <c r="C212" s="33"/>
      <c r="E212" s="33"/>
      <c r="F212" s="34"/>
    </row>
    <row r="213" spans="1:6">
      <c r="A213" s="35"/>
      <c r="C213" s="33"/>
      <c r="E213" s="33"/>
      <c r="F213" s="34"/>
    </row>
    <row r="214" spans="1:6">
      <c r="A214" s="35"/>
      <c r="C214" s="33"/>
      <c r="E214" s="33"/>
      <c r="F214" s="34"/>
    </row>
    <row r="215" spans="1:6">
      <c r="A215" s="35"/>
      <c r="C215" s="33"/>
      <c r="E215" s="33"/>
      <c r="F215" s="34"/>
    </row>
    <row r="216" spans="1:6">
      <c r="A216" s="35"/>
      <c r="C216" s="33"/>
      <c r="E216" s="33"/>
      <c r="F216" s="34"/>
    </row>
    <row r="217" spans="1:6">
      <c r="A217" s="35"/>
      <c r="C217" s="33"/>
      <c r="E217" s="33"/>
      <c r="F217" s="34"/>
    </row>
    <row r="218" spans="1:6">
      <c r="A218" s="35"/>
      <c r="C218" s="33"/>
      <c r="E218" s="33"/>
      <c r="F218" s="34"/>
    </row>
    <row r="219" spans="1:6">
      <c r="A219" s="35"/>
      <c r="C219" s="33"/>
      <c r="E219" s="33"/>
      <c r="F219" s="34"/>
    </row>
    <row r="220" spans="1:6">
      <c r="A220" s="35"/>
      <c r="C220" s="33"/>
      <c r="E220" s="33"/>
      <c r="F220" s="34"/>
    </row>
    <row r="221" spans="1:6">
      <c r="A221" s="35"/>
      <c r="C221" s="33"/>
      <c r="E221" s="33"/>
      <c r="F221" s="34"/>
    </row>
    <row r="222" spans="1:6">
      <c r="A222" s="35"/>
      <c r="C222" s="33"/>
      <c r="E222" s="33"/>
      <c r="F222" s="34"/>
    </row>
    <row r="223" spans="1:6">
      <c r="A223" s="35"/>
      <c r="C223" s="33"/>
      <c r="E223" s="33"/>
      <c r="F223" s="34"/>
    </row>
    <row r="224" spans="1:6">
      <c r="A224" s="35"/>
      <c r="C224" s="33"/>
      <c r="E224" s="33"/>
      <c r="F224" s="34"/>
    </row>
    <row r="225" spans="1:6">
      <c r="A225" s="35"/>
      <c r="C225" s="33"/>
      <c r="E225" s="33"/>
      <c r="F225" s="34"/>
    </row>
    <row r="226" spans="1:6">
      <c r="A226" s="35"/>
      <c r="C226" s="33"/>
      <c r="E226" s="33"/>
      <c r="F226" s="34"/>
    </row>
    <row r="227" spans="1:6">
      <c r="A227" s="35"/>
      <c r="C227" s="33"/>
      <c r="E227" s="33"/>
      <c r="F227" s="34"/>
    </row>
    <row r="228" spans="1:6">
      <c r="A228" s="35"/>
      <c r="C228" s="33"/>
      <c r="E228" s="33"/>
      <c r="F228" s="34"/>
    </row>
    <row r="229" spans="1:6">
      <c r="A229" s="35"/>
      <c r="C229" s="33"/>
      <c r="E229" s="33"/>
      <c r="F229" s="34"/>
    </row>
    <row r="230" spans="1:6">
      <c r="A230" s="35"/>
      <c r="C230" s="33"/>
      <c r="E230" s="33"/>
      <c r="F230" s="34"/>
    </row>
    <row r="231" spans="1:6">
      <c r="A231" s="35"/>
      <c r="C231" s="33"/>
      <c r="E231" s="33"/>
      <c r="F231" s="34"/>
    </row>
    <row r="232" spans="1:6">
      <c r="A232" s="35"/>
      <c r="C232" s="33"/>
      <c r="E232" s="33"/>
      <c r="F232" s="34"/>
    </row>
    <row r="233" spans="1:6">
      <c r="A233" s="35"/>
      <c r="C233" s="33"/>
      <c r="E233" s="33"/>
      <c r="F233" s="34"/>
    </row>
    <row r="234" spans="1:6">
      <c r="A234" s="35"/>
      <c r="C234" s="33"/>
      <c r="E234" s="33"/>
      <c r="F234" s="34"/>
    </row>
    <row r="235" spans="1:6">
      <c r="A235" s="35"/>
      <c r="C235" s="33"/>
      <c r="E235" s="33"/>
      <c r="F235" s="34"/>
    </row>
    <row r="236" spans="1:6">
      <c r="A236" s="35"/>
      <c r="C236" s="33"/>
      <c r="E236" s="33"/>
      <c r="F236" s="34"/>
    </row>
    <row r="237" spans="1:6">
      <c r="A237" s="35"/>
      <c r="C237" s="33"/>
      <c r="E237" s="33"/>
      <c r="F237" s="34"/>
    </row>
    <row r="238" spans="1:6">
      <c r="A238" s="35"/>
      <c r="C238" s="33"/>
      <c r="E238" s="33"/>
      <c r="F238" s="34"/>
    </row>
    <row r="239" spans="1:6">
      <c r="A239" s="35"/>
      <c r="C239" s="33"/>
      <c r="E239" s="33"/>
      <c r="F239" s="34"/>
    </row>
    <row r="240" spans="1:6">
      <c r="A240" s="35"/>
      <c r="C240" s="33"/>
      <c r="E240" s="33"/>
      <c r="F240" s="34"/>
    </row>
    <row r="241" spans="1:6">
      <c r="A241" s="35"/>
      <c r="C241" s="33"/>
      <c r="E241" s="33"/>
      <c r="F241" s="34"/>
    </row>
    <row r="242" spans="1:6">
      <c r="A242" s="35"/>
      <c r="C242" s="33"/>
      <c r="E242" s="33"/>
      <c r="F242" s="34"/>
    </row>
    <row r="243" spans="1:6">
      <c r="A243" s="35"/>
      <c r="C243" s="33"/>
      <c r="E243" s="33"/>
      <c r="F243" s="34"/>
    </row>
    <row r="244" spans="1:6">
      <c r="A244" s="35"/>
      <c r="C244" s="33"/>
      <c r="E244" s="33"/>
      <c r="F244" s="34"/>
    </row>
    <row r="245" spans="1:6">
      <c r="A245" s="35"/>
      <c r="C245" s="33"/>
      <c r="E245" s="33"/>
      <c r="F245" s="34"/>
    </row>
    <row r="246" spans="1:6">
      <c r="A246" s="35"/>
      <c r="C246" s="33"/>
      <c r="E246" s="33"/>
      <c r="F246" s="34"/>
    </row>
    <row r="247" spans="1:6">
      <c r="A247" s="35"/>
      <c r="C247" s="33"/>
      <c r="E247" s="33"/>
      <c r="F247" s="34"/>
    </row>
    <row r="248" spans="1:6">
      <c r="A248" s="35"/>
      <c r="C248" s="33"/>
      <c r="E248" s="33"/>
      <c r="F248" s="34"/>
    </row>
    <row r="249" spans="1:6">
      <c r="A249" s="35"/>
      <c r="C249" s="33"/>
      <c r="E249" s="33"/>
      <c r="F249" s="34"/>
    </row>
    <row r="250" spans="1:6">
      <c r="A250" s="35"/>
      <c r="C250" s="33"/>
      <c r="E250" s="33"/>
      <c r="F250" s="34"/>
    </row>
    <row r="251" spans="1:6">
      <c r="A251" s="35"/>
      <c r="C251" s="33"/>
      <c r="E251" s="33"/>
      <c r="F251" s="34"/>
    </row>
    <row r="252" spans="1:6">
      <c r="A252" s="35"/>
      <c r="C252" s="33"/>
      <c r="E252" s="33"/>
      <c r="F252" s="34"/>
    </row>
    <row r="253" spans="1:6">
      <c r="A253" s="35"/>
      <c r="C253" s="33"/>
      <c r="E253" s="33"/>
      <c r="F253" s="34"/>
    </row>
    <row r="254" spans="1:6">
      <c r="A254" s="35"/>
      <c r="C254" s="33"/>
      <c r="E254" s="33"/>
      <c r="F254" s="34"/>
    </row>
    <row r="255" spans="1:6">
      <c r="A255" s="35"/>
      <c r="C255" s="33"/>
      <c r="E255" s="33"/>
      <c r="F255" s="34"/>
    </row>
    <row r="256" spans="1:6">
      <c r="A256" s="35"/>
      <c r="C256" s="33"/>
      <c r="E256" s="33"/>
      <c r="F256" s="34"/>
    </row>
    <row r="257" spans="1:6">
      <c r="A257" s="35"/>
      <c r="C257" s="33"/>
      <c r="E257" s="33"/>
      <c r="F257" s="34"/>
    </row>
    <row r="258" spans="1:6">
      <c r="A258" s="35"/>
      <c r="C258" s="33"/>
      <c r="E258" s="33"/>
      <c r="F258" s="34"/>
    </row>
    <row r="259" spans="1:6">
      <c r="A259" s="35"/>
      <c r="C259" s="33"/>
      <c r="E259" s="33"/>
      <c r="F259" s="34"/>
    </row>
    <row r="260" spans="1:6">
      <c r="A260" s="35"/>
      <c r="C260" s="33"/>
      <c r="E260" s="33"/>
      <c r="F260" s="34"/>
    </row>
    <row r="261" spans="1:6">
      <c r="A261" s="35"/>
      <c r="C261" s="33"/>
      <c r="E261" s="33"/>
      <c r="F261" s="34"/>
    </row>
    <row r="262" spans="1:6">
      <c r="A262" s="35"/>
      <c r="C262" s="33"/>
      <c r="E262" s="33"/>
      <c r="F262" s="34"/>
    </row>
    <row r="263" spans="1:6">
      <c r="A263" s="35"/>
      <c r="C263" s="33"/>
      <c r="E263" s="33"/>
      <c r="F263" s="34"/>
    </row>
    <row r="264" spans="1:6">
      <c r="A264" s="35"/>
      <c r="C264" s="33"/>
      <c r="E264" s="33"/>
      <c r="F264" s="34"/>
    </row>
    <row r="265" spans="1:6">
      <c r="A265" s="35"/>
      <c r="C265" s="33"/>
      <c r="E265" s="33"/>
      <c r="F265" s="34"/>
    </row>
    <row r="266" spans="1:6">
      <c r="A266" s="35"/>
      <c r="C266" s="33"/>
      <c r="E266" s="33"/>
      <c r="F266" s="34"/>
    </row>
    <row r="267" spans="1:6">
      <c r="A267" s="35"/>
      <c r="C267" s="33"/>
      <c r="E267" s="33"/>
      <c r="F267" s="34"/>
    </row>
    <row r="268" spans="1:6">
      <c r="A268" s="35"/>
      <c r="C268" s="33"/>
      <c r="E268" s="33"/>
      <c r="F268" s="34"/>
    </row>
    <row r="269" spans="1:6">
      <c r="A269" s="35"/>
      <c r="C269" s="33"/>
      <c r="E269" s="33"/>
      <c r="F269" s="34"/>
    </row>
    <row r="270" spans="1:6">
      <c r="A270" s="35"/>
      <c r="C270" s="33"/>
      <c r="E270" s="33"/>
      <c r="F270" s="34"/>
    </row>
    <row r="271" spans="1:6">
      <c r="A271" s="35"/>
      <c r="C271" s="33"/>
      <c r="E271" s="33"/>
      <c r="F271" s="34"/>
    </row>
    <row r="272" spans="1:6">
      <c r="A272" s="35"/>
      <c r="C272" s="33"/>
      <c r="E272" s="33"/>
      <c r="F272" s="34"/>
    </row>
    <row r="273" spans="1:6">
      <c r="A273" s="35"/>
      <c r="C273" s="33"/>
      <c r="E273" s="33"/>
      <c r="F273" s="34"/>
    </row>
    <row r="274" spans="1:6">
      <c r="A274" s="35"/>
      <c r="C274" s="33"/>
      <c r="E274" s="33"/>
      <c r="F274" s="34"/>
    </row>
    <row r="275" spans="1:6">
      <c r="A275" s="35"/>
      <c r="C275" s="33"/>
      <c r="E275" s="33"/>
      <c r="F275" s="34"/>
    </row>
    <row r="276" spans="1:6">
      <c r="A276" s="35"/>
      <c r="C276" s="33"/>
      <c r="E276" s="33"/>
      <c r="F276" s="34"/>
    </row>
    <row r="277" spans="1:6">
      <c r="A277" s="35"/>
      <c r="C277" s="33"/>
      <c r="E277" s="33"/>
      <c r="F277" s="34"/>
    </row>
    <row r="278" spans="1:6">
      <c r="A278" s="35"/>
      <c r="C278" s="33"/>
      <c r="E278" s="33"/>
      <c r="F278" s="34"/>
    </row>
    <row r="279" spans="1:6">
      <c r="A279" s="35"/>
      <c r="C279" s="33"/>
      <c r="E279" s="33"/>
      <c r="F279" s="34"/>
    </row>
    <row r="280" spans="1:6">
      <c r="A280" s="35"/>
      <c r="C280" s="33"/>
      <c r="E280" s="33"/>
      <c r="F280" s="34"/>
    </row>
    <row r="281" spans="1:6">
      <c r="A281" s="35"/>
      <c r="C281" s="33"/>
      <c r="E281" s="33"/>
      <c r="F281" s="34"/>
    </row>
    <row r="282" spans="1:6">
      <c r="A282" s="35"/>
      <c r="C282" s="33"/>
      <c r="E282" s="33"/>
      <c r="F282" s="34"/>
    </row>
    <row r="283" spans="1:6">
      <c r="A283" s="35"/>
      <c r="C283" s="33"/>
      <c r="E283" s="33"/>
      <c r="F283" s="34"/>
    </row>
    <row r="284" spans="1:6">
      <c r="A284" s="35"/>
      <c r="C284" s="33"/>
      <c r="E284" s="33"/>
      <c r="F284" s="34"/>
    </row>
    <row r="285" spans="1:6">
      <c r="A285" s="35"/>
      <c r="C285" s="33"/>
      <c r="E285" s="33"/>
      <c r="F285" s="34"/>
    </row>
    <row r="286" spans="1:6">
      <c r="A286" s="35"/>
      <c r="C286" s="33"/>
      <c r="E286" s="33"/>
      <c r="F286" s="34"/>
    </row>
    <row r="287" spans="1:6">
      <c r="A287" s="35"/>
      <c r="C287" s="33"/>
      <c r="E287" s="33"/>
      <c r="F287" s="34"/>
    </row>
    <row r="288" spans="1:6">
      <c r="A288" s="35"/>
      <c r="C288" s="33"/>
      <c r="E288" s="33"/>
      <c r="F288" s="34"/>
    </row>
    <row r="289" spans="1:6">
      <c r="A289" s="35"/>
      <c r="C289" s="33"/>
      <c r="E289" s="33"/>
      <c r="F289" s="34"/>
    </row>
    <row r="290" spans="1:6">
      <c r="A290" s="35"/>
      <c r="C290" s="33"/>
      <c r="E290" s="33"/>
      <c r="F290" s="34"/>
    </row>
    <row r="291" spans="1:6">
      <c r="A291" s="35"/>
      <c r="C291" s="33"/>
      <c r="E291" s="33"/>
      <c r="F291" s="34"/>
    </row>
    <row r="292" spans="1:6">
      <c r="A292" s="35"/>
      <c r="C292" s="33"/>
      <c r="E292" s="33"/>
      <c r="F292" s="34"/>
    </row>
    <row r="293" spans="1:6">
      <c r="A293" s="35"/>
      <c r="C293" s="33"/>
      <c r="E293" s="33"/>
      <c r="F293" s="34"/>
    </row>
    <row r="294" spans="1:6">
      <c r="A294" s="35"/>
      <c r="C294" s="33"/>
      <c r="E294" s="33"/>
      <c r="F294" s="34"/>
    </row>
    <row r="295" spans="1:6">
      <c r="A295" s="35"/>
      <c r="C295" s="33"/>
      <c r="E295" s="33"/>
      <c r="F295" s="34"/>
    </row>
    <row r="296" spans="1:6">
      <c r="A296" s="35"/>
      <c r="C296" s="33"/>
      <c r="E296" s="33"/>
      <c r="F296" s="34"/>
    </row>
    <row r="297" spans="1:6">
      <c r="A297" s="35"/>
      <c r="C297" s="33"/>
      <c r="E297" s="33"/>
      <c r="F297" s="34"/>
    </row>
    <row r="298" spans="1:6">
      <c r="A298" s="35"/>
      <c r="C298" s="33"/>
      <c r="E298" s="33"/>
      <c r="F298" s="34"/>
    </row>
    <row r="299" spans="1:6">
      <c r="A299" s="35"/>
      <c r="C299" s="33"/>
      <c r="E299" s="33"/>
      <c r="F299" s="34"/>
    </row>
    <row r="300" spans="1:6">
      <c r="A300" s="35"/>
      <c r="C300" s="33"/>
      <c r="E300" s="33"/>
      <c r="F300" s="34"/>
    </row>
    <row r="301" spans="1:6">
      <c r="A301" s="35"/>
      <c r="C301" s="33"/>
      <c r="E301" s="33"/>
      <c r="F301" s="34"/>
    </row>
    <row r="302" spans="1:6">
      <c r="A302" s="35"/>
      <c r="C302" s="33"/>
      <c r="E302" s="33"/>
      <c r="F302" s="34"/>
    </row>
    <row r="303" spans="1:6">
      <c r="A303" s="35"/>
      <c r="C303" s="33"/>
      <c r="E303" s="33"/>
      <c r="F303" s="34"/>
    </row>
    <row r="304" spans="1:6">
      <c r="A304" s="35"/>
      <c r="C304" s="33"/>
      <c r="E304" s="33"/>
      <c r="F304" s="34"/>
    </row>
    <row r="305" spans="1:6">
      <c r="A305" s="35"/>
      <c r="C305" s="33"/>
      <c r="E305" s="33"/>
      <c r="F305" s="34"/>
    </row>
    <row r="306" spans="1:6">
      <c r="A306" s="35"/>
      <c r="C306" s="33"/>
      <c r="E306" s="33"/>
      <c r="F306" s="34"/>
    </row>
    <row r="307" spans="1:6">
      <c r="A307" s="35"/>
      <c r="C307" s="33"/>
      <c r="E307" s="33"/>
      <c r="F307" s="34"/>
    </row>
    <row r="308" spans="1:6">
      <c r="A308" s="35"/>
      <c r="C308" s="33"/>
      <c r="E308" s="33"/>
      <c r="F308" s="34"/>
    </row>
    <row r="309" spans="1:6">
      <c r="A309" s="35"/>
      <c r="C309" s="33"/>
      <c r="E309" s="33"/>
      <c r="F309" s="34"/>
    </row>
    <row r="310" spans="1:6">
      <c r="A310" s="35"/>
      <c r="C310" s="33"/>
      <c r="E310" s="33"/>
      <c r="F310" s="34"/>
    </row>
    <row r="311" spans="1:6">
      <c r="A311" s="35"/>
      <c r="C311" s="33"/>
      <c r="E311" s="33"/>
      <c r="F311" s="34"/>
    </row>
    <row r="312" spans="1:6">
      <c r="A312" s="35"/>
      <c r="C312" s="33"/>
      <c r="E312" s="33"/>
      <c r="F312" s="34"/>
    </row>
    <row r="313" spans="1:6">
      <c r="A313" s="35"/>
      <c r="C313" s="33"/>
      <c r="E313" s="33"/>
      <c r="F313" s="34"/>
    </row>
    <row r="314" spans="1:6">
      <c r="A314" s="35"/>
      <c r="C314" s="33"/>
      <c r="E314" s="33"/>
      <c r="F314" s="34"/>
    </row>
    <row r="315" spans="1:6">
      <c r="A315" s="35"/>
      <c r="C315" s="33"/>
      <c r="E315" s="33"/>
      <c r="F315" s="34"/>
    </row>
    <row r="316" spans="1:6">
      <c r="A316" s="35"/>
      <c r="C316" s="33"/>
      <c r="E316" s="33"/>
      <c r="F316" s="34"/>
    </row>
    <row r="317" spans="1:6">
      <c r="A317" s="35"/>
      <c r="C317" s="33"/>
      <c r="E317" s="33"/>
      <c r="F317" s="34"/>
    </row>
    <row r="318" spans="1:6">
      <c r="A318" s="35"/>
      <c r="C318" s="33"/>
      <c r="E318" s="33"/>
      <c r="F318" s="34"/>
    </row>
    <row r="319" spans="1:6">
      <c r="A319" s="35"/>
      <c r="C319" s="33"/>
      <c r="E319" s="33"/>
      <c r="F319" s="34"/>
    </row>
    <row r="320" spans="1:6">
      <c r="A320" s="35"/>
      <c r="C320" s="33"/>
      <c r="E320" s="33"/>
      <c r="F320" s="34"/>
    </row>
    <row r="321" spans="1:6">
      <c r="A321" s="35"/>
      <c r="C321" s="33"/>
      <c r="E321" s="33"/>
      <c r="F321" s="34"/>
    </row>
    <row r="322" spans="1:6">
      <c r="A322" s="35"/>
      <c r="C322" s="33"/>
      <c r="E322" s="33"/>
      <c r="F322" s="34"/>
    </row>
    <row r="323" spans="1:6">
      <c r="A323" s="35"/>
      <c r="C323" s="33"/>
      <c r="E323" s="33"/>
      <c r="F323" s="34"/>
    </row>
    <row r="324" spans="1:6">
      <c r="A324" s="35"/>
      <c r="C324" s="33"/>
      <c r="E324" s="33"/>
      <c r="F324" s="34"/>
    </row>
    <row r="325" spans="1:6">
      <c r="A325" s="35"/>
      <c r="C325" s="33"/>
      <c r="E325" s="33"/>
      <c r="F325" s="34"/>
    </row>
    <row r="326" spans="1:6">
      <c r="A326" s="35"/>
      <c r="C326" s="33"/>
      <c r="E326" s="33"/>
      <c r="F326" s="34"/>
    </row>
    <row r="327" spans="1:6">
      <c r="A327" s="35"/>
      <c r="C327" s="33"/>
      <c r="E327" s="33"/>
      <c r="F327" s="34"/>
    </row>
    <row r="328" spans="1:6">
      <c r="A328" s="35"/>
      <c r="C328" s="33"/>
      <c r="E328" s="33"/>
      <c r="F328" s="34"/>
    </row>
    <row r="329" spans="1:6">
      <c r="A329" s="35"/>
      <c r="C329" s="33"/>
      <c r="E329" s="33"/>
      <c r="F329" s="34"/>
    </row>
    <row r="330" spans="1:6">
      <c r="A330" s="35"/>
      <c r="C330" s="33"/>
      <c r="E330" s="33"/>
      <c r="F330" s="34"/>
    </row>
    <row r="331" spans="1:6">
      <c r="A331" s="35"/>
      <c r="C331" s="33"/>
      <c r="E331" s="33"/>
      <c r="F331" s="34"/>
    </row>
    <row r="332" spans="1:6">
      <c r="A332" s="35"/>
      <c r="C332" s="33"/>
      <c r="E332" s="33"/>
      <c r="F332" s="34"/>
    </row>
    <row r="333" spans="1:6">
      <c r="A333" s="35"/>
      <c r="C333" s="33"/>
      <c r="E333" s="33"/>
      <c r="F333" s="34"/>
    </row>
    <row r="334" spans="1:6">
      <c r="A334" s="35"/>
      <c r="C334" s="33"/>
      <c r="E334" s="33"/>
      <c r="F334" s="34"/>
    </row>
    <row r="335" spans="1:6">
      <c r="A335" s="35"/>
      <c r="C335" s="33"/>
      <c r="E335" s="33"/>
      <c r="F335" s="34"/>
    </row>
    <row r="336" spans="1:6">
      <c r="A336" s="35"/>
      <c r="C336" s="33"/>
      <c r="E336" s="33"/>
      <c r="F336" s="34"/>
    </row>
    <row r="337" spans="1:6">
      <c r="A337" s="35"/>
      <c r="C337" s="33"/>
      <c r="E337" s="33"/>
      <c r="F337" s="34"/>
    </row>
    <row r="338" spans="1:6">
      <c r="A338" s="35"/>
      <c r="C338" s="33"/>
      <c r="E338" s="33"/>
      <c r="F338" s="34"/>
    </row>
    <row r="339" spans="1:6">
      <c r="A339" s="35"/>
      <c r="C339" s="33"/>
      <c r="E339" s="33"/>
      <c r="F339" s="34"/>
    </row>
    <row r="340" spans="1:6">
      <c r="A340" s="35"/>
      <c r="C340" s="33"/>
      <c r="E340" s="33"/>
      <c r="F340" s="34"/>
    </row>
    <row r="341" spans="1:6">
      <c r="A341" s="35"/>
      <c r="C341" s="33"/>
      <c r="E341" s="33"/>
      <c r="F341" s="34"/>
    </row>
    <row r="342" spans="1:6">
      <c r="A342" s="35"/>
      <c r="C342" s="33"/>
      <c r="E342" s="33"/>
      <c r="F342" s="34"/>
    </row>
    <row r="343" spans="1:6">
      <c r="A343" s="35"/>
      <c r="C343" s="33"/>
      <c r="E343" s="33"/>
      <c r="F343" s="34"/>
    </row>
    <row r="344" spans="1:6">
      <c r="A344" s="35"/>
      <c r="C344" s="33"/>
      <c r="E344" s="33"/>
      <c r="F344" s="34"/>
    </row>
    <row r="345" spans="1:6">
      <c r="A345" s="35"/>
      <c r="C345" s="33"/>
      <c r="E345" s="33"/>
      <c r="F345" s="34"/>
    </row>
    <row r="346" spans="1:6">
      <c r="A346" s="35"/>
      <c r="C346" s="33"/>
      <c r="E346" s="33"/>
      <c r="F346" s="34"/>
    </row>
    <row r="347" spans="1:6">
      <c r="A347" s="35"/>
      <c r="C347" s="33"/>
      <c r="E347" s="33"/>
      <c r="F347" s="34"/>
    </row>
    <row r="348" spans="1:6">
      <c r="A348" s="35"/>
      <c r="C348" s="33"/>
      <c r="E348" s="33"/>
      <c r="F348" s="34"/>
    </row>
    <row r="349" spans="1:6">
      <c r="A349" s="35"/>
      <c r="C349" s="33"/>
      <c r="E349" s="33"/>
      <c r="F349" s="34"/>
    </row>
    <row r="350" spans="1:6">
      <c r="A350" s="35"/>
      <c r="C350" s="33"/>
      <c r="E350" s="33"/>
      <c r="F350" s="34"/>
    </row>
    <row r="351" spans="1:6">
      <c r="A351" s="35"/>
      <c r="C351" s="33"/>
      <c r="E351" s="33"/>
      <c r="F351" s="34"/>
    </row>
    <row r="352" spans="1:6">
      <c r="A352" s="35"/>
      <c r="C352" s="33"/>
      <c r="E352" s="33"/>
      <c r="F352" s="34"/>
    </row>
    <row r="353" spans="1:6">
      <c r="A353" s="35"/>
      <c r="C353" s="33"/>
      <c r="E353" s="33"/>
      <c r="F353" s="34"/>
    </row>
    <row r="354" spans="1:6">
      <c r="A354" s="35"/>
      <c r="C354" s="33"/>
      <c r="E354" s="33"/>
      <c r="F354" s="34"/>
    </row>
    <row r="355" spans="1:6">
      <c r="A355" s="35"/>
      <c r="C355" s="33"/>
      <c r="E355" s="33"/>
      <c r="F355" s="34"/>
    </row>
    <row r="356" spans="1:6">
      <c r="A356" s="35"/>
      <c r="C356" s="33"/>
      <c r="E356" s="33"/>
      <c r="F356" s="34"/>
    </row>
    <row r="357" spans="1:6">
      <c r="A357" s="35"/>
      <c r="C357" s="33"/>
      <c r="E357" s="33"/>
      <c r="F357" s="34"/>
    </row>
    <row r="358" spans="1:6">
      <c r="A358" s="35"/>
      <c r="C358" s="33"/>
      <c r="E358" s="33"/>
      <c r="F358" s="34"/>
    </row>
    <row r="359" spans="1:6">
      <c r="A359" s="35"/>
      <c r="C359" s="33"/>
      <c r="E359" s="33"/>
      <c r="F359" s="34"/>
    </row>
    <row r="360" spans="1:6">
      <c r="A360" s="35"/>
      <c r="C360" s="33"/>
      <c r="E360" s="33"/>
      <c r="F360" s="34"/>
    </row>
    <row r="361" spans="1:6">
      <c r="A361" s="35"/>
      <c r="C361" s="33"/>
      <c r="E361" s="33"/>
      <c r="F361" s="34"/>
    </row>
    <row r="362" spans="1:6">
      <c r="A362" s="35"/>
      <c r="C362" s="33"/>
      <c r="E362" s="33"/>
      <c r="F362" s="34"/>
    </row>
    <row r="363" spans="1:6">
      <c r="A363" s="35"/>
      <c r="C363" s="33"/>
      <c r="E363" s="33"/>
      <c r="F363" s="34"/>
    </row>
    <row r="364" spans="1:6">
      <c r="A364" s="35"/>
      <c r="C364" s="33"/>
      <c r="E364" s="33"/>
      <c r="F364" s="34"/>
    </row>
    <row r="365" spans="1:6">
      <c r="A365" s="35"/>
      <c r="C365" s="33"/>
      <c r="E365" s="33"/>
      <c r="F365" s="34"/>
    </row>
    <row r="366" spans="1:6">
      <c r="A366" s="35"/>
      <c r="C366" s="33"/>
      <c r="E366" s="33"/>
      <c r="F366" s="34"/>
    </row>
    <row r="367" spans="1:6">
      <c r="A367" s="35"/>
      <c r="C367" s="33"/>
      <c r="E367" s="33"/>
      <c r="F367" s="34"/>
    </row>
    <row r="368" spans="1:6">
      <c r="A368" s="35"/>
      <c r="C368" s="33"/>
      <c r="E368" s="33"/>
      <c r="F368" s="34"/>
    </row>
    <row r="369" spans="1:6">
      <c r="A369" s="35"/>
      <c r="C369" s="33"/>
      <c r="E369" s="33"/>
      <c r="F369" s="34"/>
    </row>
    <row r="370" spans="1:6">
      <c r="A370" s="35"/>
      <c r="C370" s="33"/>
      <c r="E370" s="33"/>
      <c r="F370" s="34"/>
    </row>
    <row r="371" spans="1:6">
      <c r="A371" s="35"/>
      <c r="C371" s="33"/>
      <c r="E371" s="33"/>
      <c r="F371" s="34"/>
    </row>
    <row r="372" spans="1:6">
      <c r="A372" s="35"/>
      <c r="C372" s="33"/>
      <c r="E372" s="33"/>
      <c r="F372" s="34"/>
    </row>
    <row r="373" spans="1:6">
      <c r="A373" s="35"/>
      <c r="C373" s="33"/>
      <c r="E373" s="33"/>
      <c r="F373" s="34"/>
    </row>
    <row r="374" spans="1:6">
      <c r="A374" s="35"/>
      <c r="C374" s="33"/>
      <c r="E374" s="33"/>
      <c r="F374" s="34"/>
    </row>
    <row r="375" spans="1:6">
      <c r="A375" s="35"/>
      <c r="C375" s="33"/>
      <c r="E375" s="33"/>
      <c r="F375" s="34"/>
    </row>
    <row r="376" spans="1:6">
      <c r="A376" s="35"/>
      <c r="C376" s="33"/>
      <c r="E376" s="33"/>
      <c r="F376" s="34"/>
    </row>
    <row r="377" spans="1:6">
      <c r="A377" s="35"/>
      <c r="C377" s="33"/>
      <c r="E377" s="33"/>
      <c r="F377" s="34"/>
    </row>
    <row r="378" spans="1:6">
      <c r="A378" s="35"/>
      <c r="C378" s="33"/>
      <c r="E378" s="33"/>
      <c r="F378" s="34"/>
    </row>
    <row r="379" spans="1:6">
      <c r="A379" s="35"/>
      <c r="C379" s="33"/>
      <c r="E379" s="33"/>
      <c r="F379" s="34"/>
    </row>
    <row r="380" spans="1:6">
      <c r="A380" s="35"/>
      <c r="C380" s="33"/>
      <c r="E380" s="33"/>
      <c r="F380" s="34"/>
    </row>
    <row r="381" spans="1:6">
      <c r="A381" s="35"/>
      <c r="C381" s="33"/>
      <c r="E381" s="33"/>
      <c r="F381" s="34"/>
    </row>
    <row r="382" spans="1:6">
      <c r="A382" s="35"/>
      <c r="C382" s="33"/>
      <c r="E382" s="33"/>
      <c r="F382" s="34"/>
    </row>
    <row r="383" spans="1:6">
      <c r="A383" s="35"/>
      <c r="C383" s="33"/>
      <c r="E383" s="33"/>
      <c r="F383" s="34"/>
    </row>
    <row r="384" spans="1:6">
      <c r="A384" s="35"/>
      <c r="C384" s="33"/>
      <c r="E384" s="33"/>
      <c r="F384" s="34"/>
    </row>
    <row r="385" spans="1:6">
      <c r="A385" s="35"/>
      <c r="C385" s="33"/>
      <c r="E385" s="33"/>
      <c r="F385" s="34"/>
    </row>
    <row r="386" spans="1:6">
      <c r="A386" s="35"/>
      <c r="C386" s="33"/>
      <c r="E386" s="33"/>
      <c r="F386" s="34"/>
    </row>
    <row r="387" spans="1:6">
      <c r="A387" s="35"/>
      <c r="C387" s="33"/>
      <c r="E387" s="33"/>
      <c r="F387" s="34"/>
    </row>
    <row r="388" spans="1:6">
      <c r="A388" s="35"/>
      <c r="C388" s="33"/>
      <c r="E388" s="33"/>
      <c r="F388" s="34"/>
    </row>
    <row r="389" spans="1:6">
      <c r="A389" s="35"/>
      <c r="C389" s="33"/>
      <c r="E389" s="33"/>
      <c r="F389" s="34"/>
    </row>
    <row r="390" spans="1:6">
      <c r="A390" s="35"/>
      <c r="C390" s="33"/>
      <c r="E390" s="33"/>
      <c r="F390" s="34"/>
    </row>
    <row r="391" spans="1:6">
      <c r="A391" s="35"/>
      <c r="C391" s="33"/>
      <c r="E391" s="33"/>
      <c r="F391" s="34"/>
    </row>
    <row r="392" spans="1:6">
      <c r="A392" s="35"/>
      <c r="C392" s="33"/>
      <c r="E392" s="33"/>
      <c r="F392" s="34"/>
    </row>
    <row r="393" spans="1:6">
      <c r="A393" s="35"/>
      <c r="C393" s="33"/>
      <c r="E393" s="33"/>
      <c r="F393" s="34"/>
    </row>
    <row r="394" spans="1:6">
      <c r="A394" s="35"/>
      <c r="C394" s="33"/>
      <c r="E394" s="33"/>
      <c r="F394" s="34"/>
    </row>
    <row r="395" spans="1:6">
      <c r="A395" s="35"/>
      <c r="C395" s="33"/>
      <c r="E395" s="33"/>
      <c r="F395" s="34"/>
    </row>
    <row r="396" spans="1:6">
      <c r="A396" s="35"/>
      <c r="C396" s="33"/>
      <c r="E396" s="33"/>
      <c r="F396" s="34"/>
    </row>
    <row r="397" spans="1:6">
      <c r="A397" s="35"/>
      <c r="C397" s="33"/>
      <c r="E397" s="33"/>
      <c r="F397" s="34"/>
    </row>
    <row r="398" spans="1:6">
      <c r="A398" s="35"/>
      <c r="C398" s="33"/>
      <c r="E398" s="33"/>
      <c r="F398" s="34"/>
    </row>
    <row r="399" spans="1:6">
      <c r="A399" s="35"/>
      <c r="C399" s="33"/>
      <c r="E399" s="33"/>
      <c r="F399" s="34"/>
    </row>
    <row r="400" spans="1:6">
      <c r="A400" s="35"/>
      <c r="C400" s="33"/>
      <c r="E400" s="33"/>
      <c r="F400" s="34"/>
    </row>
    <row r="401" spans="1:6">
      <c r="A401" s="35"/>
      <c r="C401" s="33"/>
      <c r="E401" s="33"/>
      <c r="F401" s="34"/>
    </row>
    <row r="402" spans="1:6">
      <c r="A402" s="35"/>
      <c r="C402" s="33"/>
      <c r="E402" s="33"/>
      <c r="F402" s="34"/>
    </row>
    <row r="403" spans="1:6">
      <c r="A403" s="35"/>
      <c r="C403" s="33"/>
      <c r="E403" s="33"/>
      <c r="F403" s="34"/>
    </row>
    <row r="404" spans="1:6">
      <c r="A404" s="35"/>
      <c r="C404" s="33"/>
      <c r="E404" s="33"/>
      <c r="F404" s="34"/>
    </row>
    <row r="405" spans="1:6">
      <c r="A405" s="35"/>
      <c r="C405" s="33"/>
      <c r="E405" s="33"/>
      <c r="F405" s="34"/>
    </row>
    <row r="406" spans="1:6">
      <c r="A406" s="35"/>
      <c r="C406" s="33"/>
      <c r="E406" s="33"/>
      <c r="F406" s="34"/>
    </row>
    <row r="407" spans="1:6">
      <c r="A407" s="35"/>
      <c r="C407" s="33"/>
      <c r="E407" s="33"/>
      <c r="F407" s="34"/>
    </row>
    <row r="408" spans="1:6">
      <c r="A408" s="35"/>
      <c r="C408" s="33"/>
      <c r="E408" s="33"/>
      <c r="F408" s="34"/>
    </row>
    <row r="409" spans="1:6">
      <c r="A409" s="35"/>
      <c r="C409" s="33"/>
      <c r="E409" s="33"/>
      <c r="F409" s="34"/>
    </row>
    <row r="410" spans="1:6">
      <c r="A410" s="35"/>
      <c r="C410" s="33"/>
      <c r="E410" s="33"/>
      <c r="F410" s="34"/>
    </row>
    <row r="411" spans="1:6">
      <c r="A411" s="35"/>
      <c r="C411" s="33"/>
      <c r="E411" s="33"/>
      <c r="F411" s="34"/>
    </row>
    <row r="412" spans="1:6">
      <c r="A412" s="35"/>
      <c r="C412" s="33"/>
      <c r="E412" s="33"/>
      <c r="F412" s="34"/>
    </row>
    <row r="413" spans="1:6">
      <c r="A413" s="35"/>
      <c r="C413" s="33"/>
      <c r="E413" s="33"/>
      <c r="F413" s="34"/>
    </row>
    <row r="414" spans="1:6">
      <c r="A414" s="35"/>
      <c r="C414" s="33"/>
      <c r="E414" s="33"/>
      <c r="F414" s="34"/>
    </row>
    <row r="415" spans="1:6">
      <c r="A415" s="35"/>
      <c r="C415" s="33"/>
      <c r="E415" s="33"/>
      <c r="F415" s="34"/>
    </row>
    <row r="416" spans="1:6">
      <c r="A416" s="35"/>
      <c r="C416" s="33"/>
      <c r="E416" s="33"/>
      <c r="F416" s="34"/>
    </row>
    <row r="417" spans="1:6">
      <c r="A417" s="35"/>
      <c r="C417" s="33"/>
      <c r="E417" s="33"/>
      <c r="F417" s="34"/>
    </row>
    <row r="418" spans="1:6">
      <c r="A418" s="35"/>
      <c r="C418" s="33"/>
      <c r="E418" s="33"/>
      <c r="F418" s="34"/>
    </row>
    <row r="419" spans="1:6">
      <c r="A419" s="35"/>
      <c r="C419" s="33"/>
      <c r="E419" s="33"/>
      <c r="F419" s="34"/>
    </row>
    <row r="420" spans="1:6">
      <c r="A420" s="35"/>
      <c r="C420" s="33"/>
      <c r="E420" s="33"/>
      <c r="F420" s="34"/>
    </row>
    <row r="421" spans="1:6">
      <c r="A421" s="35"/>
      <c r="C421" s="33"/>
      <c r="E421" s="33"/>
      <c r="F421" s="34"/>
    </row>
    <row r="422" spans="1:6">
      <c r="A422" s="35"/>
      <c r="C422" s="33"/>
      <c r="E422" s="33"/>
      <c r="F422" s="34"/>
    </row>
    <row r="423" spans="1:6">
      <c r="A423" s="35"/>
      <c r="C423" s="33"/>
      <c r="E423" s="33"/>
      <c r="F423" s="34"/>
    </row>
    <row r="424" spans="1:6">
      <c r="A424" s="35"/>
      <c r="C424" s="33"/>
      <c r="E424" s="33"/>
      <c r="F424" s="34"/>
    </row>
    <row r="425" spans="1:6">
      <c r="A425" s="35"/>
      <c r="C425" s="33"/>
      <c r="E425" s="33"/>
      <c r="F425" s="34"/>
    </row>
    <row r="426" spans="1:6">
      <c r="A426" s="35"/>
      <c r="C426" s="33"/>
      <c r="E426" s="33"/>
      <c r="F426" s="34"/>
    </row>
    <row r="427" spans="1:6">
      <c r="A427" s="35"/>
      <c r="C427" s="33"/>
      <c r="E427" s="33"/>
      <c r="F427" s="34"/>
    </row>
    <row r="428" spans="1:6">
      <c r="A428" s="35"/>
      <c r="C428" s="33"/>
      <c r="E428" s="33"/>
      <c r="F428" s="34"/>
    </row>
    <row r="429" spans="1:6">
      <c r="A429" s="35"/>
      <c r="C429" s="33"/>
      <c r="E429" s="33"/>
      <c r="F429" s="34"/>
    </row>
    <row r="430" spans="1:6">
      <c r="A430" s="35"/>
      <c r="C430" s="33"/>
      <c r="E430" s="33"/>
      <c r="F430" s="34"/>
    </row>
    <row r="431" spans="1:6">
      <c r="A431" s="35"/>
      <c r="C431" s="33"/>
      <c r="E431" s="33"/>
      <c r="F431" s="34"/>
    </row>
    <row r="432" spans="1:6">
      <c r="A432" s="35"/>
      <c r="C432" s="33"/>
      <c r="E432" s="33"/>
      <c r="F432" s="34"/>
    </row>
    <row r="433" spans="1:6">
      <c r="A433" s="35"/>
      <c r="C433" s="33"/>
      <c r="E433" s="33"/>
      <c r="F433" s="34"/>
    </row>
    <row r="434" spans="1:6">
      <c r="A434" s="35"/>
      <c r="C434" s="33"/>
      <c r="E434" s="33"/>
      <c r="F434" s="34"/>
    </row>
    <row r="435" spans="1:6">
      <c r="A435" s="35"/>
      <c r="C435" s="33"/>
      <c r="E435" s="33"/>
      <c r="F435" s="34"/>
    </row>
    <row r="436" spans="1:6">
      <c r="A436" s="35"/>
      <c r="C436" s="33"/>
      <c r="E436" s="33"/>
      <c r="F436" s="34"/>
    </row>
    <row r="437" spans="1:6">
      <c r="A437" s="35"/>
      <c r="C437" s="33"/>
      <c r="E437" s="33"/>
      <c r="F437" s="34"/>
    </row>
    <row r="438" spans="1:6">
      <c r="A438" s="35"/>
      <c r="C438" s="33"/>
      <c r="E438" s="33"/>
      <c r="F438" s="34"/>
    </row>
    <row r="439" spans="1:6">
      <c r="A439" s="35"/>
      <c r="C439" s="33"/>
      <c r="E439" s="33"/>
      <c r="F439" s="34"/>
    </row>
    <row r="440" spans="1:6">
      <c r="A440" s="35"/>
      <c r="C440" s="33"/>
      <c r="E440" s="33"/>
      <c r="F440" s="34"/>
    </row>
    <row r="441" spans="1:6">
      <c r="A441" s="35"/>
      <c r="C441" s="33"/>
      <c r="E441" s="33"/>
      <c r="F441" s="34"/>
    </row>
    <row r="442" spans="1:6">
      <c r="A442" s="35"/>
      <c r="C442" s="33"/>
      <c r="E442" s="33"/>
      <c r="F442" s="34"/>
    </row>
    <row r="443" spans="1:6">
      <c r="A443" s="35"/>
      <c r="C443" s="33"/>
      <c r="E443" s="33"/>
      <c r="F443" s="34"/>
    </row>
    <row r="444" spans="1:6">
      <c r="A444" s="35"/>
      <c r="C444" s="33"/>
      <c r="E444" s="33"/>
      <c r="F444" s="34"/>
    </row>
    <row r="445" spans="1:6">
      <c r="A445" s="35"/>
      <c r="C445" s="33"/>
      <c r="E445" s="33"/>
      <c r="F445" s="34"/>
    </row>
    <row r="446" spans="1:6">
      <c r="A446" s="35"/>
      <c r="C446" s="33"/>
      <c r="E446" s="33"/>
      <c r="F446" s="34"/>
    </row>
    <row r="447" spans="1:6">
      <c r="A447" s="35"/>
      <c r="C447" s="33"/>
      <c r="E447" s="33"/>
      <c r="F447" s="34"/>
    </row>
    <row r="448" spans="1:6">
      <c r="A448" s="35"/>
      <c r="C448" s="33"/>
      <c r="E448" s="33"/>
      <c r="F448" s="34"/>
    </row>
    <row r="449" spans="1:6">
      <c r="A449" s="35"/>
      <c r="C449" s="33"/>
      <c r="E449" s="33"/>
      <c r="F449" s="34"/>
    </row>
    <row r="450" spans="1:6">
      <c r="A450" s="35"/>
      <c r="C450" s="33"/>
      <c r="E450" s="33"/>
      <c r="F450" s="34"/>
    </row>
    <row r="451" spans="1:6">
      <c r="A451" s="35"/>
      <c r="C451" s="33"/>
      <c r="E451" s="33"/>
      <c r="F451" s="34"/>
    </row>
    <row r="452" spans="1:6">
      <c r="A452" s="35"/>
      <c r="C452" s="33"/>
      <c r="E452" s="33"/>
      <c r="F452" s="34"/>
    </row>
    <row r="453" spans="1:6">
      <c r="A453" s="35"/>
      <c r="C453" s="33"/>
      <c r="E453" s="33"/>
      <c r="F453" s="34"/>
    </row>
    <row r="454" spans="1:6">
      <c r="A454" s="35"/>
      <c r="C454" s="33"/>
      <c r="E454" s="33"/>
      <c r="F454" s="34"/>
    </row>
    <row r="455" spans="1:6">
      <c r="A455" s="35"/>
      <c r="C455" s="33"/>
      <c r="E455" s="33"/>
      <c r="F455" s="34"/>
    </row>
    <row r="456" spans="1:6">
      <c r="A456" s="35"/>
      <c r="C456" s="33"/>
      <c r="E456" s="33"/>
      <c r="F456" s="34"/>
    </row>
    <row r="457" spans="1:6">
      <c r="A457" s="35"/>
      <c r="C457" s="33"/>
      <c r="E457" s="33"/>
      <c r="F457" s="34"/>
    </row>
    <row r="458" spans="1:6">
      <c r="A458" s="35"/>
      <c r="C458" s="33"/>
      <c r="E458" s="33"/>
      <c r="F458" s="34"/>
    </row>
    <row r="459" spans="1:6">
      <c r="A459" s="35"/>
      <c r="C459" s="33"/>
      <c r="E459" s="33"/>
      <c r="F459" s="34"/>
    </row>
    <row r="460" spans="1:6">
      <c r="A460" s="35"/>
      <c r="C460" s="33"/>
      <c r="E460" s="33"/>
      <c r="F460" s="34"/>
    </row>
    <row r="461" spans="1:6">
      <c r="A461" s="35"/>
      <c r="C461" s="33"/>
      <c r="E461" s="33"/>
      <c r="F461" s="34"/>
    </row>
    <row r="462" spans="1:6">
      <c r="A462" s="35"/>
      <c r="C462" s="33"/>
      <c r="E462" s="33"/>
      <c r="F462" s="34"/>
    </row>
    <row r="463" spans="1:6">
      <c r="A463" s="35"/>
      <c r="C463" s="33"/>
      <c r="E463" s="33"/>
      <c r="F463" s="34"/>
    </row>
    <row r="464" spans="1:6">
      <c r="A464" s="35"/>
      <c r="C464" s="33"/>
      <c r="E464" s="33"/>
      <c r="F464" s="34"/>
    </row>
    <row r="465" spans="1:6">
      <c r="A465" s="35"/>
      <c r="C465" s="33"/>
      <c r="E465" s="33"/>
      <c r="F465" s="34"/>
    </row>
    <row r="466" spans="1:6">
      <c r="A466" s="35"/>
      <c r="C466" s="33"/>
      <c r="E466" s="33"/>
      <c r="F466" s="34"/>
    </row>
    <row r="467" spans="1:6">
      <c r="A467" s="35"/>
      <c r="C467" s="33"/>
      <c r="E467" s="33"/>
      <c r="F467" s="34"/>
    </row>
    <row r="468" spans="1:6">
      <c r="A468" s="35"/>
      <c r="C468" s="33"/>
      <c r="E468" s="33"/>
      <c r="F468" s="34"/>
    </row>
    <row r="469" spans="1:6">
      <c r="A469" s="35"/>
      <c r="C469" s="33"/>
      <c r="E469" s="33"/>
      <c r="F469" s="34"/>
    </row>
    <row r="470" spans="1:6">
      <c r="A470" s="35"/>
      <c r="C470" s="33"/>
      <c r="E470" s="33"/>
      <c r="F470" s="34"/>
    </row>
    <row r="471" spans="1:6">
      <c r="A471" s="35"/>
      <c r="C471" s="33"/>
      <c r="E471" s="33"/>
      <c r="F471" s="34"/>
    </row>
    <row r="472" spans="1:6">
      <c r="A472" s="35"/>
      <c r="C472" s="33"/>
      <c r="E472" s="33"/>
      <c r="F472" s="34"/>
    </row>
    <row r="473" spans="1:6">
      <c r="A473" s="35"/>
      <c r="C473" s="33"/>
      <c r="E473" s="33"/>
      <c r="F473" s="34"/>
    </row>
    <row r="474" spans="1:6">
      <c r="A474" s="35"/>
      <c r="C474" s="33"/>
      <c r="E474" s="33"/>
      <c r="F474" s="34"/>
    </row>
    <row r="475" spans="1:6">
      <c r="A475" s="35"/>
      <c r="C475" s="33"/>
      <c r="E475" s="33"/>
      <c r="F475" s="34"/>
    </row>
    <row r="476" spans="1:6">
      <c r="A476" s="35"/>
      <c r="C476" s="33"/>
      <c r="E476" s="33"/>
      <c r="F476" s="34"/>
    </row>
    <row r="477" spans="1:6">
      <c r="A477" s="35"/>
      <c r="C477" s="33"/>
      <c r="E477" s="33"/>
      <c r="F477" s="34"/>
    </row>
    <row r="478" spans="1:6">
      <c r="A478" s="35"/>
      <c r="C478" s="33"/>
      <c r="E478" s="33"/>
      <c r="F478" s="34"/>
    </row>
    <row r="479" spans="1:6">
      <c r="A479" s="35"/>
      <c r="C479" s="33"/>
      <c r="E479" s="33"/>
      <c r="F479" s="34"/>
    </row>
    <row r="480" spans="1:6">
      <c r="A480" s="35"/>
      <c r="C480" s="33"/>
      <c r="E480" s="33"/>
      <c r="F480" s="34"/>
    </row>
    <row r="481" spans="1:6">
      <c r="A481" s="35"/>
      <c r="C481" s="33"/>
      <c r="E481" s="33"/>
      <c r="F481" s="34"/>
    </row>
    <row r="482" spans="1:6">
      <c r="A482" s="35"/>
      <c r="C482" s="33"/>
      <c r="E482" s="33"/>
      <c r="F482" s="34"/>
    </row>
    <row r="483" spans="1:6">
      <c r="A483" s="35"/>
      <c r="C483" s="33"/>
      <c r="E483" s="33"/>
      <c r="F483" s="34"/>
    </row>
    <row r="484" spans="1:6">
      <c r="A484" s="35"/>
      <c r="C484" s="33"/>
      <c r="E484" s="33"/>
      <c r="F484" s="34"/>
    </row>
    <row r="485" spans="1:6">
      <c r="A485" s="35"/>
      <c r="C485" s="33"/>
      <c r="E485" s="33"/>
      <c r="F485" s="34"/>
    </row>
    <row r="486" spans="1:6">
      <c r="A486" s="35"/>
      <c r="C486" s="33"/>
      <c r="E486" s="33"/>
      <c r="F486" s="34"/>
    </row>
    <row r="487" spans="1:6">
      <c r="A487" s="35"/>
      <c r="C487" s="33"/>
      <c r="E487" s="33"/>
      <c r="F487" s="34"/>
    </row>
    <row r="488" spans="1:6">
      <c r="A488" s="35"/>
      <c r="C488" s="33"/>
      <c r="E488" s="33"/>
      <c r="F488" s="34"/>
    </row>
    <row r="489" spans="1:6">
      <c r="A489" s="35"/>
      <c r="C489" s="33"/>
      <c r="E489" s="33"/>
      <c r="F489" s="34"/>
    </row>
    <row r="490" spans="1:6">
      <c r="A490" s="35"/>
      <c r="C490" s="33"/>
      <c r="E490" s="33"/>
      <c r="F490" s="34"/>
    </row>
    <row r="491" spans="1:6">
      <c r="A491" s="35"/>
      <c r="C491" s="33"/>
      <c r="E491" s="33"/>
      <c r="F491" s="34"/>
    </row>
    <row r="492" spans="1:6">
      <c r="A492" s="35"/>
      <c r="C492" s="33"/>
      <c r="E492" s="33"/>
      <c r="F492" s="34"/>
    </row>
    <row r="493" spans="1:6">
      <c r="A493" s="35"/>
      <c r="C493" s="33"/>
      <c r="E493" s="33"/>
      <c r="F493" s="34"/>
    </row>
    <row r="494" spans="1:6">
      <c r="A494" s="35"/>
      <c r="C494" s="33"/>
      <c r="E494" s="33"/>
      <c r="F494" s="34"/>
    </row>
    <row r="495" spans="1:6">
      <c r="A495" s="35"/>
      <c r="C495" s="33"/>
      <c r="E495" s="33"/>
      <c r="F495" s="34"/>
    </row>
    <row r="496" spans="1:6">
      <c r="A496" s="35"/>
      <c r="C496" s="33"/>
      <c r="E496" s="33"/>
      <c r="F496" s="34"/>
    </row>
    <row r="497" spans="1:6">
      <c r="A497" s="35"/>
      <c r="C497" s="33"/>
      <c r="E497" s="33"/>
      <c r="F497" s="34"/>
    </row>
    <row r="498" spans="1:6">
      <c r="A498" s="35"/>
      <c r="C498" s="33"/>
      <c r="E498" s="33"/>
      <c r="F498" s="34"/>
    </row>
    <row r="499" spans="1:6">
      <c r="A499" s="35"/>
      <c r="C499" s="33"/>
      <c r="E499" s="33"/>
      <c r="F499" s="34"/>
    </row>
    <row r="500" spans="1:6">
      <c r="A500" s="35"/>
      <c r="C500" s="33"/>
      <c r="E500" s="33"/>
      <c r="F500" s="34"/>
    </row>
    <row r="501" spans="1:6">
      <c r="A501" s="35"/>
      <c r="C501" s="33"/>
      <c r="E501" s="33"/>
      <c r="F501" s="34"/>
    </row>
    <row r="502" spans="1:6">
      <c r="A502" s="35"/>
      <c r="C502" s="33"/>
      <c r="E502" s="33"/>
      <c r="F502" s="34"/>
    </row>
    <row r="503" spans="1:6">
      <c r="A503" s="35"/>
      <c r="C503" s="33"/>
      <c r="E503" s="33"/>
      <c r="F503" s="34"/>
    </row>
    <row r="504" spans="1:6">
      <c r="A504" s="35"/>
      <c r="C504" s="33"/>
      <c r="E504" s="33"/>
      <c r="F504" s="34"/>
    </row>
    <row r="505" spans="1:6">
      <c r="A505" s="35"/>
      <c r="C505" s="33"/>
      <c r="E505" s="33"/>
      <c r="F505" s="34"/>
    </row>
    <row r="506" spans="1:6">
      <c r="A506" s="35"/>
      <c r="C506" s="33"/>
      <c r="E506" s="33"/>
      <c r="F506" s="34"/>
    </row>
    <row r="507" spans="1:6">
      <c r="A507" s="35"/>
      <c r="C507" s="33"/>
      <c r="E507" s="33"/>
      <c r="F507" s="34"/>
    </row>
    <row r="508" spans="1:6">
      <c r="A508" s="35"/>
      <c r="C508" s="33"/>
      <c r="E508" s="33"/>
      <c r="F508" s="34"/>
    </row>
    <row r="509" spans="1:6">
      <c r="A509" s="35"/>
      <c r="C509" s="33"/>
      <c r="E509" s="33"/>
      <c r="F509" s="34"/>
    </row>
    <row r="510" spans="1:6">
      <c r="A510" s="35"/>
      <c r="C510" s="33"/>
      <c r="E510" s="33"/>
      <c r="F510" s="34"/>
    </row>
    <row r="511" spans="1:6">
      <c r="A511" s="35"/>
      <c r="C511" s="33"/>
      <c r="E511" s="33"/>
      <c r="F511" s="34"/>
    </row>
    <row r="512" spans="1:6">
      <c r="A512" s="35"/>
      <c r="C512" s="33"/>
      <c r="E512" s="33"/>
      <c r="F512" s="34"/>
    </row>
    <row r="513" spans="1:6">
      <c r="A513" s="35"/>
      <c r="C513" s="33"/>
      <c r="E513" s="33"/>
      <c r="F513" s="34"/>
    </row>
    <row r="514" spans="1:6">
      <c r="A514" s="35"/>
      <c r="C514" s="33"/>
      <c r="E514" s="33"/>
      <c r="F514" s="34"/>
    </row>
    <row r="515" spans="1:6">
      <c r="A515" s="35"/>
      <c r="C515" s="33"/>
      <c r="E515" s="33"/>
      <c r="F515" s="34"/>
    </row>
    <row r="516" spans="1:6">
      <c r="A516" s="35"/>
      <c r="C516" s="33"/>
      <c r="E516" s="33"/>
      <c r="F516" s="34"/>
    </row>
    <row r="517" spans="1:6">
      <c r="A517" s="35"/>
      <c r="C517" s="33"/>
      <c r="E517" s="33"/>
      <c r="F517" s="34"/>
    </row>
    <row r="518" spans="1:6">
      <c r="A518" s="35"/>
      <c r="C518" s="33"/>
      <c r="E518" s="33"/>
      <c r="F518" s="34"/>
    </row>
    <row r="519" spans="1:6">
      <c r="A519" s="35"/>
      <c r="C519" s="33"/>
      <c r="E519" s="33"/>
      <c r="F519" s="34"/>
    </row>
    <row r="520" spans="1:6">
      <c r="A520" s="35"/>
      <c r="C520" s="33"/>
      <c r="E520" s="33"/>
      <c r="F520" s="34"/>
    </row>
    <row r="521" spans="1:6">
      <c r="A521" s="35"/>
      <c r="C521" s="33"/>
      <c r="E521" s="33"/>
      <c r="F521" s="34"/>
    </row>
    <row r="522" spans="1:6">
      <c r="A522" s="35"/>
      <c r="C522" s="33"/>
      <c r="E522" s="33"/>
      <c r="F522" s="34"/>
    </row>
    <row r="523" spans="1:6">
      <c r="A523" s="35"/>
      <c r="C523" s="33"/>
      <c r="E523" s="33"/>
      <c r="F523" s="34"/>
    </row>
    <row r="524" spans="1:6">
      <c r="A524" s="35"/>
      <c r="C524" s="33"/>
      <c r="E524" s="33"/>
      <c r="F524" s="34"/>
    </row>
    <row r="525" spans="1:6">
      <c r="A525" s="35"/>
      <c r="C525" s="33"/>
      <c r="E525" s="33"/>
      <c r="F525" s="34"/>
    </row>
    <row r="526" spans="1:6">
      <c r="A526" s="35"/>
      <c r="C526" s="33"/>
      <c r="E526" s="33"/>
      <c r="F526" s="34"/>
    </row>
    <row r="527" spans="1:6">
      <c r="A527" s="35"/>
      <c r="C527" s="33"/>
      <c r="E527" s="33"/>
      <c r="F527" s="34"/>
    </row>
    <row r="528" spans="1:6">
      <c r="A528" s="35"/>
      <c r="C528" s="33"/>
      <c r="E528" s="33"/>
      <c r="F528" s="34"/>
    </row>
    <row r="529" spans="1:6">
      <c r="A529" s="35"/>
      <c r="C529" s="33"/>
      <c r="E529" s="33"/>
      <c r="F529" s="34"/>
    </row>
    <row r="530" spans="1:6">
      <c r="A530" s="35"/>
      <c r="C530" s="33"/>
      <c r="E530" s="33"/>
      <c r="F530" s="34"/>
    </row>
    <row r="531" spans="1:6">
      <c r="A531" s="35"/>
      <c r="C531" s="33"/>
      <c r="E531" s="33"/>
      <c r="F531" s="34"/>
    </row>
    <row r="532" spans="1:6">
      <c r="A532" s="35"/>
      <c r="C532" s="33"/>
      <c r="E532" s="33"/>
      <c r="F532" s="34"/>
    </row>
    <row r="533" spans="1:6">
      <c r="A533" s="35"/>
      <c r="C533" s="33"/>
      <c r="E533" s="33"/>
      <c r="F533" s="34"/>
    </row>
    <row r="534" spans="1:6">
      <c r="A534" s="35"/>
      <c r="C534" s="33"/>
      <c r="E534" s="33"/>
      <c r="F534" s="34"/>
    </row>
    <row r="535" spans="1:6">
      <c r="A535" s="35"/>
      <c r="C535" s="33"/>
      <c r="E535" s="33"/>
      <c r="F535" s="34"/>
    </row>
    <row r="536" spans="1:6">
      <c r="A536" s="35"/>
      <c r="C536" s="33"/>
      <c r="E536" s="33"/>
      <c r="F536" s="34"/>
    </row>
    <row r="537" spans="1:6">
      <c r="A537" s="35"/>
      <c r="C537" s="33"/>
      <c r="E537" s="33"/>
      <c r="F537" s="34"/>
    </row>
    <row r="538" spans="1:6">
      <c r="A538" s="35"/>
      <c r="C538" s="33"/>
      <c r="E538" s="33"/>
      <c r="F538" s="34"/>
    </row>
    <row r="539" spans="1:6">
      <c r="A539" s="35"/>
      <c r="C539" s="33"/>
      <c r="E539" s="33"/>
      <c r="F539" s="34"/>
    </row>
    <row r="540" spans="1:6">
      <c r="A540" s="35"/>
      <c r="C540" s="33"/>
      <c r="E540" s="33"/>
      <c r="F540" s="34"/>
    </row>
    <row r="541" spans="1:6">
      <c r="A541" s="35"/>
      <c r="C541" s="33"/>
      <c r="E541" s="33"/>
      <c r="F541" s="34"/>
    </row>
    <row r="542" spans="1:6">
      <c r="A542" s="35"/>
      <c r="C542" s="33"/>
      <c r="E542" s="33"/>
      <c r="F542" s="34"/>
    </row>
    <row r="543" spans="1:6">
      <c r="A543" s="35"/>
      <c r="C543" s="33"/>
      <c r="E543" s="33"/>
      <c r="F543" s="34"/>
    </row>
    <row r="544" spans="1:6">
      <c r="A544" s="35"/>
      <c r="C544" s="33"/>
      <c r="E544" s="33"/>
      <c r="F544" s="34"/>
    </row>
    <row r="545" spans="1:6">
      <c r="A545" s="35"/>
      <c r="C545" s="33"/>
      <c r="E545" s="33"/>
      <c r="F545" s="34"/>
    </row>
    <row r="546" spans="1:6">
      <c r="A546" s="35"/>
      <c r="C546" s="33"/>
      <c r="E546" s="33"/>
      <c r="F546" s="34"/>
    </row>
    <row r="547" spans="1:6">
      <c r="A547" s="35"/>
      <c r="C547" s="33"/>
      <c r="E547" s="33"/>
      <c r="F547" s="34"/>
    </row>
    <row r="548" spans="1:6">
      <c r="A548" s="35"/>
      <c r="C548" s="33"/>
      <c r="E548" s="33"/>
      <c r="F548" s="34"/>
    </row>
    <row r="549" spans="1:6">
      <c r="A549" s="35"/>
      <c r="C549" s="33"/>
      <c r="E549" s="33"/>
      <c r="F549" s="34"/>
    </row>
    <row r="550" spans="1:6">
      <c r="A550" s="35"/>
      <c r="C550" s="33"/>
      <c r="E550" s="33"/>
      <c r="F550" s="34"/>
    </row>
    <row r="551" spans="1:6">
      <c r="A551" s="35"/>
      <c r="C551" s="33"/>
      <c r="E551" s="33"/>
      <c r="F551" s="34"/>
    </row>
    <row r="552" spans="1:6">
      <c r="A552" s="35"/>
      <c r="C552" s="33"/>
      <c r="E552" s="33"/>
      <c r="F552" s="34"/>
    </row>
    <row r="553" spans="1:6">
      <c r="A553" s="35"/>
      <c r="C553" s="33"/>
      <c r="E553" s="33"/>
      <c r="F553" s="34"/>
    </row>
    <row r="554" spans="1:6">
      <c r="A554" s="35"/>
      <c r="C554" s="33"/>
      <c r="E554" s="33"/>
      <c r="F554" s="34"/>
    </row>
    <row r="555" spans="1:6">
      <c r="A555" s="35"/>
      <c r="C555" s="33"/>
      <c r="E555" s="33"/>
      <c r="F555" s="34"/>
    </row>
    <row r="556" spans="1:6">
      <c r="A556" s="35"/>
      <c r="C556" s="33"/>
      <c r="E556" s="33"/>
      <c r="F556" s="34"/>
    </row>
    <row r="557" spans="1:6">
      <c r="A557" s="35"/>
      <c r="C557" s="33"/>
      <c r="E557" s="33"/>
      <c r="F557" s="34"/>
    </row>
    <row r="558" spans="1:6">
      <c r="A558" s="35"/>
      <c r="C558" s="33"/>
      <c r="E558" s="33"/>
      <c r="F558" s="34"/>
    </row>
    <row r="559" spans="1:6">
      <c r="A559" s="35"/>
      <c r="C559" s="33"/>
      <c r="E559" s="33"/>
      <c r="F559" s="34"/>
    </row>
    <row r="560" spans="1:6">
      <c r="A560" s="35"/>
      <c r="C560" s="33"/>
      <c r="E560" s="33"/>
      <c r="F560" s="34"/>
    </row>
    <row r="561" spans="1:6">
      <c r="A561" s="35"/>
      <c r="C561" s="33"/>
      <c r="E561" s="33"/>
      <c r="F561" s="34"/>
    </row>
    <row r="562" spans="1:6">
      <c r="A562" s="35"/>
      <c r="C562" s="33"/>
      <c r="E562" s="33"/>
      <c r="F562" s="34"/>
    </row>
    <row r="563" spans="1:6">
      <c r="A563" s="35"/>
      <c r="C563" s="33"/>
      <c r="E563" s="33"/>
      <c r="F563" s="34"/>
    </row>
    <row r="564" spans="1:6">
      <c r="A564" s="35"/>
      <c r="C564" s="33"/>
      <c r="E564" s="33"/>
      <c r="F564" s="34"/>
    </row>
    <row r="565" spans="1:6">
      <c r="A565" s="35"/>
      <c r="C565" s="33"/>
      <c r="E565" s="33"/>
      <c r="F565" s="34"/>
    </row>
    <row r="566" spans="1:6">
      <c r="A566" s="35"/>
      <c r="C566" s="33"/>
      <c r="E566" s="33"/>
      <c r="F566" s="34"/>
    </row>
    <row r="567" spans="1:6">
      <c r="A567" s="35"/>
      <c r="C567" s="33"/>
      <c r="E567" s="33"/>
      <c r="F567" s="34"/>
    </row>
    <row r="568" spans="1:6">
      <c r="A568" s="35"/>
      <c r="C568" s="33"/>
      <c r="E568" s="33"/>
      <c r="F568" s="34"/>
    </row>
    <row r="569" spans="1:6">
      <c r="A569" s="35"/>
      <c r="C569" s="33"/>
      <c r="E569" s="33"/>
      <c r="F569" s="34"/>
    </row>
    <row r="570" spans="1:6">
      <c r="A570" s="35"/>
      <c r="C570" s="33"/>
      <c r="E570" s="33"/>
      <c r="F570" s="34"/>
    </row>
    <row r="571" spans="1:6">
      <c r="A571" s="35"/>
      <c r="C571" s="33"/>
      <c r="E571" s="33"/>
      <c r="F571" s="34"/>
    </row>
    <row r="572" spans="1:6">
      <c r="A572" s="35"/>
      <c r="C572" s="33"/>
      <c r="E572" s="33"/>
      <c r="F572" s="34"/>
    </row>
    <row r="573" spans="1:6">
      <c r="A573" s="35"/>
      <c r="C573" s="33"/>
      <c r="E573" s="33"/>
      <c r="F573" s="34"/>
    </row>
    <row r="574" spans="1:6">
      <c r="A574" s="35"/>
      <c r="C574" s="33"/>
      <c r="E574" s="33"/>
      <c r="F574" s="34"/>
    </row>
    <row r="575" spans="1:6">
      <c r="A575" s="35"/>
      <c r="C575" s="33"/>
      <c r="E575" s="33"/>
      <c r="F575" s="34"/>
    </row>
    <row r="576" spans="1:6">
      <c r="A576" s="35"/>
      <c r="C576" s="33"/>
      <c r="E576" s="33"/>
      <c r="F576" s="34"/>
    </row>
    <row r="577" spans="1:6">
      <c r="A577" s="35"/>
      <c r="C577" s="33"/>
      <c r="E577" s="33"/>
      <c r="F577" s="34"/>
    </row>
    <row r="578" spans="1:6">
      <c r="A578" s="35"/>
      <c r="C578" s="33"/>
      <c r="E578" s="33"/>
      <c r="F578" s="34"/>
    </row>
    <row r="579" spans="1:6">
      <c r="A579" s="35"/>
      <c r="C579" s="33"/>
      <c r="E579" s="33"/>
      <c r="F579" s="34"/>
    </row>
    <row r="580" spans="1:6">
      <c r="A580" s="35"/>
      <c r="C580" s="33"/>
      <c r="E580" s="33"/>
      <c r="F580" s="34"/>
    </row>
    <row r="581" spans="1:6">
      <c r="A581" s="35"/>
      <c r="C581" s="33"/>
      <c r="E581" s="33"/>
      <c r="F581" s="34"/>
    </row>
    <row r="582" spans="1:6">
      <c r="A582" s="35"/>
      <c r="C582" s="33"/>
      <c r="E582" s="33"/>
      <c r="F582" s="34"/>
    </row>
    <row r="583" spans="1:6">
      <c r="A583" s="35"/>
      <c r="C583" s="33"/>
      <c r="E583" s="33"/>
      <c r="F583" s="34"/>
    </row>
    <row r="584" spans="1:6">
      <c r="A584" s="35"/>
      <c r="C584" s="33"/>
      <c r="E584" s="33"/>
      <c r="F584" s="34"/>
    </row>
    <row r="585" spans="1:6">
      <c r="A585" s="35"/>
      <c r="C585" s="33"/>
      <c r="E585" s="33"/>
      <c r="F585" s="34"/>
    </row>
    <row r="586" spans="1:6">
      <c r="A586" s="35"/>
      <c r="C586" s="33"/>
      <c r="E586" s="33"/>
      <c r="F586" s="34"/>
    </row>
    <row r="587" spans="1:6">
      <c r="A587" s="35"/>
      <c r="C587" s="33"/>
      <c r="E587" s="33"/>
      <c r="F587" s="34"/>
    </row>
    <row r="588" spans="1:6">
      <c r="A588" s="35"/>
      <c r="C588" s="33"/>
      <c r="E588" s="33"/>
      <c r="F588" s="34"/>
    </row>
    <row r="589" spans="1:6">
      <c r="A589" s="35"/>
      <c r="C589" s="33"/>
      <c r="E589" s="33"/>
      <c r="F589" s="34"/>
    </row>
    <row r="590" spans="1:6">
      <c r="A590" s="35"/>
      <c r="C590" s="33"/>
      <c r="E590" s="33"/>
      <c r="F590" s="34"/>
    </row>
    <row r="591" spans="1:6">
      <c r="A591" s="35"/>
      <c r="C591" s="33"/>
      <c r="E591" s="33"/>
      <c r="F591" s="34"/>
    </row>
    <row r="592" spans="1:6">
      <c r="A592" s="35"/>
      <c r="C592" s="33"/>
      <c r="E592" s="33"/>
      <c r="F592" s="34"/>
    </row>
    <row r="593" spans="1:6">
      <c r="A593" s="35"/>
      <c r="C593" s="33"/>
      <c r="E593" s="33"/>
      <c r="F593" s="34"/>
    </row>
    <row r="594" spans="1:6">
      <c r="A594" s="35"/>
      <c r="C594" s="33"/>
      <c r="E594" s="33"/>
      <c r="F594" s="34"/>
    </row>
    <row r="595" spans="1:6">
      <c r="A595" s="35"/>
      <c r="C595" s="33"/>
      <c r="E595" s="33"/>
      <c r="F595" s="34"/>
    </row>
    <row r="596" spans="1:6">
      <c r="A596" s="35"/>
      <c r="C596" s="33"/>
      <c r="E596" s="33"/>
      <c r="F596" s="34"/>
    </row>
    <row r="597" spans="1:6">
      <c r="A597" s="35"/>
      <c r="C597" s="33"/>
      <c r="E597" s="33"/>
      <c r="F597" s="34"/>
    </row>
    <row r="598" spans="1:6">
      <c r="A598" s="35"/>
      <c r="C598" s="33"/>
      <c r="E598" s="33"/>
      <c r="F598" s="34"/>
    </row>
    <row r="599" spans="1:6">
      <c r="A599" s="35"/>
      <c r="C599" s="33"/>
      <c r="E599" s="33"/>
      <c r="F599" s="34"/>
    </row>
    <row r="600" spans="1:6">
      <c r="A600" s="35"/>
      <c r="C600" s="33"/>
      <c r="E600" s="33"/>
      <c r="F600" s="34"/>
    </row>
    <row r="601" spans="1:6">
      <c r="A601" s="35"/>
      <c r="C601" s="33"/>
      <c r="E601" s="33"/>
      <c r="F601" s="34"/>
    </row>
    <row r="602" spans="1:6">
      <c r="A602" s="35"/>
      <c r="C602" s="33"/>
      <c r="E602" s="33"/>
      <c r="F602" s="34"/>
    </row>
    <row r="603" spans="1:6">
      <c r="A603" s="35"/>
      <c r="C603" s="33"/>
      <c r="E603" s="33"/>
      <c r="F603" s="34"/>
    </row>
    <row r="604" spans="1:6">
      <c r="A604" s="35"/>
      <c r="C604" s="33"/>
      <c r="E604" s="33"/>
      <c r="F604" s="34"/>
    </row>
    <row r="605" spans="1:6">
      <c r="A605" s="35"/>
      <c r="C605" s="33"/>
      <c r="E605" s="33"/>
      <c r="F605" s="34"/>
    </row>
    <row r="606" spans="1:6">
      <c r="A606" s="35"/>
      <c r="C606" s="33"/>
      <c r="E606" s="33"/>
      <c r="F606" s="34"/>
    </row>
    <row r="607" spans="1:6">
      <c r="A607" s="35"/>
      <c r="C607" s="33"/>
      <c r="E607" s="33"/>
      <c r="F607" s="34"/>
    </row>
    <row r="608" spans="1:6">
      <c r="A608" s="35"/>
      <c r="C608" s="33"/>
      <c r="E608" s="33"/>
      <c r="F608" s="34"/>
    </row>
    <row r="609" spans="1:6">
      <c r="A609" s="35"/>
      <c r="C609" s="33"/>
      <c r="E609" s="33"/>
      <c r="F609" s="34"/>
    </row>
    <row r="610" spans="1:6">
      <c r="A610" s="35"/>
      <c r="C610" s="33"/>
      <c r="E610" s="33"/>
      <c r="F610" s="34"/>
    </row>
    <row r="611" spans="1:6">
      <c r="A611" s="35"/>
      <c r="C611" s="33"/>
      <c r="E611" s="33"/>
      <c r="F611" s="34"/>
    </row>
    <row r="612" spans="1:6">
      <c r="A612" s="35"/>
      <c r="C612" s="33"/>
      <c r="E612" s="33"/>
      <c r="F612" s="34"/>
    </row>
    <row r="613" spans="1:6">
      <c r="A613" s="35"/>
      <c r="C613" s="33"/>
      <c r="E613" s="33"/>
      <c r="F613" s="34"/>
    </row>
    <row r="614" spans="1:6">
      <c r="A614" s="35"/>
      <c r="C614" s="33"/>
      <c r="E614" s="33"/>
      <c r="F614" s="34"/>
    </row>
    <row r="615" spans="1:6">
      <c r="A615" s="35"/>
      <c r="C615" s="33"/>
      <c r="E615" s="33"/>
      <c r="F615" s="34"/>
    </row>
    <row r="616" spans="1:6">
      <c r="A616" s="35"/>
      <c r="C616" s="33"/>
      <c r="E616" s="33"/>
      <c r="F616" s="34"/>
    </row>
    <row r="617" spans="1:6">
      <c r="A617" s="35"/>
      <c r="C617" s="33"/>
      <c r="E617" s="33"/>
      <c r="F617" s="34"/>
    </row>
    <row r="618" spans="1:6">
      <c r="A618" s="35"/>
      <c r="C618" s="33"/>
      <c r="E618" s="33"/>
      <c r="F618" s="34"/>
    </row>
    <row r="619" spans="1:6">
      <c r="A619" s="35"/>
      <c r="C619" s="33"/>
      <c r="E619" s="33"/>
      <c r="F619" s="34"/>
    </row>
    <row r="620" spans="1:6">
      <c r="A620" s="35"/>
      <c r="C620" s="33"/>
      <c r="E620" s="33"/>
      <c r="F620" s="34"/>
    </row>
    <row r="621" spans="1:6">
      <c r="A621" s="35"/>
      <c r="C621" s="33"/>
      <c r="E621" s="33"/>
      <c r="F621" s="34"/>
    </row>
    <row r="622" spans="1:6">
      <c r="A622" s="35"/>
      <c r="C622" s="33"/>
      <c r="E622" s="33"/>
      <c r="F622" s="34"/>
    </row>
    <row r="623" spans="1:6">
      <c r="A623" s="35"/>
      <c r="C623" s="33"/>
      <c r="E623" s="33"/>
      <c r="F623" s="34"/>
    </row>
    <row r="624" spans="1:6">
      <c r="A624" s="35"/>
      <c r="C624" s="33"/>
      <c r="E624" s="33"/>
      <c r="F624" s="34"/>
    </row>
    <row r="625" spans="1:6">
      <c r="A625" s="35"/>
      <c r="C625" s="33"/>
      <c r="E625" s="33"/>
      <c r="F625" s="34"/>
    </row>
    <row r="626" spans="1:6">
      <c r="A626" s="35"/>
      <c r="C626" s="33"/>
      <c r="E626" s="33"/>
      <c r="F626" s="34"/>
    </row>
    <row r="627" spans="1:6">
      <c r="A627" s="35"/>
      <c r="C627" s="33"/>
      <c r="E627" s="33"/>
      <c r="F627" s="34"/>
    </row>
    <row r="628" spans="1:6">
      <c r="A628" s="35"/>
      <c r="C628" s="33"/>
      <c r="E628" s="33"/>
      <c r="F628" s="34"/>
    </row>
    <row r="629" spans="1:6">
      <c r="A629" s="35"/>
      <c r="C629" s="33"/>
      <c r="E629" s="33"/>
      <c r="F629" s="34"/>
    </row>
    <row r="630" spans="1:6">
      <c r="A630" s="35"/>
      <c r="C630" s="33"/>
      <c r="E630" s="33"/>
      <c r="F630" s="34"/>
    </row>
    <row r="631" spans="1:6">
      <c r="A631" s="35"/>
      <c r="C631" s="33"/>
      <c r="E631" s="33"/>
      <c r="F631" s="34"/>
    </row>
    <row r="632" spans="1:6">
      <c r="A632" s="35"/>
      <c r="C632" s="33"/>
      <c r="E632" s="33"/>
      <c r="F632" s="34"/>
    </row>
    <row r="633" spans="1:6">
      <c r="A633" s="35"/>
      <c r="C633" s="33"/>
      <c r="E633" s="33"/>
      <c r="F633" s="34"/>
    </row>
    <row r="634" spans="1:6">
      <c r="A634" s="35"/>
      <c r="C634" s="33"/>
      <c r="E634" s="33"/>
      <c r="F634" s="34"/>
    </row>
    <row r="635" spans="1:6">
      <c r="A635" s="35"/>
      <c r="C635" s="33"/>
      <c r="E635" s="33"/>
      <c r="F635" s="34"/>
    </row>
    <row r="636" spans="1:6">
      <c r="A636" s="35"/>
      <c r="C636" s="33"/>
      <c r="E636" s="33"/>
      <c r="F636" s="34"/>
    </row>
    <row r="637" spans="1:6">
      <c r="A637" s="35"/>
      <c r="C637" s="33"/>
      <c r="E637" s="33"/>
      <c r="F637" s="34"/>
    </row>
    <row r="638" spans="1:6">
      <c r="A638" s="35"/>
      <c r="C638" s="33"/>
      <c r="E638" s="33"/>
      <c r="F638" s="34"/>
    </row>
    <row r="639" spans="1:6">
      <c r="A639" s="35"/>
      <c r="C639" s="33"/>
      <c r="E639" s="33"/>
      <c r="F639" s="34"/>
    </row>
    <row r="640" spans="1:6">
      <c r="A640" s="35"/>
      <c r="C640" s="33"/>
      <c r="E640" s="33"/>
      <c r="F640" s="34"/>
    </row>
    <row r="641" spans="1:6">
      <c r="A641" s="35"/>
      <c r="C641" s="33"/>
      <c r="E641" s="33"/>
      <c r="F641" s="34"/>
    </row>
    <row r="642" spans="1:6">
      <c r="A642" s="35"/>
      <c r="C642" s="33"/>
      <c r="E642" s="33"/>
      <c r="F642" s="34"/>
    </row>
    <row r="643" spans="1:6">
      <c r="A643" s="35"/>
      <c r="C643" s="33"/>
      <c r="E643" s="33"/>
      <c r="F643" s="34"/>
    </row>
    <row r="644" spans="1:6">
      <c r="A644" s="35"/>
      <c r="C644" s="33"/>
      <c r="E644" s="33"/>
      <c r="F644" s="34"/>
    </row>
    <row r="645" spans="1:6">
      <c r="A645" s="35"/>
      <c r="C645" s="33"/>
      <c r="E645" s="33"/>
      <c r="F645" s="34"/>
    </row>
    <row r="646" spans="1:6">
      <c r="A646" s="35"/>
      <c r="C646" s="33"/>
      <c r="E646" s="33"/>
      <c r="F646" s="34"/>
    </row>
    <row r="647" spans="1:6">
      <c r="A647" s="35"/>
      <c r="C647" s="33"/>
      <c r="E647" s="33"/>
      <c r="F647" s="34"/>
    </row>
    <row r="648" spans="1:6">
      <c r="A648" s="35"/>
      <c r="C648" s="33"/>
      <c r="E648" s="33"/>
      <c r="F648" s="34"/>
    </row>
    <row r="649" spans="1:6">
      <c r="A649" s="35"/>
      <c r="C649" s="33"/>
      <c r="E649" s="33"/>
      <c r="F649" s="34"/>
    </row>
    <row r="650" spans="1:6">
      <c r="A650" s="35"/>
      <c r="C650" s="33"/>
      <c r="E650" s="33"/>
      <c r="F650" s="34"/>
    </row>
    <row r="651" spans="1:6">
      <c r="A651" s="35"/>
      <c r="C651" s="33"/>
      <c r="E651" s="33"/>
      <c r="F651" s="34"/>
    </row>
    <row r="652" spans="1:6">
      <c r="A652" s="35"/>
      <c r="C652" s="33"/>
      <c r="E652" s="33"/>
      <c r="F652" s="34"/>
    </row>
    <row r="653" spans="1:6">
      <c r="A653" s="35"/>
      <c r="C653" s="33"/>
      <c r="E653" s="33"/>
      <c r="F653" s="34"/>
    </row>
    <row r="654" spans="1:6">
      <c r="A654" s="35"/>
      <c r="C654" s="33"/>
      <c r="E654" s="33"/>
      <c r="F654" s="34"/>
    </row>
    <row r="655" spans="1:6">
      <c r="A655" s="35"/>
      <c r="C655" s="33"/>
      <c r="E655" s="33"/>
      <c r="F655" s="34"/>
    </row>
    <row r="656" spans="1:6">
      <c r="A656" s="35"/>
      <c r="C656" s="33"/>
      <c r="E656" s="33"/>
      <c r="F656" s="34"/>
    </row>
    <row r="657" spans="1:6">
      <c r="A657" s="35"/>
      <c r="C657" s="33"/>
      <c r="E657" s="33"/>
      <c r="F657" s="34"/>
    </row>
    <row r="658" spans="1:6">
      <c r="A658" s="35"/>
      <c r="C658" s="33"/>
      <c r="E658" s="33"/>
      <c r="F658" s="34"/>
    </row>
    <row r="659" spans="1:6">
      <c r="A659" s="35"/>
      <c r="C659" s="33"/>
      <c r="E659" s="33"/>
      <c r="F659" s="34"/>
    </row>
    <row r="660" spans="1:6">
      <c r="A660" s="35"/>
      <c r="C660" s="33"/>
      <c r="E660" s="33"/>
      <c r="F660" s="34"/>
    </row>
    <row r="661" spans="1:6">
      <c r="A661" s="35"/>
      <c r="C661" s="33"/>
      <c r="E661" s="33"/>
      <c r="F661" s="34"/>
    </row>
    <row r="662" spans="1:6">
      <c r="A662" s="35"/>
      <c r="C662" s="33"/>
      <c r="E662" s="33"/>
      <c r="F662" s="34"/>
    </row>
    <row r="663" spans="1:6">
      <c r="A663" s="35"/>
      <c r="C663" s="33"/>
      <c r="E663" s="33"/>
      <c r="F663" s="34"/>
    </row>
    <row r="664" spans="1:6">
      <c r="A664" s="35"/>
      <c r="C664" s="33"/>
      <c r="E664" s="33"/>
      <c r="F664" s="34"/>
    </row>
    <row r="665" spans="1:6">
      <c r="A665" s="35"/>
      <c r="C665" s="33"/>
      <c r="E665" s="33"/>
      <c r="F665" s="34"/>
    </row>
    <row r="666" spans="1:6">
      <c r="A666" s="35"/>
      <c r="C666" s="33"/>
      <c r="E666" s="33"/>
      <c r="F666" s="34"/>
    </row>
    <row r="667" spans="1:6">
      <c r="A667" s="35"/>
      <c r="C667" s="33"/>
      <c r="E667" s="33"/>
      <c r="F667" s="34"/>
    </row>
    <row r="668" spans="1:6">
      <c r="A668" s="35"/>
      <c r="C668" s="33"/>
      <c r="E668" s="33"/>
      <c r="F668" s="34"/>
    </row>
    <row r="669" spans="1:6">
      <c r="A669" s="35"/>
      <c r="C669" s="33"/>
      <c r="E669" s="33"/>
      <c r="F669" s="34"/>
    </row>
    <row r="670" spans="1:6">
      <c r="A670" s="35"/>
      <c r="C670" s="33"/>
      <c r="E670" s="33"/>
      <c r="F670" s="34"/>
    </row>
    <row r="671" spans="1:6">
      <c r="A671" s="35"/>
      <c r="C671" s="33"/>
      <c r="E671" s="33"/>
      <c r="F671" s="34"/>
    </row>
    <row r="672" spans="1:6">
      <c r="A672" s="35"/>
      <c r="C672" s="33"/>
      <c r="E672" s="33"/>
      <c r="F672" s="34"/>
    </row>
    <row r="673" spans="1:6">
      <c r="A673" s="35"/>
      <c r="C673" s="33"/>
      <c r="E673" s="33"/>
      <c r="F673" s="34"/>
    </row>
    <row r="674" spans="1:6">
      <c r="A674" s="35"/>
      <c r="C674" s="33"/>
      <c r="E674" s="33"/>
      <c r="F674" s="34"/>
    </row>
    <row r="675" spans="1:6">
      <c r="A675" s="35"/>
      <c r="C675" s="33"/>
      <c r="E675" s="33"/>
      <c r="F675" s="34"/>
    </row>
    <row r="676" spans="1:6">
      <c r="A676" s="35"/>
      <c r="C676" s="33"/>
      <c r="E676" s="33"/>
      <c r="F676" s="34"/>
    </row>
    <row r="677" spans="1:6">
      <c r="A677" s="35"/>
      <c r="C677" s="33"/>
      <c r="E677" s="33"/>
      <c r="F677" s="34"/>
    </row>
    <row r="678" spans="1:6">
      <c r="A678" s="35"/>
      <c r="C678" s="33"/>
      <c r="E678" s="33"/>
      <c r="F678" s="34"/>
    </row>
    <row r="679" spans="1:6">
      <c r="A679" s="35"/>
      <c r="C679" s="33"/>
      <c r="E679" s="33"/>
      <c r="F679" s="34"/>
    </row>
    <row r="680" spans="1:6">
      <c r="A680" s="35"/>
      <c r="C680" s="33"/>
      <c r="E680" s="33"/>
      <c r="F680" s="34"/>
    </row>
    <row r="681" spans="1:6">
      <c r="A681" s="35"/>
      <c r="C681" s="33"/>
      <c r="E681" s="33"/>
      <c r="F681" s="34"/>
    </row>
    <row r="682" spans="1:6">
      <c r="A682" s="35"/>
      <c r="C682" s="33"/>
      <c r="E682" s="33"/>
      <c r="F682" s="34"/>
    </row>
    <row r="683" spans="1:6">
      <c r="A683" s="35"/>
      <c r="C683" s="33"/>
      <c r="E683" s="33"/>
      <c r="F683" s="34"/>
    </row>
    <row r="684" spans="1:6">
      <c r="A684" s="35"/>
      <c r="C684" s="33"/>
      <c r="E684" s="33"/>
      <c r="F684" s="34"/>
    </row>
    <row r="685" spans="1:6">
      <c r="A685" s="35"/>
      <c r="C685" s="33"/>
      <c r="E685" s="33"/>
      <c r="F685" s="34"/>
    </row>
    <row r="686" spans="1:6">
      <c r="A686" s="35"/>
      <c r="C686" s="33"/>
      <c r="E686" s="33"/>
      <c r="F686" s="34"/>
    </row>
    <row r="687" spans="1:6">
      <c r="A687" s="35"/>
      <c r="C687" s="33"/>
      <c r="E687" s="33"/>
      <c r="F687" s="34"/>
    </row>
    <row r="688" spans="1:6">
      <c r="A688" s="35"/>
      <c r="C688" s="33"/>
      <c r="E688" s="33"/>
      <c r="F688" s="34"/>
    </row>
    <row r="689" spans="1:6">
      <c r="A689" s="35"/>
      <c r="C689" s="33"/>
      <c r="E689" s="33"/>
      <c r="F689" s="34"/>
    </row>
    <row r="690" spans="1:6">
      <c r="A690" s="35"/>
      <c r="C690" s="33"/>
      <c r="E690" s="33"/>
      <c r="F690" s="34"/>
    </row>
    <row r="691" spans="1:6">
      <c r="A691" s="35"/>
      <c r="C691" s="33"/>
      <c r="E691" s="33"/>
      <c r="F691" s="34"/>
    </row>
    <row r="692" spans="1:6">
      <c r="A692" s="35"/>
      <c r="C692" s="33"/>
      <c r="E692" s="33"/>
      <c r="F692" s="34"/>
    </row>
    <row r="693" spans="1:6">
      <c r="A693" s="35"/>
      <c r="C693" s="33"/>
      <c r="E693" s="33"/>
      <c r="F693" s="34"/>
    </row>
    <row r="694" spans="1:6">
      <c r="A694" s="35"/>
      <c r="C694" s="33"/>
      <c r="E694" s="33"/>
      <c r="F694" s="34"/>
    </row>
    <row r="695" spans="1:6">
      <c r="A695" s="35"/>
      <c r="C695" s="33"/>
      <c r="E695" s="33"/>
      <c r="F695" s="34"/>
    </row>
    <row r="696" spans="1:6">
      <c r="A696" s="35"/>
      <c r="C696" s="33"/>
      <c r="E696" s="33"/>
      <c r="F696" s="34"/>
    </row>
    <row r="697" spans="1:6">
      <c r="A697" s="35"/>
      <c r="C697" s="33"/>
      <c r="E697" s="33"/>
      <c r="F697" s="34"/>
    </row>
    <row r="698" spans="1:6">
      <c r="A698" s="35"/>
      <c r="C698" s="33"/>
      <c r="E698" s="33"/>
      <c r="F698" s="34"/>
    </row>
    <row r="699" spans="1:6">
      <c r="A699" s="35"/>
      <c r="C699" s="33"/>
      <c r="E699" s="33"/>
      <c r="F699" s="34"/>
    </row>
    <row r="700" spans="1:6">
      <c r="A700" s="35"/>
      <c r="C700" s="33"/>
      <c r="E700" s="33"/>
      <c r="F700" s="34"/>
    </row>
    <row r="701" spans="1:6">
      <c r="A701" s="35"/>
      <c r="C701" s="33"/>
      <c r="E701" s="33"/>
      <c r="F701" s="34"/>
    </row>
    <row r="702" spans="1:6">
      <c r="A702" s="35"/>
      <c r="C702" s="33"/>
      <c r="E702" s="33"/>
      <c r="F702" s="34"/>
    </row>
    <row r="703" spans="1:6">
      <c r="A703" s="35"/>
      <c r="C703" s="33"/>
      <c r="E703" s="33"/>
      <c r="F703" s="34"/>
    </row>
    <row r="704" spans="1:6">
      <c r="A704" s="35"/>
      <c r="C704" s="33"/>
      <c r="E704" s="33"/>
      <c r="F704" s="34"/>
    </row>
    <row r="705" spans="1:6">
      <c r="A705" s="35"/>
      <c r="C705" s="33"/>
      <c r="E705" s="33"/>
      <c r="F705" s="34"/>
    </row>
    <row r="706" spans="1:6">
      <c r="A706" s="35"/>
      <c r="C706" s="33"/>
      <c r="E706" s="33"/>
      <c r="F706" s="34"/>
    </row>
    <row r="707" spans="1:6">
      <c r="A707" s="35"/>
      <c r="C707" s="33"/>
      <c r="E707" s="33"/>
      <c r="F707" s="34"/>
    </row>
    <row r="708" spans="1:6">
      <c r="A708" s="35"/>
      <c r="C708" s="33"/>
      <c r="E708" s="33"/>
      <c r="F708" s="34"/>
    </row>
    <row r="709" spans="1:6">
      <c r="A709" s="35"/>
      <c r="C709" s="33"/>
      <c r="E709" s="33"/>
      <c r="F709" s="34"/>
    </row>
    <row r="710" spans="1:6">
      <c r="A710" s="35"/>
      <c r="C710" s="33"/>
      <c r="E710" s="33"/>
      <c r="F710" s="34"/>
    </row>
    <row r="711" spans="1:6">
      <c r="A711" s="35"/>
      <c r="C711" s="33"/>
      <c r="E711" s="33"/>
      <c r="F711" s="34"/>
    </row>
    <row r="712" spans="1:6">
      <c r="A712" s="35"/>
      <c r="C712" s="33"/>
      <c r="E712" s="33"/>
      <c r="F712" s="34"/>
    </row>
    <row r="713" spans="1:6">
      <c r="A713" s="35"/>
      <c r="C713" s="33"/>
      <c r="E713" s="33"/>
      <c r="F713" s="34"/>
    </row>
    <row r="714" spans="1:6">
      <c r="A714" s="35"/>
      <c r="C714" s="33"/>
      <c r="E714" s="33"/>
      <c r="F714" s="34"/>
    </row>
    <row r="715" spans="1:6">
      <c r="A715" s="35"/>
      <c r="C715" s="33"/>
      <c r="E715" s="33"/>
      <c r="F715" s="34"/>
    </row>
    <row r="716" spans="1:6">
      <c r="A716" s="35"/>
      <c r="C716" s="33"/>
      <c r="E716" s="33"/>
      <c r="F716" s="34"/>
    </row>
    <row r="717" spans="1:6">
      <c r="A717" s="35"/>
      <c r="C717" s="33"/>
      <c r="E717" s="33"/>
      <c r="F717" s="34"/>
    </row>
    <row r="718" spans="1:6">
      <c r="A718" s="35"/>
      <c r="C718" s="33"/>
      <c r="E718" s="33"/>
      <c r="F718" s="34"/>
    </row>
    <row r="719" spans="1:6">
      <c r="A719" s="35"/>
      <c r="C719" s="33"/>
      <c r="E719" s="33"/>
      <c r="F719" s="34"/>
    </row>
    <row r="720" spans="1:6">
      <c r="A720" s="35"/>
      <c r="C720" s="33"/>
      <c r="E720" s="33"/>
      <c r="F720" s="34"/>
    </row>
    <row r="721" spans="1:6">
      <c r="A721" s="35"/>
      <c r="C721" s="33"/>
      <c r="E721" s="33"/>
      <c r="F721" s="34"/>
    </row>
    <row r="722" spans="1:6">
      <c r="A722" s="35"/>
      <c r="C722" s="33"/>
      <c r="E722" s="33"/>
      <c r="F722" s="34"/>
    </row>
    <row r="723" spans="1:6">
      <c r="A723" s="35"/>
      <c r="C723" s="33"/>
      <c r="E723" s="33"/>
      <c r="F723" s="34"/>
    </row>
    <row r="724" spans="1:6">
      <c r="A724" s="35"/>
      <c r="C724" s="33"/>
      <c r="E724" s="33"/>
      <c r="F724" s="34"/>
    </row>
    <row r="725" spans="1:6">
      <c r="A725" s="35"/>
      <c r="C725" s="33"/>
      <c r="E725" s="33"/>
      <c r="F725" s="34"/>
    </row>
    <row r="726" spans="1:6">
      <c r="A726" s="35"/>
      <c r="C726" s="33"/>
      <c r="E726" s="33"/>
      <c r="F726" s="34"/>
    </row>
    <row r="727" spans="1:6">
      <c r="A727" s="35"/>
      <c r="C727" s="33"/>
      <c r="E727" s="33"/>
      <c r="F727" s="34"/>
    </row>
    <row r="728" spans="1:6">
      <c r="A728" s="35"/>
      <c r="C728" s="33"/>
      <c r="E728" s="33"/>
      <c r="F728" s="34"/>
    </row>
    <row r="729" spans="1:6">
      <c r="A729" s="35"/>
      <c r="C729" s="33"/>
      <c r="E729" s="33"/>
      <c r="F729" s="34"/>
    </row>
    <row r="730" spans="1:6">
      <c r="A730" s="35"/>
      <c r="C730" s="33"/>
      <c r="E730" s="33"/>
      <c r="F730" s="34"/>
    </row>
    <row r="731" spans="1:6">
      <c r="A731" s="35"/>
      <c r="C731" s="33"/>
      <c r="E731" s="33"/>
      <c r="F731" s="34"/>
    </row>
    <row r="732" spans="1:6">
      <c r="A732" s="35"/>
      <c r="C732" s="33"/>
      <c r="E732" s="33"/>
      <c r="F732" s="34"/>
    </row>
    <row r="733" spans="1:6">
      <c r="A733" s="35"/>
      <c r="C733" s="33"/>
      <c r="E733" s="33"/>
      <c r="F733" s="34"/>
    </row>
    <row r="734" spans="1:6">
      <c r="A734" s="35"/>
      <c r="C734" s="33"/>
      <c r="E734" s="33"/>
      <c r="F734" s="34"/>
    </row>
    <row r="735" spans="1:6">
      <c r="A735" s="35"/>
      <c r="C735" s="33"/>
      <c r="E735" s="33"/>
      <c r="F735" s="34"/>
    </row>
    <row r="736" spans="1:6">
      <c r="A736" s="35"/>
      <c r="C736" s="33"/>
      <c r="E736" s="33"/>
      <c r="F736" s="34"/>
    </row>
    <row r="737" spans="1:6">
      <c r="A737" s="35"/>
      <c r="C737" s="33"/>
      <c r="E737" s="33"/>
      <c r="F737" s="34"/>
    </row>
    <row r="738" spans="1:6">
      <c r="A738" s="35"/>
      <c r="C738" s="33"/>
      <c r="E738" s="33"/>
      <c r="F738" s="34"/>
    </row>
    <row r="739" spans="1:6">
      <c r="A739" s="35"/>
      <c r="C739" s="33"/>
      <c r="E739" s="33"/>
      <c r="F739" s="34"/>
    </row>
    <row r="740" spans="1:6">
      <c r="A740" s="35"/>
      <c r="C740" s="33"/>
      <c r="E740" s="33"/>
      <c r="F740" s="34"/>
    </row>
    <row r="741" spans="1:6">
      <c r="A741" s="35"/>
      <c r="C741" s="33"/>
      <c r="E741" s="33"/>
      <c r="F741" s="34"/>
    </row>
    <row r="742" spans="1:6">
      <c r="A742" s="35"/>
      <c r="C742" s="33"/>
      <c r="E742" s="33"/>
      <c r="F742" s="34"/>
    </row>
    <row r="743" spans="1:6">
      <c r="A743" s="35"/>
      <c r="C743" s="33"/>
      <c r="E743" s="33"/>
      <c r="F743" s="34"/>
    </row>
    <row r="744" spans="1:6">
      <c r="A744" s="35"/>
      <c r="C744" s="33"/>
      <c r="E744" s="33"/>
      <c r="F744" s="34"/>
    </row>
    <row r="745" spans="1:6">
      <c r="A745" s="35"/>
      <c r="C745" s="33"/>
      <c r="E745" s="33"/>
      <c r="F745" s="34"/>
    </row>
    <row r="746" spans="1:6">
      <c r="A746" s="35"/>
      <c r="C746" s="33"/>
      <c r="E746" s="33"/>
      <c r="F746" s="34"/>
    </row>
    <row r="747" spans="1:6">
      <c r="A747" s="35"/>
      <c r="C747" s="33"/>
      <c r="E747" s="33"/>
      <c r="F747" s="34"/>
    </row>
    <row r="748" spans="1:6">
      <c r="A748" s="35"/>
      <c r="C748" s="33"/>
      <c r="E748" s="33"/>
      <c r="F748" s="34"/>
    </row>
    <row r="749" spans="1:6">
      <c r="A749" s="35"/>
      <c r="C749" s="33"/>
      <c r="E749" s="33"/>
      <c r="F749" s="34"/>
    </row>
    <row r="750" spans="1:6">
      <c r="A750" s="35"/>
      <c r="C750" s="33"/>
      <c r="E750" s="33"/>
      <c r="F750" s="34"/>
    </row>
    <row r="751" spans="1:6">
      <c r="A751" s="35"/>
      <c r="C751" s="33"/>
      <c r="E751" s="33"/>
      <c r="F751" s="34"/>
    </row>
    <row r="752" spans="1:6">
      <c r="A752" s="35"/>
      <c r="C752" s="33"/>
      <c r="E752" s="33"/>
      <c r="F752" s="34"/>
    </row>
    <row r="753" spans="1:6">
      <c r="A753" s="35"/>
      <c r="C753" s="33"/>
      <c r="E753" s="33"/>
      <c r="F753" s="34"/>
    </row>
    <row r="754" spans="1:6">
      <c r="A754" s="35"/>
      <c r="C754" s="33"/>
      <c r="E754" s="33"/>
      <c r="F754" s="34"/>
    </row>
    <row r="755" spans="1:6">
      <c r="A755" s="35"/>
      <c r="C755" s="33"/>
      <c r="E755" s="33"/>
      <c r="F755" s="34"/>
    </row>
    <row r="756" spans="1:6">
      <c r="A756" s="35"/>
      <c r="C756" s="33"/>
      <c r="E756" s="33"/>
      <c r="F756" s="34"/>
    </row>
    <row r="757" spans="1:6">
      <c r="A757" s="35"/>
      <c r="C757" s="33"/>
      <c r="E757" s="33"/>
      <c r="F757" s="34"/>
    </row>
    <row r="758" spans="1:6">
      <c r="A758" s="35"/>
      <c r="C758" s="33"/>
      <c r="E758" s="33"/>
      <c r="F758" s="34"/>
    </row>
    <row r="759" spans="1:6">
      <c r="A759" s="35"/>
      <c r="C759" s="33"/>
      <c r="E759" s="33"/>
      <c r="F759" s="34"/>
    </row>
    <row r="760" spans="1:6">
      <c r="A760" s="35"/>
      <c r="C760" s="33"/>
      <c r="E760" s="33"/>
      <c r="F760" s="34"/>
    </row>
    <row r="761" spans="1:6">
      <c r="A761" s="35"/>
      <c r="C761" s="33"/>
      <c r="E761" s="33"/>
      <c r="F761" s="34"/>
    </row>
    <row r="762" spans="1:6">
      <c r="A762" s="35"/>
      <c r="C762" s="33"/>
      <c r="E762" s="33"/>
      <c r="F762" s="34"/>
    </row>
    <row r="763" spans="1:6">
      <c r="A763" s="35"/>
      <c r="C763" s="33"/>
      <c r="E763" s="33"/>
      <c r="F763" s="34"/>
    </row>
    <row r="764" spans="1:6">
      <c r="A764" s="35"/>
      <c r="C764" s="33"/>
      <c r="E764" s="33"/>
      <c r="F764" s="34"/>
    </row>
    <row r="765" spans="1:6">
      <c r="A765" s="35"/>
      <c r="C765" s="33"/>
      <c r="E765" s="33"/>
      <c r="F765" s="34"/>
    </row>
    <row r="766" spans="1:6">
      <c r="A766" s="35"/>
      <c r="C766" s="33"/>
      <c r="E766" s="33"/>
      <c r="F766" s="34"/>
    </row>
    <row r="767" spans="1:6">
      <c r="A767" s="35"/>
      <c r="C767" s="33"/>
      <c r="E767" s="33"/>
      <c r="F767" s="34"/>
    </row>
    <row r="768" spans="1:6">
      <c r="A768" s="35"/>
      <c r="C768" s="33"/>
      <c r="E768" s="33"/>
      <c r="F768" s="34"/>
    </row>
    <row r="769" spans="1:6">
      <c r="A769" s="35"/>
      <c r="C769" s="33"/>
      <c r="E769" s="33"/>
      <c r="F769" s="34"/>
    </row>
    <row r="770" spans="1:6">
      <c r="A770" s="35"/>
      <c r="C770" s="33"/>
      <c r="E770" s="33"/>
      <c r="F770" s="34"/>
    </row>
    <row r="771" spans="1:6">
      <c r="A771" s="35"/>
      <c r="C771" s="33"/>
      <c r="E771" s="33"/>
      <c r="F771" s="34"/>
    </row>
    <row r="772" spans="1:6">
      <c r="A772" s="35"/>
      <c r="C772" s="33"/>
      <c r="E772" s="33"/>
      <c r="F772" s="34"/>
    </row>
    <row r="773" spans="1:6">
      <c r="A773" s="35"/>
      <c r="C773" s="33"/>
      <c r="E773" s="33"/>
      <c r="F773" s="34"/>
    </row>
    <row r="774" spans="1:6">
      <c r="A774" s="35"/>
      <c r="C774" s="33"/>
      <c r="E774" s="33"/>
      <c r="F774" s="34"/>
    </row>
    <row r="775" spans="1:6">
      <c r="A775" s="35"/>
      <c r="C775" s="33"/>
      <c r="E775" s="33"/>
      <c r="F775" s="34"/>
    </row>
    <row r="776" spans="1:6">
      <c r="A776" s="35"/>
      <c r="C776" s="33"/>
      <c r="E776" s="33"/>
      <c r="F776" s="34"/>
    </row>
    <row r="777" spans="1:6">
      <c r="A777" s="35"/>
      <c r="C777" s="33"/>
      <c r="E777" s="33"/>
      <c r="F777" s="34"/>
    </row>
    <row r="778" spans="1:6">
      <c r="A778" s="35"/>
      <c r="C778" s="33"/>
      <c r="E778" s="33"/>
      <c r="F778" s="34"/>
    </row>
    <row r="779" spans="1:6">
      <c r="A779" s="35"/>
      <c r="C779" s="33"/>
      <c r="E779" s="33"/>
      <c r="F779" s="34"/>
    </row>
    <row r="780" spans="1:6">
      <c r="A780" s="35"/>
      <c r="C780" s="33"/>
      <c r="E780" s="33"/>
      <c r="F780" s="34"/>
    </row>
    <row r="781" spans="1:6">
      <c r="A781" s="35"/>
      <c r="C781" s="33"/>
      <c r="E781" s="33"/>
      <c r="F781" s="34"/>
    </row>
    <row r="782" spans="1:6">
      <c r="A782" s="35"/>
      <c r="C782" s="33"/>
      <c r="E782" s="33"/>
      <c r="F782" s="34"/>
    </row>
    <row r="783" spans="1:6">
      <c r="A783" s="35"/>
      <c r="C783" s="33"/>
      <c r="E783" s="33"/>
      <c r="F783" s="34"/>
    </row>
    <row r="784" spans="1:6">
      <c r="A784" s="35"/>
      <c r="C784" s="33"/>
      <c r="E784" s="33"/>
      <c r="F784" s="34"/>
    </row>
    <row r="785" spans="1:6">
      <c r="A785" s="35"/>
      <c r="C785" s="33"/>
      <c r="E785" s="33"/>
      <c r="F785" s="34"/>
    </row>
    <row r="786" spans="1:6">
      <c r="A786" s="35"/>
      <c r="C786" s="33"/>
      <c r="E786" s="33"/>
      <c r="F786" s="34"/>
    </row>
    <row r="787" spans="1:6">
      <c r="A787" s="35"/>
      <c r="C787" s="33"/>
      <c r="E787" s="33"/>
      <c r="F787" s="34"/>
    </row>
    <row r="788" spans="1:6">
      <c r="A788" s="35"/>
      <c r="C788" s="33"/>
      <c r="E788" s="33"/>
      <c r="F788" s="34"/>
    </row>
    <row r="789" spans="1:6">
      <c r="A789" s="35"/>
      <c r="C789" s="33"/>
      <c r="E789" s="33"/>
      <c r="F789" s="34"/>
    </row>
    <row r="790" spans="1:6">
      <c r="A790" s="35"/>
      <c r="C790" s="33"/>
      <c r="E790" s="33"/>
      <c r="F790" s="34"/>
    </row>
    <row r="791" spans="1:6">
      <c r="A791" s="35"/>
      <c r="C791" s="33"/>
      <c r="E791" s="33"/>
      <c r="F791" s="34"/>
    </row>
    <row r="792" spans="1:6">
      <c r="A792" s="35"/>
      <c r="C792" s="33"/>
      <c r="E792" s="33"/>
      <c r="F792" s="34"/>
    </row>
    <row r="793" spans="1:6">
      <c r="A793" s="35"/>
      <c r="C793" s="33"/>
      <c r="E793" s="33"/>
      <c r="F793" s="34"/>
    </row>
    <row r="794" spans="1:6">
      <c r="A794" s="35"/>
      <c r="C794" s="33"/>
      <c r="E794" s="33"/>
      <c r="F794" s="34"/>
    </row>
    <row r="795" spans="1:6">
      <c r="A795" s="35"/>
      <c r="C795" s="33"/>
      <c r="E795" s="33"/>
      <c r="F795" s="34"/>
    </row>
    <row r="796" spans="1:6">
      <c r="A796" s="35"/>
      <c r="C796" s="33"/>
      <c r="E796" s="33"/>
      <c r="F796" s="34"/>
    </row>
    <row r="797" spans="1:6">
      <c r="A797" s="35"/>
      <c r="C797" s="33"/>
      <c r="E797" s="33"/>
      <c r="F797" s="34"/>
    </row>
    <row r="798" spans="1:6">
      <c r="A798" s="35"/>
      <c r="C798" s="33"/>
      <c r="E798" s="33"/>
      <c r="F798" s="34"/>
    </row>
    <row r="799" spans="1:6">
      <c r="A799" s="35"/>
      <c r="C799" s="33"/>
      <c r="E799" s="33"/>
      <c r="F799" s="34"/>
    </row>
    <row r="800" spans="1:6">
      <c r="A800" s="35"/>
      <c r="C800" s="33"/>
      <c r="E800" s="33"/>
      <c r="F800" s="34"/>
    </row>
    <row r="801" spans="1:6">
      <c r="A801" s="35"/>
      <c r="C801" s="33"/>
      <c r="E801" s="33"/>
      <c r="F801" s="34"/>
    </row>
    <row r="802" spans="1:6">
      <c r="A802" s="35"/>
      <c r="C802" s="33"/>
      <c r="E802" s="33"/>
      <c r="F802" s="34"/>
    </row>
    <row r="803" spans="1:6">
      <c r="A803" s="35"/>
      <c r="C803" s="33"/>
      <c r="E803" s="33"/>
      <c r="F803" s="34"/>
    </row>
    <row r="804" spans="1:6">
      <c r="A804" s="35"/>
      <c r="C804" s="33"/>
      <c r="E804" s="33"/>
      <c r="F804" s="34"/>
    </row>
    <row r="805" spans="1:6">
      <c r="A805" s="35"/>
      <c r="C805" s="33"/>
      <c r="E805" s="33"/>
      <c r="F805" s="34"/>
    </row>
    <row r="806" spans="1:6">
      <c r="A806" s="35"/>
      <c r="C806" s="33"/>
      <c r="E806" s="33"/>
      <c r="F806" s="34"/>
    </row>
    <row r="807" spans="1:6">
      <c r="A807" s="35"/>
      <c r="C807" s="33"/>
      <c r="E807" s="33"/>
      <c r="F807" s="34"/>
    </row>
    <row r="808" spans="1:6">
      <c r="A808" s="35"/>
      <c r="C808" s="33"/>
      <c r="E808" s="33"/>
      <c r="F808" s="34"/>
    </row>
    <row r="809" spans="1:6">
      <c r="A809" s="35"/>
      <c r="C809" s="33"/>
      <c r="E809" s="33"/>
      <c r="F809" s="34"/>
    </row>
    <row r="810" spans="1:6">
      <c r="A810" s="35"/>
      <c r="C810" s="33"/>
      <c r="E810" s="33"/>
      <c r="F810" s="34"/>
    </row>
    <row r="811" spans="1:6">
      <c r="A811" s="35"/>
      <c r="C811" s="33"/>
      <c r="E811" s="33"/>
      <c r="F811" s="34"/>
    </row>
    <row r="812" spans="1:6">
      <c r="A812" s="35"/>
      <c r="C812" s="33"/>
      <c r="E812" s="33"/>
      <c r="F812" s="34"/>
    </row>
    <row r="813" spans="1:6">
      <c r="A813" s="35"/>
      <c r="C813" s="33"/>
      <c r="E813" s="33"/>
      <c r="F813" s="34"/>
    </row>
    <row r="814" spans="1:6">
      <c r="A814" s="35"/>
      <c r="C814" s="33"/>
      <c r="E814" s="33"/>
      <c r="F814" s="34"/>
    </row>
    <row r="815" spans="1:6">
      <c r="A815" s="35"/>
      <c r="C815" s="33"/>
      <c r="E815" s="33"/>
      <c r="F815" s="34"/>
    </row>
    <row r="816" spans="1:6">
      <c r="A816" s="35"/>
      <c r="C816" s="33"/>
      <c r="E816" s="33"/>
      <c r="F816" s="34"/>
    </row>
    <row r="817" spans="1:6">
      <c r="A817" s="35"/>
      <c r="C817" s="33"/>
      <c r="E817" s="33"/>
      <c r="F817" s="34"/>
    </row>
    <row r="818" spans="1:6">
      <c r="A818" s="35"/>
      <c r="C818" s="33"/>
      <c r="E818" s="33"/>
      <c r="F818" s="34"/>
    </row>
    <row r="819" spans="1:6">
      <c r="A819" s="35"/>
      <c r="C819" s="33"/>
      <c r="E819" s="33"/>
      <c r="F819" s="34"/>
    </row>
    <row r="820" spans="1:6">
      <c r="A820" s="35"/>
      <c r="C820" s="33"/>
      <c r="E820" s="33"/>
      <c r="F820" s="34"/>
    </row>
    <row r="821" spans="1:6">
      <c r="A821" s="35"/>
      <c r="C821" s="33"/>
      <c r="E821" s="33"/>
      <c r="F821" s="34"/>
    </row>
    <row r="822" spans="1:6">
      <c r="A822" s="35"/>
      <c r="C822" s="33"/>
      <c r="E822" s="33"/>
      <c r="F822" s="34"/>
    </row>
    <row r="823" spans="1:6">
      <c r="A823" s="35"/>
      <c r="C823" s="33"/>
      <c r="E823" s="33"/>
      <c r="F823" s="34"/>
    </row>
    <row r="824" spans="1:6">
      <c r="A824" s="35"/>
      <c r="C824" s="33"/>
      <c r="E824" s="33"/>
      <c r="F824" s="34"/>
    </row>
    <row r="825" spans="1:6">
      <c r="A825" s="35"/>
      <c r="C825" s="33"/>
      <c r="E825" s="33"/>
      <c r="F825" s="34"/>
    </row>
    <row r="826" spans="1:6">
      <c r="A826" s="35"/>
      <c r="C826" s="33"/>
      <c r="E826" s="33"/>
      <c r="F826" s="34"/>
    </row>
    <row r="827" spans="1:6">
      <c r="A827" s="35"/>
      <c r="C827" s="33"/>
      <c r="E827" s="33"/>
      <c r="F827" s="34"/>
    </row>
    <row r="828" spans="1:6">
      <c r="A828" s="35"/>
      <c r="C828" s="33"/>
      <c r="E828" s="33"/>
      <c r="F828" s="34"/>
    </row>
    <row r="829" spans="1:6">
      <c r="A829" s="35"/>
      <c r="C829" s="33"/>
      <c r="E829" s="33"/>
      <c r="F829" s="34"/>
    </row>
    <row r="830" spans="1:6">
      <c r="A830" s="35"/>
      <c r="C830" s="33"/>
      <c r="E830" s="33"/>
      <c r="F830" s="34"/>
    </row>
    <row r="831" spans="1:6">
      <c r="A831" s="35"/>
      <c r="C831" s="33"/>
      <c r="E831" s="33"/>
      <c r="F831" s="34"/>
    </row>
    <row r="832" spans="1:6">
      <c r="A832" s="35"/>
      <c r="C832" s="33"/>
      <c r="E832" s="33"/>
      <c r="F832" s="34"/>
    </row>
    <row r="833" spans="1:6">
      <c r="A833" s="35"/>
      <c r="C833" s="33"/>
      <c r="E833" s="33"/>
      <c r="F833" s="34"/>
    </row>
    <row r="834" spans="1:6">
      <c r="A834" s="35"/>
      <c r="C834" s="33"/>
      <c r="E834" s="33"/>
      <c r="F834" s="34"/>
    </row>
    <row r="835" spans="1:6">
      <c r="A835" s="35"/>
      <c r="C835" s="33"/>
      <c r="E835" s="33"/>
      <c r="F835" s="34"/>
    </row>
    <row r="836" spans="1:6">
      <c r="A836" s="35"/>
      <c r="C836" s="33"/>
      <c r="E836" s="33"/>
      <c r="F836" s="34"/>
    </row>
    <row r="837" spans="1:6">
      <c r="A837" s="35"/>
      <c r="C837" s="33"/>
      <c r="E837" s="33"/>
      <c r="F837" s="34"/>
    </row>
    <row r="838" spans="1:6">
      <c r="A838" s="35"/>
      <c r="C838" s="33"/>
      <c r="E838" s="33"/>
      <c r="F838" s="34"/>
    </row>
    <row r="839" spans="1:6">
      <c r="A839" s="35"/>
      <c r="C839" s="33"/>
      <c r="E839" s="33"/>
      <c r="F839" s="34"/>
    </row>
    <row r="840" spans="1:6">
      <c r="A840" s="35"/>
      <c r="C840" s="33"/>
      <c r="E840" s="33"/>
      <c r="F840" s="34"/>
    </row>
    <row r="841" spans="1:6">
      <c r="A841" s="35"/>
      <c r="C841" s="33"/>
      <c r="E841" s="33"/>
      <c r="F841" s="34"/>
    </row>
    <row r="842" spans="1:6">
      <c r="A842" s="35"/>
      <c r="C842" s="33"/>
      <c r="E842" s="33"/>
      <c r="F842" s="34"/>
    </row>
    <row r="843" spans="1:6">
      <c r="A843" s="35"/>
      <c r="C843" s="33"/>
      <c r="E843" s="33"/>
      <c r="F843" s="34"/>
    </row>
    <row r="844" spans="1:6">
      <c r="A844" s="35"/>
      <c r="C844" s="33"/>
      <c r="E844" s="33"/>
      <c r="F844" s="34"/>
    </row>
    <row r="845" spans="1:6">
      <c r="A845" s="35"/>
      <c r="C845" s="33"/>
      <c r="E845" s="33"/>
      <c r="F845" s="34"/>
    </row>
    <row r="846" spans="1:6">
      <c r="A846" s="35"/>
      <c r="C846" s="33"/>
      <c r="E846" s="33"/>
      <c r="F846" s="34"/>
    </row>
    <row r="847" spans="1:6">
      <c r="A847" s="35"/>
      <c r="C847" s="33"/>
      <c r="E847" s="33"/>
      <c r="F847" s="34"/>
    </row>
    <row r="848" spans="1:6">
      <c r="A848" s="35"/>
      <c r="C848" s="33"/>
      <c r="E848" s="33"/>
      <c r="F848" s="34"/>
    </row>
    <row r="849" spans="1:6">
      <c r="A849" s="35"/>
      <c r="C849" s="33"/>
      <c r="E849" s="33"/>
      <c r="F849" s="34"/>
    </row>
    <row r="850" spans="1:6">
      <c r="A850" s="35"/>
      <c r="C850" s="33"/>
      <c r="E850" s="33"/>
      <c r="F850" s="34"/>
    </row>
    <row r="851" spans="1:6">
      <c r="A851" s="35"/>
      <c r="C851" s="33"/>
      <c r="E851" s="33"/>
      <c r="F851" s="34"/>
    </row>
    <row r="852" spans="1:6">
      <c r="A852" s="35"/>
      <c r="C852" s="33"/>
      <c r="E852" s="33"/>
      <c r="F852" s="34"/>
    </row>
    <row r="853" spans="1:6">
      <c r="A853" s="35"/>
      <c r="C853" s="33"/>
      <c r="E853" s="33"/>
      <c r="F853" s="34"/>
    </row>
    <row r="854" spans="1:6">
      <c r="A854" s="35"/>
      <c r="C854" s="33"/>
      <c r="E854" s="33"/>
      <c r="F854" s="34"/>
    </row>
    <row r="855" spans="1:6">
      <c r="A855" s="35"/>
      <c r="C855" s="33"/>
      <c r="E855" s="33"/>
      <c r="F855" s="34"/>
    </row>
    <row r="856" spans="1:6">
      <c r="A856" s="35"/>
      <c r="C856" s="33"/>
      <c r="E856" s="33"/>
      <c r="F856" s="34"/>
    </row>
    <row r="857" spans="1:6">
      <c r="A857" s="35"/>
      <c r="C857" s="33"/>
      <c r="E857" s="33"/>
      <c r="F857" s="34"/>
    </row>
    <row r="858" spans="1:6">
      <c r="A858" s="35"/>
      <c r="C858" s="33"/>
      <c r="E858" s="33"/>
      <c r="F858" s="34"/>
    </row>
    <row r="859" spans="1:6">
      <c r="A859" s="35"/>
      <c r="C859" s="33"/>
      <c r="E859" s="33"/>
      <c r="F859" s="34"/>
    </row>
    <row r="860" spans="1:6">
      <c r="A860" s="35"/>
      <c r="C860" s="33"/>
      <c r="E860" s="33"/>
      <c r="F860" s="34"/>
    </row>
    <row r="861" spans="1:6">
      <c r="A861" s="35"/>
      <c r="C861" s="33"/>
      <c r="E861" s="33"/>
      <c r="F861" s="34"/>
    </row>
    <row r="862" spans="1:6">
      <c r="A862" s="35"/>
      <c r="C862" s="33"/>
      <c r="E862" s="33"/>
      <c r="F862" s="34"/>
    </row>
    <row r="863" spans="1:6">
      <c r="A863" s="35"/>
      <c r="C863" s="33"/>
      <c r="E863" s="33"/>
      <c r="F863" s="34"/>
    </row>
    <row r="864" spans="1:6">
      <c r="A864" s="35"/>
      <c r="C864" s="33"/>
      <c r="E864" s="33"/>
      <c r="F864" s="34"/>
    </row>
    <row r="865" spans="1:6">
      <c r="A865" s="35"/>
      <c r="C865" s="33"/>
      <c r="E865" s="33"/>
      <c r="F865" s="34"/>
    </row>
    <row r="866" spans="1:6">
      <c r="A866" s="35"/>
      <c r="C866" s="33"/>
      <c r="E866" s="33"/>
      <c r="F866" s="34"/>
    </row>
    <row r="867" spans="1:6">
      <c r="A867" s="35"/>
      <c r="C867" s="33"/>
      <c r="E867" s="33"/>
      <c r="F867" s="34"/>
    </row>
    <row r="868" spans="1:6">
      <c r="A868" s="35"/>
      <c r="C868" s="33"/>
      <c r="E868" s="33"/>
      <c r="F868" s="34"/>
    </row>
    <row r="869" spans="1:6">
      <c r="A869" s="35"/>
      <c r="C869" s="33"/>
      <c r="E869" s="33"/>
      <c r="F869" s="34"/>
    </row>
    <row r="870" spans="1:6">
      <c r="A870" s="35"/>
      <c r="C870" s="33"/>
      <c r="E870" s="33"/>
      <c r="F870" s="34"/>
    </row>
    <row r="871" spans="1:6">
      <c r="A871" s="35"/>
      <c r="C871" s="33"/>
      <c r="E871" s="33"/>
      <c r="F871" s="34"/>
    </row>
    <row r="872" spans="1:6">
      <c r="A872" s="35"/>
      <c r="C872" s="33"/>
      <c r="E872" s="33"/>
      <c r="F872" s="34"/>
    </row>
    <row r="873" spans="1:6">
      <c r="A873" s="35"/>
      <c r="C873" s="33"/>
      <c r="E873" s="33"/>
      <c r="F873" s="34"/>
    </row>
    <row r="874" spans="1:6">
      <c r="A874" s="35"/>
      <c r="C874" s="33"/>
      <c r="E874" s="33"/>
      <c r="F874" s="34"/>
    </row>
    <row r="875" spans="1:6">
      <c r="A875" s="35"/>
      <c r="C875" s="33"/>
      <c r="E875" s="33"/>
      <c r="F875" s="34"/>
    </row>
    <row r="876" spans="1:6">
      <c r="A876" s="35"/>
      <c r="C876" s="33"/>
      <c r="E876" s="33"/>
      <c r="F876" s="34"/>
    </row>
    <row r="877" spans="1:6">
      <c r="A877" s="35"/>
      <c r="C877" s="33"/>
      <c r="E877" s="33"/>
      <c r="F877" s="34"/>
    </row>
    <row r="878" spans="1:6">
      <c r="A878" s="35"/>
      <c r="C878" s="33"/>
      <c r="E878" s="33"/>
      <c r="F878" s="34"/>
    </row>
    <row r="879" spans="1:6">
      <c r="A879" s="35"/>
      <c r="C879" s="33"/>
      <c r="E879" s="33"/>
      <c r="F879" s="34"/>
    </row>
    <row r="880" spans="1:6">
      <c r="A880" s="35"/>
      <c r="C880" s="33"/>
      <c r="E880" s="33"/>
      <c r="F880" s="34"/>
    </row>
    <row r="881" spans="1:6">
      <c r="A881" s="35"/>
      <c r="C881" s="33"/>
      <c r="E881" s="33"/>
      <c r="F881" s="34"/>
    </row>
    <row r="882" spans="1:6">
      <c r="A882" s="35"/>
      <c r="C882" s="33"/>
      <c r="E882" s="33"/>
      <c r="F882" s="34"/>
    </row>
    <row r="883" spans="1:6">
      <c r="A883" s="35"/>
      <c r="C883" s="33"/>
      <c r="E883" s="33"/>
      <c r="F883" s="34"/>
    </row>
    <row r="884" spans="1:6">
      <c r="A884" s="35"/>
      <c r="C884" s="33"/>
      <c r="E884" s="33"/>
      <c r="F884" s="34"/>
    </row>
    <row r="885" spans="1:6">
      <c r="A885" s="35"/>
      <c r="C885" s="33"/>
      <c r="E885" s="33"/>
      <c r="F885" s="34"/>
    </row>
    <row r="886" spans="1:6">
      <c r="A886" s="35"/>
      <c r="C886" s="33"/>
      <c r="E886" s="33"/>
      <c r="F886" s="34"/>
    </row>
    <row r="887" spans="1:6">
      <c r="A887" s="35"/>
      <c r="C887" s="33"/>
      <c r="E887" s="33"/>
      <c r="F887" s="34"/>
    </row>
    <row r="888" spans="1:6">
      <c r="A888" s="35"/>
      <c r="C888" s="33"/>
      <c r="E888" s="33"/>
      <c r="F888" s="34"/>
    </row>
    <row r="889" spans="1:6">
      <c r="A889" s="35"/>
      <c r="C889" s="33"/>
      <c r="E889" s="33"/>
      <c r="F889" s="34"/>
    </row>
    <row r="890" spans="1:6">
      <c r="A890" s="35"/>
      <c r="C890" s="33"/>
      <c r="E890" s="33"/>
      <c r="F890" s="34"/>
    </row>
    <row r="891" spans="1:6">
      <c r="A891" s="35"/>
      <c r="C891" s="33"/>
      <c r="E891" s="33"/>
      <c r="F891" s="34"/>
    </row>
    <row r="892" spans="1:6">
      <c r="A892" s="35"/>
      <c r="C892" s="33"/>
      <c r="E892" s="33"/>
      <c r="F892" s="34"/>
    </row>
    <row r="893" spans="1:6">
      <c r="A893" s="35"/>
      <c r="C893" s="33"/>
      <c r="E893" s="33"/>
      <c r="F893" s="34"/>
    </row>
    <row r="894" spans="1:6">
      <c r="A894" s="35"/>
      <c r="C894" s="33"/>
      <c r="E894" s="33"/>
      <c r="F894" s="34"/>
    </row>
    <row r="895" spans="1:6">
      <c r="A895" s="35"/>
      <c r="C895" s="33"/>
      <c r="E895" s="33"/>
      <c r="F895" s="34"/>
    </row>
    <row r="896" spans="1:6">
      <c r="A896" s="35"/>
      <c r="C896" s="33"/>
      <c r="E896" s="33"/>
      <c r="F896" s="34"/>
    </row>
    <row r="897" spans="1:6">
      <c r="A897" s="35"/>
      <c r="C897" s="33"/>
      <c r="E897" s="33"/>
      <c r="F897" s="34"/>
    </row>
    <row r="898" spans="1:6">
      <c r="A898" s="35"/>
      <c r="C898" s="33"/>
      <c r="E898" s="33"/>
      <c r="F898" s="34"/>
    </row>
    <row r="899" spans="1:6">
      <c r="A899" s="35"/>
      <c r="C899" s="33"/>
      <c r="E899" s="33"/>
      <c r="F899" s="34"/>
    </row>
    <row r="900" spans="1:6">
      <c r="A900" s="35"/>
      <c r="C900" s="33"/>
      <c r="E900" s="33"/>
      <c r="F900" s="34"/>
    </row>
    <row r="901" spans="1:6">
      <c r="A901" s="35"/>
      <c r="C901" s="33"/>
      <c r="E901" s="33"/>
      <c r="F901" s="34"/>
    </row>
    <row r="902" spans="1:6">
      <c r="A902" s="35"/>
      <c r="C902" s="33"/>
      <c r="E902" s="33"/>
      <c r="F902" s="34"/>
    </row>
    <row r="903" spans="1:6">
      <c r="A903" s="35"/>
      <c r="C903" s="33"/>
      <c r="E903" s="33"/>
      <c r="F903" s="34"/>
    </row>
    <row r="904" spans="1:6">
      <c r="A904" s="35"/>
      <c r="C904" s="33"/>
      <c r="E904" s="33"/>
      <c r="F904" s="34"/>
    </row>
    <row r="905" spans="1:6">
      <c r="A905" s="35"/>
      <c r="C905" s="33"/>
      <c r="E905" s="33"/>
      <c r="F905" s="34"/>
    </row>
    <row r="906" spans="1:6">
      <c r="A906" s="35"/>
      <c r="C906" s="33"/>
      <c r="E906" s="33"/>
      <c r="F906" s="34"/>
    </row>
    <row r="907" spans="1:6">
      <c r="A907" s="35"/>
      <c r="C907" s="33"/>
      <c r="E907" s="33"/>
      <c r="F907" s="34"/>
    </row>
    <row r="908" spans="1:6">
      <c r="A908" s="35"/>
      <c r="C908" s="33"/>
      <c r="E908" s="33"/>
      <c r="F908" s="34"/>
    </row>
    <row r="909" spans="1:6">
      <c r="A909" s="35"/>
      <c r="C909" s="33"/>
      <c r="E909" s="33"/>
      <c r="F909" s="34"/>
    </row>
    <row r="910" spans="1:6">
      <c r="A910" s="35"/>
      <c r="C910" s="33"/>
      <c r="E910" s="33"/>
      <c r="F910" s="34"/>
    </row>
    <row r="911" spans="1:6">
      <c r="A911" s="35"/>
      <c r="C911" s="33"/>
      <c r="E911" s="33"/>
      <c r="F911" s="34"/>
    </row>
    <row r="912" spans="1:6">
      <c r="A912" s="35"/>
      <c r="C912" s="33"/>
      <c r="E912" s="33"/>
      <c r="F912" s="34"/>
    </row>
    <row r="913" spans="1:6">
      <c r="A913" s="35"/>
      <c r="C913" s="33"/>
      <c r="E913" s="33"/>
      <c r="F913" s="34"/>
    </row>
    <row r="914" spans="1:6">
      <c r="A914" s="35"/>
      <c r="C914" s="33"/>
      <c r="E914" s="33"/>
      <c r="F914" s="34"/>
    </row>
    <row r="915" spans="1:6">
      <c r="A915" s="35"/>
      <c r="C915" s="33"/>
      <c r="E915" s="33"/>
      <c r="F915" s="34"/>
    </row>
    <row r="916" spans="1:6">
      <c r="A916" s="35"/>
      <c r="C916" s="33"/>
      <c r="E916" s="33"/>
      <c r="F916" s="34"/>
    </row>
    <row r="917" spans="1:6">
      <c r="A917" s="35"/>
      <c r="C917" s="33"/>
      <c r="E917" s="33"/>
      <c r="F917" s="34"/>
    </row>
    <row r="918" spans="1:6">
      <c r="A918" s="35"/>
      <c r="C918" s="33"/>
      <c r="E918" s="33"/>
      <c r="F918" s="34"/>
    </row>
    <row r="919" spans="1:6">
      <c r="A919" s="35"/>
      <c r="C919" s="33"/>
      <c r="E919" s="33"/>
      <c r="F919" s="34"/>
    </row>
    <row r="920" spans="1:6">
      <c r="A920" s="35"/>
      <c r="C920" s="33"/>
      <c r="E920" s="33"/>
      <c r="F920" s="34"/>
    </row>
    <row r="921" spans="1:6">
      <c r="A921" s="35"/>
      <c r="C921" s="33"/>
      <c r="E921" s="33"/>
      <c r="F921" s="34"/>
    </row>
    <row r="922" spans="1:6">
      <c r="A922" s="35"/>
      <c r="C922" s="33"/>
      <c r="E922" s="33"/>
      <c r="F922" s="34"/>
    </row>
    <row r="923" spans="1:6">
      <c r="A923" s="35"/>
      <c r="C923" s="33"/>
      <c r="E923" s="33"/>
      <c r="F923" s="34"/>
    </row>
    <row r="924" spans="1:6">
      <c r="A924" s="35"/>
      <c r="C924" s="33"/>
      <c r="E924" s="33"/>
      <c r="F924" s="34"/>
    </row>
    <row r="925" spans="1:6">
      <c r="A925" s="35"/>
      <c r="C925" s="33"/>
      <c r="E925" s="33"/>
      <c r="F925" s="34"/>
    </row>
    <row r="926" spans="1:6">
      <c r="A926" s="35"/>
      <c r="C926" s="33"/>
      <c r="E926" s="33"/>
      <c r="F926" s="34"/>
    </row>
    <row r="927" spans="1:6">
      <c r="A927" s="35"/>
      <c r="C927" s="33"/>
      <c r="E927" s="33"/>
      <c r="F927" s="34"/>
    </row>
    <row r="928" spans="1:6">
      <c r="A928" s="35"/>
      <c r="C928" s="33"/>
      <c r="E928" s="33"/>
      <c r="F928" s="34"/>
    </row>
    <row r="929" spans="1:6">
      <c r="A929" s="35"/>
      <c r="C929" s="33"/>
      <c r="E929" s="33"/>
      <c r="F929" s="34"/>
    </row>
    <row r="930" spans="1:6">
      <c r="A930" s="35"/>
      <c r="C930" s="33"/>
      <c r="E930" s="33"/>
      <c r="F930" s="34"/>
    </row>
    <row r="931" spans="1:6">
      <c r="A931" s="35"/>
      <c r="C931" s="33"/>
      <c r="E931" s="33"/>
      <c r="F931" s="34"/>
    </row>
    <row r="932" spans="1:6">
      <c r="A932" s="35"/>
      <c r="C932" s="33"/>
      <c r="E932" s="33"/>
      <c r="F932" s="34"/>
    </row>
    <row r="933" spans="1:6">
      <c r="A933" s="35"/>
      <c r="C933" s="33"/>
      <c r="E933" s="33"/>
      <c r="F933" s="34"/>
    </row>
    <row r="934" spans="1:6">
      <c r="A934" s="35"/>
      <c r="C934" s="33"/>
      <c r="E934" s="33"/>
      <c r="F934" s="34"/>
    </row>
    <row r="935" spans="1:6">
      <c r="A935" s="35"/>
      <c r="C935" s="33"/>
      <c r="E935" s="33"/>
      <c r="F935" s="34"/>
    </row>
    <row r="936" spans="1:6">
      <c r="A936" s="35"/>
      <c r="C936" s="33"/>
      <c r="E936" s="33"/>
      <c r="F936" s="34"/>
    </row>
    <row r="937" spans="1:6">
      <c r="A937" s="35"/>
      <c r="C937" s="33"/>
      <c r="E937" s="33"/>
      <c r="F937" s="34"/>
    </row>
    <row r="938" spans="1:6">
      <c r="A938" s="35"/>
      <c r="C938" s="33"/>
      <c r="E938" s="33"/>
      <c r="F938" s="34"/>
    </row>
    <row r="939" spans="1:6">
      <c r="A939" s="35"/>
      <c r="C939" s="33"/>
      <c r="E939" s="33"/>
      <c r="F939" s="34"/>
    </row>
    <row r="940" spans="1:6">
      <c r="A940" s="35"/>
      <c r="C940" s="33"/>
      <c r="E940" s="33"/>
      <c r="F940" s="34"/>
    </row>
    <row r="941" spans="1:6">
      <c r="A941" s="35"/>
      <c r="C941" s="33"/>
      <c r="E941" s="33"/>
      <c r="F941" s="34"/>
    </row>
    <row r="942" spans="1:6">
      <c r="A942" s="35"/>
      <c r="C942" s="33"/>
      <c r="E942" s="33"/>
      <c r="F942" s="34"/>
    </row>
    <row r="943" spans="1:6">
      <c r="A943" s="35"/>
      <c r="C943" s="33"/>
      <c r="E943" s="33"/>
      <c r="F943" s="34"/>
    </row>
    <row r="944" spans="1:6">
      <c r="A944" s="35"/>
      <c r="C944" s="33"/>
      <c r="E944" s="33"/>
      <c r="F944" s="34"/>
    </row>
    <row r="945" spans="1:6">
      <c r="A945" s="35"/>
      <c r="C945" s="33"/>
      <c r="E945" s="33"/>
      <c r="F945" s="34"/>
    </row>
    <row r="946" spans="1:6">
      <c r="A946" s="35"/>
      <c r="C946" s="33"/>
      <c r="E946" s="33"/>
      <c r="F946" s="34"/>
    </row>
    <row r="947" spans="1:6">
      <c r="A947" s="35"/>
      <c r="C947" s="33"/>
      <c r="E947" s="33"/>
      <c r="F947" s="34"/>
    </row>
    <row r="948" spans="1:6">
      <c r="A948" s="35"/>
      <c r="C948" s="33"/>
      <c r="E948" s="33"/>
      <c r="F948" s="34"/>
    </row>
    <row r="949" spans="1:6">
      <c r="A949" s="35"/>
      <c r="C949" s="33"/>
      <c r="E949" s="33"/>
      <c r="F949" s="34"/>
    </row>
    <row r="950" spans="1:6">
      <c r="A950" s="35"/>
      <c r="C950" s="33"/>
      <c r="E950" s="33"/>
      <c r="F950" s="34"/>
    </row>
    <row r="951" spans="1:6">
      <c r="A951" s="35"/>
      <c r="C951" s="33"/>
      <c r="E951" s="33"/>
      <c r="F951" s="34"/>
    </row>
    <row r="952" spans="1:6">
      <c r="A952" s="35"/>
      <c r="C952" s="33"/>
      <c r="E952" s="33"/>
      <c r="F952" s="34"/>
    </row>
    <row r="953" spans="1:6">
      <c r="A953" s="35"/>
      <c r="C953" s="33"/>
      <c r="E953" s="33"/>
      <c r="F953" s="34"/>
    </row>
    <row r="954" spans="1:6">
      <c r="A954" s="35"/>
      <c r="C954" s="33"/>
      <c r="E954" s="33"/>
      <c r="F954" s="34"/>
    </row>
    <row r="955" spans="1:6">
      <c r="A955" s="35"/>
      <c r="C955" s="33"/>
      <c r="E955" s="33"/>
      <c r="F955" s="34"/>
    </row>
    <row r="956" spans="1:6">
      <c r="A956" s="35"/>
      <c r="C956" s="33"/>
      <c r="E956" s="33"/>
      <c r="F956" s="34"/>
    </row>
    <row r="957" spans="1:6">
      <c r="A957" s="35"/>
      <c r="C957" s="33"/>
      <c r="E957" s="33"/>
      <c r="F957" s="34"/>
    </row>
    <row r="958" spans="1:6">
      <c r="A958" s="35"/>
      <c r="C958" s="33"/>
      <c r="E958" s="33"/>
      <c r="F958" s="34"/>
    </row>
    <row r="959" spans="1:6">
      <c r="A959" s="35"/>
      <c r="C959" s="33"/>
      <c r="E959" s="33"/>
      <c r="F959" s="34"/>
    </row>
    <row r="960" spans="1:6">
      <c r="A960" s="35"/>
      <c r="C960" s="33"/>
      <c r="E960" s="33"/>
      <c r="F960" s="34"/>
    </row>
    <row r="961" spans="1:6">
      <c r="A961" s="35"/>
      <c r="C961" s="33"/>
      <c r="E961" s="33"/>
      <c r="F961" s="34"/>
    </row>
    <row r="962" spans="1:6">
      <c r="A962" s="35"/>
      <c r="C962" s="33"/>
      <c r="E962" s="33"/>
      <c r="F962" s="34"/>
    </row>
    <row r="963" spans="1:6">
      <c r="A963" s="35"/>
      <c r="C963" s="33"/>
      <c r="E963" s="33"/>
      <c r="F963" s="34"/>
    </row>
    <row r="964" spans="1:6">
      <c r="A964" s="35"/>
      <c r="C964" s="33"/>
      <c r="E964" s="33"/>
      <c r="F964" s="34"/>
    </row>
    <row r="965" spans="1:6">
      <c r="A965" s="35"/>
      <c r="C965" s="33"/>
      <c r="E965" s="33"/>
      <c r="F965" s="34"/>
    </row>
    <row r="966" spans="1:6">
      <c r="A966" s="35"/>
      <c r="C966" s="33"/>
      <c r="E966" s="33"/>
      <c r="F966" s="34"/>
    </row>
    <row r="967" spans="1:6">
      <c r="A967" s="35"/>
      <c r="C967" s="33"/>
      <c r="E967" s="33"/>
      <c r="F967" s="34"/>
    </row>
    <row r="968" spans="1:6">
      <c r="A968" s="35"/>
      <c r="C968" s="33"/>
      <c r="E968" s="33"/>
      <c r="F968" s="34"/>
    </row>
    <row r="969" spans="1:6">
      <c r="A969" s="35"/>
      <c r="C969" s="33"/>
      <c r="E969" s="33"/>
      <c r="F969" s="34"/>
    </row>
    <row r="970" spans="1:6">
      <c r="A970" s="35"/>
      <c r="C970" s="33"/>
      <c r="E970" s="33"/>
      <c r="F970" s="34"/>
    </row>
    <row r="971" spans="1:6">
      <c r="A971" s="35"/>
      <c r="C971" s="33"/>
      <c r="E971" s="33"/>
      <c r="F971" s="34"/>
    </row>
    <row r="972" spans="1:6">
      <c r="A972" s="35"/>
      <c r="C972" s="33"/>
      <c r="E972" s="33"/>
      <c r="F972" s="34"/>
    </row>
    <row r="973" spans="1:6">
      <c r="A973" s="35"/>
      <c r="C973" s="33"/>
      <c r="E973" s="33"/>
      <c r="F973" s="34"/>
    </row>
    <row r="974" spans="1:6">
      <c r="A974" s="35"/>
      <c r="C974" s="33"/>
      <c r="E974" s="33"/>
      <c r="F974" s="34"/>
    </row>
    <row r="975" spans="1:6">
      <c r="A975" s="35"/>
      <c r="C975" s="33"/>
      <c r="E975" s="33"/>
      <c r="F975" s="34"/>
    </row>
    <row r="976" spans="1:6">
      <c r="A976" s="35"/>
      <c r="C976" s="33"/>
      <c r="E976" s="33"/>
      <c r="F976" s="34"/>
    </row>
    <row r="977" spans="1:6">
      <c r="A977" s="35"/>
      <c r="C977" s="33"/>
      <c r="E977" s="33"/>
      <c r="F977" s="34"/>
    </row>
    <row r="978" spans="1:6">
      <c r="A978" s="35"/>
      <c r="C978" s="33"/>
      <c r="E978" s="33"/>
      <c r="F978" s="34"/>
    </row>
    <row r="979" spans="1:6">
      <c r="A979" s="35"/>
      <c r="C979" s="33"/>
      <c r="E979" s="33"/>
      <c r="F979" s="34"/>
    </row>
    <row r="980" spans="1:6">
      <c r="A980" s="35"/>
      <c r="C980" s="33"/>
      <c r="E980" s="33"/>
      <c r="F980" s="34"/>
    </row>
    <row r="981" spans="1:6">
      <c r="A981" s="35"/>
      <c r="C981" s="33"/>
      <c r="E981" s="33"/>
      <c r="F981" s="34"/>
    </row>
    <row r="982" spans="1:6">
      <c r="A982" s="35"/>
      <c r="C982" s="33"/>
      <c r="E982" s="33"/>
      <c r="F982" s="34"/>
    </row>
    <row r="983" spans="1:6">
      <c r="A983" s="35"/>
      <c r="C983" s="33"/>
      <c r="E983" s="33"/>
      <c r="F983" s="34"/>
    </row>
    <row r="984" spans="1:6">
      <c r="A984" s="35"/>
      <c r="C984" s="33"/>
      <c r="E984" s="33"/>
      <c r="F984" s="34"/>
    </row>
    <row r="985" spans="1:6">
      <c r="A985" s="35"/>
      <c r="C985" s="33"/>
      <c r="E985" s="33"/>
      <c r="F985" s="34"/>
    </row>
    <row r="986" spans="1:6">
      <c r="A986" s="35"/>
      <c r="C986" s="33"/>
      <c r="E986" s="33"/>
      <c r="F986" s="34"/>
    </row>
    <row r="987" spans="1:6">
      <c r="A987" s="35"/>
      <c r="C987" s="33"/>
      <c r="E987" s="33"/>
      <c r="F987" s="34"/>
    </row>
    <row r="988" spans="1:6">
      <c r="A988" s="35"/>
      <c r="C988" s="33"/>
      <c r="E988" s="33"/>
      <c r="F988" s="34"/>
    </row>
    <row r="989" spans="1:6">
      <c r="A989" s="35"/>
      <c r="C989" s="33"/>
      <c r="E989" s="33"/>
      <c r="F989" s="34"/>
    </row>
    <row r="990" spans="1:6">
      <c r="A990" s="35"/>
      <c r="C990" s="33"/>
      <c r="E990" s="33"/>
      <c r="F990" s="34"/>
    </row>
    <row r="991" spans="1:6">
      <c r="A991" s="35"/>
      <c r="C991" s="33"/>
      <c r="E991" s="33"/>
      <c r="F991" s="34"/>
    </row>
    <row r="992" spans="1:6">
      <c r="A992" s="35"/>
      <c r="C992" s="33"/>
      <c r="E992" s="33"/>
      <c r="F992" s="34"/>
    </row>
    <row r="993" spans="1:6">
      <c r="A993" s="35"/>
      <c r="C993" s="33"/>
      <c r="E993" s="33"/>
      <c r="F993" s="34"/>
    </row>
    <row r="994" spans="1:6">
      <c r="A994" s="35"/>
      <c r="C994" s="33"/>
      <c r="E994" s="33"/>
      <c r="F994" s="34"/>
    </row>
    <row r="995" spans="1:6">
      <c r="A995" s="35"/>
      <c r="C995" s="33"/>
      <c r="E995" s="33"/>
      <c r="F995" s="34"/>
    </row>
    <row r="996" spans="1:6">
      <c r="A996" s="35"/>
      <c r="C996" s="33"/>
      <c r="E996" s="33"/>
      <c r="F996" s="34"/>
    </row>
    <row r="997" spans="1:6">
      <c r="A997" s="35"/>
      <c r="C997" s="33"/>
      <c r="E997" s="33"/>
      <c r="F997" s="34"/>
    </row>
    <row r="998" spans="1:6">
      <c r="A998" s="35"/>
      <c r="C998" s="33"/>
      <c r="E998" s="33"/>
      <c r="F998" s="34"/>
    </row>
    <row r="999" spans="1:6">
      <c r="A999" s="35"/>
      <c r="C999" s="33"/>
      <c r="E999" s="33"/>
      <c r="F999" s="34"/>
    </row>
    <row r="1000" spans="1:6">
      <c r="A1000" s="35"/>
      <c r="C1000" s="33"/>
      <c r="E1000" s="33"/>
      <c r="F1000" s="34"/>
    </row>
  </sheetData>
  <autoFilter ref="A1:G46" xr:uid="{00000000-0001-0000-0100-000000000000}"/>
  <dataConsolidate function="max" topLabels="1">
    <dataRefs count="7">
      <dataRef ref="A1" sheet="Sheet1" r:id="rId1"/>
      <dataRef ref="C2" sheet="Sheet1" r:id="rId2"/>
      <dataRef ref="A1:G1048576" sheet="JUL-24"/>
      <dataRef ref="A1:G1048576" sheet="JUN-24"/>
      <dataRef ref="A1:G1048576" sheet="MAY-24"/>
      <dataRef ref="A1:G1048576" sheet="Task 2 Soln - APR-24"/>
      <dataRef ref="I1" sheet="Task 2 Soln - APR-24"/>
    </dataRefs>
  </dataConsolid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F5AB-6F49-4A45-BC64-87D0BF2A1216}">
  <dimension ref="A3:B13"/>
  <sheetViews>
    <sheetView topLeftCell="B1" workbookViewId="0">
      <selection activeCell="B12" sqref="B12"/>
    </sheetView>
  </sheetViews>
  <sheetFormatPr defaultRowHeight="15"/>
  <cols>
    <col min="1" max="1" width="13.140625" bestFit="1" customWidth="1"/>
    <col min="2" max="2" width="25.28515625" bestFit="1" customWidth="1"/>
  </cols>
  <sheetData>
    <row r="3" spans="1:2">
      <c r="A3" s="76" t="s">
        <v>1725</v>
      </c>
      <c r="B3" t="s">
        <v>1737</v>
      </c>
    </row>
    <row r="4" spans="1:2">
      <c r="A4" s="77" t="s">
        <v>1727</v>
      </c>
      <c r="B4">
        <v>45</v>
      </c>
    </row>
    <row r="5" spans="1:2">
      <c r="A5" s="77" t="s">
        <v>1728</v>
      </c>
      <c r="B5">
        <v>75</v>
      </c>
    </row>
    <row r="6" spans="1:2">
      <c r="A6" s="77" t="s">
        <v>1729</v>
      </c>
      <c r="B6">
        <v>71</v>
      </c>
    </row>
    <row r="7" spans="1:2">
      <c r="A7" s="77" t="s">
        <v>1730</v>
      </c>
      <c r="B7">
        <v>91</v>
      </c>
    </row>
    <row r="8" spans="1:2">
      <c r="A8" s="77" t="s">
        <v>1731</v>
      </c>
      <c r="B8">
        <v>92</v>
      </c>
    </row>
    <row r="9" spans="1:2">
      <c r="A9" s="77" t="s">
        <v>1732</v>
      </c>
      <c r="B9">
        <v>90</v>
      </c>
    </row>
    <row r="10" spans="1:2">
      <c r="A10" s="77" t="s">
        <v>1733</v>
      </c>
      <c r="B10">
        <v>102</v>
      </c>
    </row>
    <row r="11" spans="1:2">
      <c r="A11" s="77" t="s">
        <v>1734</v>
      </c>
      <c r="B11">
        <v>61</v>
      </c>
    </row>
    <row r="12" spans="1:2">
      <c r="A12" s="77" t="s">
        <v>1735</v>
      </c>
      <c r="B12">
        <v>76</v>
      </c>
    </row>
    <row r="13" spans="1:2">
      <c r="A13" s="77" t="s">
        <v>1726</v>
      </c>
      <c r="B13">
        <v>703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C3451-36FE-4FEA-82DE-B434F2001382}">
  <dimension ref="A3:H14"/>
  <sheetViews>
    <sheetView topLeftCell="J1" workbookViewId="0">
      <selection activeCell="R12" sqref="R12"/>
    </sheetView>
  </sheetViews>
  <sheetFormatPr defaultRowHeight="15"/>
  <cols>
    <col min="1" max="1" width="25.28515625" bestFit="1" customWidth="1"/>
    <col min="2" max="2" width="16.28515625" bestFit="1" customWidth="1"/>
    <col min="3" max="3" width="11.5703125" bestFit="1" customWidth="1"/>
    <col min="4" max="4" width="16.28515625" bestFit="1" customWidth="1"/>
    <col min="5" max="5" width="14.7109375" bestFit="1" customWidth="1"/>
    <col min="6" max="6" width="6.85546875" bestFit="1" customWidth="1"/>
    <col min="7" max="7" width="8" bestFit="1" customWidth="1"/>
    <col min="8" max="9" width="11.28515625" bestFit="1" customWidth="1"/>
    <col min="10" max="10" width="20.42578125" bestFit="1" customWidth="1"/>
    <col min="11" max="11" width="19.85546875" bestFit="1" customWidth="1"/>
    <col min="12" max="12" width="22" bestFit="1" customWidth="1"/>
    <col min="13" max="13" width="11.28515625" bestFit="1" customWidth="1"/>
  </cols>
  <sheetData>
    <row r="3" spans="1:8">
      <c r="A3" s="76" t="s">
        <v>1737</v>
      </c>
      <c r="B3" s="76" t="s">
        <v>1736</v>
      </c>
    </row>
    <row r="4" spans="1:8">
      <c r="A4" s="76" t="s">
        <v>1725</v>
      </c>
      <c r="B4" t="s">
        <v>66</v>
      </c>
      <c r="C4" t="s">
        <v>63</v>
      </c>
      <c r="D4" t="s">
        <v>342</v>
      </c>
      <c r="E4" t="s">
        <v>485</v>
      </c>
      <c r="F4" t="s">
        <v>276</v>
      </c>
      <c r="G4" t="s">
        <v>58</v>
      </c>
      <c r="H4" t="s">
        <v>1726</v>
      </c>
    </row>
    <row r="5" spans="1:8">
      <c r="A5" s="77" t="s">
        <v>1727</v>
      </c>
      <c r="B5">
        <v>12</v>
      </c>
      <c r="C5">
        <v>21</v>
      </c>
      <c r="G5">
        <v>12</v>
      </c>
      <c r="H5">
        <v>45</v>
      </c>
    </row>
    <row r="6" spans="1:8">
      <c r="A6" s="77" t="s">
        <v>1728</v>
      </c>
      <c r="B6">
        <v>11</v>
      </c>
      <c r="C6">
        <v>54</v>
      </c>
      <c r="D6">
        <v>1</v>
      </c>
      <c r="F6">
        <v>3</v>
      </c>
      <c r="G6">
        <v>6</v>
      </c>
      <c r="H6">
        <v>75</v>
      </c>
    </row>
    <row r="7" spans="1:8">
      <c r="A7" s="77" t="s">
        <v>1729</v>
      </c>
      <c r="B7">
        <v>11</v>
      </c>
      <c r="C7">
        <v>37</v>
      </c>
      <c r="D7">
        <v>3</v>
      </c>
      <c r="E7">
        <v>1</v>
      </c>
      <c r="F7">
        <v>4</v>
      </c>
      <c r="G7">
        <v>15</v>
      </c>
      <c r="H7">
        <v>71</v>
      </c>
    </row>
    <row r="8" spans="1:8">
      <c r="A8" s="77" t="s">
        <v>1730</v>
      </c>
      <c r="B8">
        <v>11</v>
      </c>
      <c r="C8">
        <v>58</v>
      </c>
      <c r="D8">
        <v>3</v>
      </c>
      <c r="E8">
        <v>2</v>
      </c>
      <c r="F8">
        <v>3</v>
      </c>
      <c r="G8">
        <v>14</v>
      </c>
      <c r="H8">
        <v>91</v>
      </c>
    </row>
    <row r="9" spans="1:8">
      <c r="A9" s="77" t="s">
        <v>1731</v>
      </c>
      <c r="B9">
        <v>11</v>
      </c>
      <c r="C9">
        <v>60</v>
      </c>
      <c r="D9">
        <v>1</v>
      </c>
      <c r="E9">
        <v>1</v>
      </c>
      <c r="F9">
        <v>1</v>
      </c>
      <c r="G9">
        <v>18</v>
      </c>
      <c r="H9">
        <v>92</v>
      </c>
    </row>
    <row r="10" spans="1:8">
      <c r="A10" s="77" t="s">
        <v>1732</v>
      </c>
      <c r="B10">
        <v>21</v>
      </c>
      <c r="C10">
        <v>54</v>
      </c>
      <c r="F10">
        <v>4</v>
      </c>
      <c r="G10">
        <v>11</v>
      </c>
      <c r="H10">
        <v>90</v>
      </c>
    </row>
    <row r="11" spans="1:8">
      <c r="A11" s="77" t="s">
        <v>1733</v>
      </c>
      <c r="B11">
        <v>16</v>
      </c>
      <c r="C11">
        <v>78</v>
      </c>
      <c r="G11">
        <v>8</v>
      </c>
      <c r="H11">
        <v>102</v>
      </c>
    </row>
    <row r="12" spans="1:8">
      <c r="A12" s="77" t="s">
        <v>1734</v>
      </c>
      <c r="B12">
        <v>8</v>
      </c>
      <c r="C12">
        <v>41</v>
      </c>
      <c r="G12">
        <v>12</v>
      </c>
      <c r="H12">
        <v>61</v>
      </c>
    </row>
    <row r="13" spans="1:8">
      <c r="A13" s="77" t="s">
        <v>1735</v>
      </c>
      <c r="B13">
        <v>8</v>
      </c>
      <c r="C13">
        <v>58</v>
      </c>
      <c r="G13">
        <v>10</v>
      </c>
      <c r="H13">
        <v>76</v>
      </c>
    </row>
    <row r="14" spans="1:8">
      <c r="A14" s="77" t="s">
        <v>1726</v>
      </c>
      <c r="B14">
        <v>109</v>
      </c>
      <c r="C14">
        <v>461</v>
      </c>
      <c r="D14">
        <v>8</v>
      </c>
      <c r="E14">
        <v>4</v>
      </c>
      <c r="F14">
        <v>15</v>
      </c>
      <c r="G14">
        <v>106</v>
      </c>
      <c r="H14">
        <v>703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4774-34D4-4B2E-9E40-25E59A2D9EA3}">
  <dimension ref="A3:H14"/>
  <sheetViews>
    <sheetView topLeftCell="G1" workbookViewId="0">
      <selection activeCell="R5" sqref="R5"/>
    </sheetView>
  </sheetViews>
  <sheetFormatPr defaultRowHeight="15"/>
  <cols>
    <col min="1" max="1" width="26.42578125" bestFit="1" customWidth="1"/>
    <col min="2" max="2" width="16.28515625" bestFit="1" customWidth="1"/>
    <col min="3" max="3" width="11.5703125" bestFit="1" customWidth="1"/>
    <col min="4" max="4" width="16.28515625" bestFit="1" customWidth="1"/>
    <col min="5" max="5" width="14.7109375" bestFit="1" customWidth="1"/>
    <col min="6" max="7" width="8" bestFit="1" customWidth="1"/>
    <col min="8" max="9" width="11.28515625" bestFit="1" customWidth="1"/>
    <col min="10" max="10" width="20.42578125" bestFit="1" customWidth="1"/>
    <col min="11" max="11" width="19.85546875" bestFit="1" customWidth="1"/>
    <col min="12" max="12" width="22" bestFit="1" customWidth="1"/>
    <col min="13" max="13" width="11.28515625" bestFit="1" customWidth="1"/>
  </cols>
  <sheetData>
    <row r="3" spans="1:8">
      <c r="A3" s="76" t="s">
        <v>1738</v>
      </c>
      <c r="B3" s="76" t="s">
        <v>1736</v>
      </c>
    </row>
    <row r="4" spans="1:8">
      <c r="A4" s="76" t="s">
        <v>1725</v>
      </c>
      <c r="B4" t="s">
        <v>66</v>
      </c>
      <c r="C4" t="s">
        <v>63</v>
      </c>
      <c r="D4" t="s">
        <v>342</v>
      </c>
      <c r="E4" t="s">
        <v>485</v>
      </c>
      <c r="F4" t="s">
        <v>276</v>
      </c>
      <c r="G4" t="s">
        <v>58</v>
      </c>
      <c r="H4" t="s">
        <v>1726</v>
      </c>
    </row>
    <row r="5" spans="1:8">
      <c r="A5" s="77" t="s">
        <v>1727</v>
      </c>
      <c r="B5">
        <v>523700</v>
      </c>
      <c r="C5">
        <v>809900</v>
      </c>
      <c r="G5">
        <v>531400</v>
      </c>
      <c r="H5">
        <v>1865000</v>
      </c>
    </row>
    <row r="6" spans="1:8">
      <c r="A6" s="77" t="s">
        <v>1728</v>
      </c>
      <c r="B6">
        <v>557300</v>
      </c>
      <c r="C6">
        <v>2876900</v>
      </c>
      <c r="D6">
        <v>30000</v>
      </c>
      <c r="F6">
        <v>47500</v>
      </c>
      <c r="G6">
        <v>541300</v>
      </c>
      <c r="H6">
        <v>4053000</v>
      </c>
    </row>
    <row r="7" spans="1:8">
      <c r="A7" s="77" t="s">
        <v>1729</v>
      </c>
      <c r="B7">
        <v>457100</v>
      </c>
      <c r="C7">
        <v>2413800</v>
      </c>
      <c r="D7">
        <v>79000</v>
      </c>
      <c r="E7">
        <v>27500</v>
      </c>
      <c r="F7">
        <v>408000</v>
      </c>
      <c r="G7">
        <v>967600</v>
      </c>
      <c r="H7">
        <v>4353000</v>
      </c>
    </row>
    <row r="8" spans="1:8">
      <c r="A8" s="77" t="s">
        <v>1730</v>
      </c>
      <c r="B8">
        <v>792600</v>
      </c>
      <c r="C8">
        <v>3365500</v>
      </c>
      <c r="D8">
        <v>233500</v>
      </c>
      <c r="E8">
        <v>117000</v>
      </c>
      <c r="F8">
        <v>249000</v>
      </c>
      <c r="G8">
        <v>1022000</v>
      </c>
      <c r="H8">
        <v>5779600</v>
      </c>
    </row>
    <row r="9" spans="1:8">
      <c r="A9" s="77" t="s">
        <v>1731</v>
      </c>
      <c r="B9">
        <v>658000</v>
      </c>
      <c r="C9">
        <v>2722400</v>
      </c>
      <c r="D9">
        <v>10000</v>
      </c>
      <c r="E9">
        <v>152000</v>
      </c>
      <c r="F9">
        <v>70000</v>
      </c>
      <c r="G9">
        <v>881800</v>
      </c>
      <c r="H9">
        <v>4494200</v>
      </c>
    </row>
    <row r="10" spans="1:8">
      <c r="A10" s="77" t="s">
        <v>1732</v>
      </c>
      <c r="B10">
        <v>1016600</v>
      </c>
      <c r="C10">
        <v>3299930</v>
      </c>
      <c r="F10">
        <v>298000</v>
      </c>
      <c r="G10">
        <v>391900</v>
      </c>
      <c r="H10">
        <v>5006430</v>
      </c>
    </row>
    <row r="11" spans="1:8">
      <c r="A11" s="77" t="s">
        <v>1733</v>
      </c>
      <c r="B11">
        <v>571000</v>
      </c>
      <c r="C11">
        <v>3541900</v>
      </c>
      <c r="G11">
        <v>363400</v>
      </c>
      <c r="H11">
        <v>4476300</v>
      </c>
    </row>
    <row r="12" spans="1:8">
      <c r="A12" s="77" t="s">
        <v>1734</v>
      </c>
      <c r="B12">
        <v>416700</v>
      </c>
      <c r="C12">
        <v>1737900</v>
      </c>
      <c r="G12">
        <v>762500</v>
      </c>
      <c r="H12">
        <v>2917100</v>
      </c>
    </row>
    <row r="13" spans="1:8">
      <c r="A13" s="77" t="s">
        <v>1735</v>
      </c>
      <c r="B13">
        <v>337600</v>
      </c>
      <c r="C13">
        <v>2511660</v>
      </c>
      <c r="G13">
        <v>409500</v>
      </c>
      <c r="H13">
        <v>3258760</v>
      </c>
    </row>
    <row r="14" spans="1:8">
      <c r="A14" s="77" t="s">
        <v>1726</v>
      </c>
      <c r="B14">
        <v>5330600</v>
      </c>
      <c r="C14">
        <v>23279890</v>
      </c>
      <c r="D14">
        <v>352500</v>
      </c>
      <c r="E14">
        <v>296500</v>
      </c>
      <c r="F14">
        <v>1072500</v>
      </c>
      <c r="G14">
        <v>5871400</v>
      </c>
      <c r="H14">
        <v>36203390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53448-B2BB-4FD8-ACE1-DBC996FCC380}">
  <dimension ref="A3:H14"/>
  <sheetViews>
    <sheetView topLeftCell="A10" workbookViewId="0">
      <selection activeCell="B12" sqref="B12"/>
    </sheetView>
  </sheetViews>
  <sheetFormatPr defaultRowHeight="15"/>
  <cols>
    <col min="1" max="1" width="30" bestFit="1" customWidth="1"/>
    <col min="2" max="2" width="16.28515625" bestFit="1" customWidth="1"/>
    <col min="3" max="3" width="11.5703125" bestFit="1" customWidth="1"/>
    <col min="4" max="4" width="16.28515625" bestFit="1" customWidth="1"/>
    <col min="5" max="5" width="14.7109375" bestFit="1" customWidth="1"/>
    <col min="6" max="6" width="7" bestFit="1" customWidth="1"/>
    <col min="7" max="7" width="8" bestFit="1" customWidth="1"/>
    <col min="8" max="9" width="11.28515625" bestFit="1" customWidth="1"/>
    <col min="10" max="10" width="20.42578125" bestFit="1" customWidth="1"/>
    <col min="11" max="11" width="19.85546875" bestFit="1" customWidth="1"/>
    <col min="12" max="12" width="22" bestFit="1" customWidth="1"/>
    <col min="13" max="13" width="11.28515625" bestFit="1" customWidth="1"/>
    <col min="14" max="20" width="6" bestFit="1" customWidth="1"/>
    <col min="21" max="21" width="16.5703125" bestFit="1" customWidth="1"/>
    <col min="22" max="22" width="18.140625" bestFit="1" customWidth="1"/>
    <col min="23" max="25" width="6" bestFit="1" customWidth="1"/>
    <col min="26" max="26" width="21.42578125" bestFit="1" customWidth="1"/>
    <col min="27" max="27" width="16.5703125" bestFit="1" customWidth="1"/>
    <col min="28" max="28" width="6" bestFit="1" customWidth="1"/>
    <col min="29" max="29" width="7" bestFit="1" customWidth="1"/>
    <col min="30" max="30" width="19.7109375" bestFit="1" customWidth="1"/>
    <col min="31" max="31" width="8.7109375" bestFit="1" customWidth="1"/>
    <col min="32" max="32" width="7" bestFit="1" customWidth="1"/>
    <col min="33" max="35" width="6" bestFit="1" customWidth="1"/>
    <col min="36" max="36" width="11.7109375" bestFit="1" customWidth="1"/>
    <col min="37" max="37" width="9.85546875" bestFit="1" customWidth="1"/>
    <col min="38" max="38" width="7" bestFit="1" customWidth="1"/>
    <col min="39" max="45" width="6" bestFit="1" customWidth="1"/>
    <col min="46" max="46" width="12.85546875" bestFit="1" customWidth="1"/>
    <col min="47" max="47" width="11.28515625" bestFit="1" customWidth="1"/>
  </cols>
  <sheetData>
    <row r="3" spans="1:8">
      <c r="A3" s="76" t="s">
        <v>1739</v>
      </c>
      <c r="B3" s="76" t="s">
        <v>1736</v>
      </c>
    </row>
    <row r="4" spans="1:8">
      <c r="A4" s="76" t="s">
        <v>1725</v>
      </c>
      <c r="B4" t="s">
        <v>66</v>
      </c>
      <c r="C4" t="s">
        <v>63</v>
      </c>
      <c r="D4" t="s">
        <v>342</v>
      </c>
      <c r="E4" t="s">
        <v>485</v>
      </c>
      <c r="F4" t="s">
        <v>276</v>
      </c>
      <c r="G4" t="s">
        <v>58</v>
      </c>
      <c r="H4" t="s">
        <v>1726</v>
      </c>
    </row>
    <row r="5" spans="1:8">
      <c r="A5" s="77" t="s">
        <v>1727</v>
      </c>
      <c r="B5" s="79">
        <v>43641.666666666664</v>
      </c>
      <c r="C5" s="79">
        <v>38566.666666666664</v>
      </c>
      <c r="D5" s="79"/>
      <c r="E5" s="79"/>
      <c r="F5" s="79"/>
      <c r="G5" s="79">
        <v>44283.333333333336</v>
      </c>
      <c r="H5" s="79">
        <v>41444.444444444445</v>
      </c>
    </row>
    <row r="6" spans="1:8">
      <c r="A6" s="77" t="s">
        <v>1728</v>
      </c>
      <c r="B6" s="79">
        <v>50663.63636363636</v>
      </c>
      <c r="C6" s="79">
        <v>53275.925925925927</v>
      </c>
      <c r="D6" s="79">
        <v>30000</v>
      </c>
      <c r="E6" s="79"/>
      <c r="F6" s="79">
        <v>15833.333333333334</v>
      </c>
      <c r="G6" s="79">
        <v>90216.666666666672</v>
      </c>
      <c r="H6" s="79">
        <v>54040</v>
      </c>
    </row>
    <row r="7" spans="1:8">
      <c r="A7" s="77" t="s">
        <v>1729</v>
      </c>
      <c r="B7" s="79">
        <v>41554.545454545456</v>
      </c>
      <c r="C7" s="79">
        <v>65237.83783783784</v>
      </c>
      <c r="D7" s="79">
        <v>26333.333333333332</v>
      </c>
      <c r="E7" s="79">
        <v>27500</v>
      </c>
      <c r="F7" s="79">
        <v>102000</v>
      </c>
      <c r="G7" s="79">
        <v>64506.666666666664</v>
      </c>
      <c r="H7" s="79">
        <v>61309.859154929574</v>
      </c>
    </row>
    <row r="8" spans="1:8">
      <c r="A8" s="77" t="s">
        <v>1730</v>
      </c>
      <c r="B8" s="79">
        <v>72054.545454545456</v>
      </c>
      <c r="C8" s="79">
        <v>58025.862068965514</v>
      </c>
      <c r="D8" s="79">
        <v>77833.333333333328</v>
      </c>
      <c r="E8" s="79">
        <v>58500</v>
      </c>
      <c r="F8" s="79">
        <v>83000</v>
      </c>
      <c r="G8" s="79">
        <v>73000</v>
      </c>
      <c r="H8" s="79">
        <v>63512.087912087911</v>
      </c>
    </row>
    <row r="9" spans="1:8">
      <c r="A9" s="77" t="s">
        <v>1731</v>
      </c>
      <c r="B9" s="79">
        <v>59818.181818181816</v>
      </c>
      <c r="C9" s="79">
        <v>45373.333333333336</v>
      </c>
      <c r="D9" s="79">
        <v>10000</v>
      </c>
      <c r="E9" s="79">
        <v>152000</v>
      </c>
      <c r="F9" s="79">
        <v>70000</v>
      </c>
      <c r="G9" s="79">
        <v>48988.888888888891</v>
      </c>
      <c r="H9" s="79">
        <v>48850</v>
      </c>
    </row>
    <row r="10" spans="1:8">
      <c r="A10" s="77" t="s">
        <v>1732</v>
      </c>
      <c r="B10" s="79">
        <v>48409.523809523809</v>
      </c>
      <c r="C10" s="79">
        <v>61109.814814814818</v>
      </c>
      <c r="D10" s="79"/>
      <c r="E10" s="79"/>
      <c r="F10" s="79">
        <v>74500</v>
      </c>
      <c r="G10" s="79">
        <v>35627.272727272728</v>
      </c>
      <c r="H10" s="79">
        <v>55627</v>
      </c>
    </row>
    <row r="11" spans="1:8">
      <c r="A11" s="77" t="s">
        <v>1733</v>
      </c>
      <c r="B11" s="79">
        <v>35687.5</v>
      </c>
      <c r="C11" s="79">
        <v>45408.974358974359</v>
      </c>
      <c r="D11" s="79"/>
      <c r="E11" s="79"/>
      <c r="F11" s="79"/>
      <c r="G11" s="79">
        <v>45425</v>
      </c>
      <c r="H11" s="79">
        <v>43885.294117647056</v>
      </c>
    </row>
    <row r="12" spans="1:8">
      <c r="A12" s="77" t="s">
        <v>1734</v>
      </c>
      <c r="B12" s="79">
        <v>52087.5</v>
      </c>
      <c r="C12" s="79">
        <v>42387.804878048781</v>
      </c>
      <c r="D12" s="79"/>
      <c r="E12" s="79"/>
      <c r="F12" s="79"/>
      <c r="G12" s="79">
        <v>63541.666666666664</v>
      </c>
      <c r="H12" s="79">
        <v>47821.311475409835</v>
      </c>
    </row>
    <row r="13" spans="1:8">
      <c r="A13" s="77" t="s">
        <v>1735</v>
      </c>
      <c r="B13" s="79">
        <v>42200</v>
      </c>
      <c r="C13" s="79">
        <v>43304.482758620688</v>
      </c>
      <c r="D13" s="79"/>
      <c r="E13" s="79"/>
      <c r="F13" s="79"/>
      <c r="G13" s="79">
        <v>40950</v>
      </c>
      <c r="H13" s="79">
        <v>42878.42105263158</v>
      </c>
    </row>
    <row r="14" spans="1:8">
      <c r="A14" s="77" t="s">
        <v>1726</v>
      </c>
      <c r="B14" s="79">
        <v>48904.587155963301</v>
      </c>
      <c r="C14" s="79">
        <v>50498.676789587851</v>
      </c>
      <c r="D14" s="79">
        <v>44062.5</v>
      </c>
      <c r="E14" s="79">
        <v>74125</v>
      </c>
      <c r="F14" s="79">
        <v>71500</v>
      </c>
      <c r="G14" s="79">
        <v>55390.566037735851</v>
      </c>
      <c r="H14" s="79">
        <v>51498.42105263158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CBB43-7908-426E-BC94-CCE2A233C389}">
  <dimension ref="A3:B49"/>
  <sheetViews>
    <sheetView workbookViewId="0">
      <selection activeCell="P13" sqref="P13"/>
    </sheetView>
  </sheetViews>
  <sheetFormatPr defaultRowHeight="15"/>
  <cols>
    <col min="1" max="1" width="13.140625" bestFit="1" customWidth="1"/>
    <col min="2" max="2" width="14.42578125" bestFit="1" customWidth="1"/>
    <col min="3" max="3" width="31" bestFit="1" customWidth="1"/>
    <col min="4" max="5" width="4.28515625" bestFit="1" customWidth="1"/>
    <col min="6" max="6" width="4.5703125" bestFit="1" customWidth="1"/>
    <col min="7" max="7" width="4.85546875" bestFit="1" customWidth="1"/>
    <col min="8" max="8" width="4" bestFit="1" customWidth="1"/>
    <col min="9" max="9" width="3.42578125" bestFit="1" customWidth="1"/>
    <col min="10" max="10" width="4.140625" bestFit="1" customWidth="1"/>
    <col min="11" max="11" width="11.28515625" bestFit="1" customWidth="1"/>
    <col min="12" max="12" width="9.85546875" bestFit="1" customWidth="1"/>
    <col min="13" max="13" width="9.5703125" bestFit="1" customWidth="1"/>
    <col min="14" max="14" width="9" bestFit="1" customWidth="1"/>
    <col min="15" max="15" width="8.140625" bestFit="1" customWidth="1"/>
    <col min="16" max="16" width="16.5703125" bestFit="1" customWidth="1"/>
    <col min="17" max="17" width="4.28515625" bestFit="1" customWidth="1"/>
    <col min="18" max="18" width="6.85546875" bestFit="1" customWidth="1"/>
    <col min="19" max="19" width="6.28515625" bestFit="1" customWidth="1"/>
    <col min="20" max="20" width="8.5703125" bestFit="1" customWidth="1"/>
    <col min="21" max="21" width="5.28515625" bestFit="1" customWidth="1"/>
    <col min="22" max="22" width="9" bestFit="1" customWidth="1"/>
    <col min="23" max="23" width="5.7109375" bestFit="1" customWidth="1"/>
    <col min="24" max="24" width="21.7109375" bestFit="1" customWidth="1"/>
    <col min="25" max="25" width="6.7109375" bestFit="1" customWidth="1"/>
    <col min="26" max="26" width="4.85546875" bestFit="1" customWidth="1"/>
    <col min="27" max="27" width="6.85546875" bestFit="1" customWidth="1"/>
    <col min="28" max="28" width="9.28515625" bestFit="1" customWidth="1"/>
    <col min="29" max="29" width="12.85546875" bestFit="1" customWidth="1"/>
    <col min="30" max="30" width="9.28515625" bestFit="1" customWidth="1"/>
    <col min="31" max="31" width="8.42578125" bestFit="1" customWidth="1"/>
    <col min="32" max="32" width="9.7109375" bestFit="1" customWidth="1"/>
    <col min="33" max="33" width="6" bestFit="1" customWidth="1"/>
    <col min="34" max="34" width="15.7109375" bestFit="1" customWidth="1"/>
    <col min="35" max="35" width="10.140625" bestFit="1" customWidth="1"/>
    <col min="36" max="36" width="12.140625" bestFit="1" customWidth="1"/>
    <col min="37" max="37" width="4.5703125" bestFit="1" customWidth="1"/>
    <col min="38" max="38" width="7.140625" bestFit="1" customWidth="1"/>
    <col min="39" max="39" width="12.85546875" bestFit="1" customWidth="1"/>
    <col min="40" max="40" width="6.7109375" bestFit="1" customWidth="1"/>
    <col min="41" max="41" width="9.5703125" bestFit="1" customWidth="1"/>
    <col min="42" max="42" width="7.7109375" bestFit="1" customWidth="1"/>
    <col min="43" max="43" width="8.140625" bestFit="1" customWidth="1"/>
    <col min="44" max="44" width="8.85546875" bestFit="1" customWidth="1"/>
    <col min="45" max="45" width="16.42578125" bestFit="1" customWidth="1"/>
    <col min="46" max="46" width="12.85546875" bestFit="1" customWidth="1"/>
    <col min="47" max="47" width="10.28515625" bestFit="1" customWidth="1"/>
    <col min="48" max="48" width="9.85546875" bestFit="1" customWidth="1"/>
    <col min="49" max="49" width="13.140625" bestFit="1" customWidth="1"/>
    <col min="50" max="50" width="6.140625" bestFit="1" customWidth="1"/>
    <col min="51" max="51" width="4.5703125" bestFit="1" customWidth="1"/>
    <col min="52" max="52" width="14.140625" bestFit="1" customWidth="1"/>
    <col min="53" max="53" width="12.28515625" bestFit="1" customWidth="1"/>
    <col min="54" max="54" width="7.42578125" bestFit="1" customWidth="1"/>
    <col min="55" max="55" width="4.140625" bestFit="1" customWidth="1"/>
    <col min="56" max="56" width="9.7109375" bestFit="1" customWidth="1"/>
    <col min="57" max="57" width="12.42578125" bestFit="1" customWidth="1"/>
    <col min="58" max="58" width="9.28515625" bestFit="1" customWidth="1"/>
    <col min="59" max="59" width="14.28515625" bestFit="1" customWidth="1"/>
    <col min="60" max="60" width="4.85546875" bestFit="1" customWidth="1"/>
    <col min="61" max="61" width="11.85546875" bestFit="1" customWidth="1"/>
    <col min="62" max="62" width="13.85546875" bestFit="1" customWidth="1"/>
    <col min="63" max="63" width="10.7109375" bestFit="1" customWidth="1"/>
    <col min="64" max="64" width="10.42578125" bestFit="1" customWidth="1"/>
    <col min="65" max="65" width="9" bestFit="1" customWidth="1"/>
    <col min="66" max="66" width="8.5703125" bestFit="1" customWidth="1"/>
    <col min="67" max="67" width="8.85546875" bestFit="1" customWidth="1"/>
    <col min="68" max="68" width="8.28515625" bestFit="1" customWidth="1"/>
    <col min="69" max="69" width="26.7109375" bestFit="1" customWidth="1"/>
    <col min="70" max="70" width="5.85546875" bestFit="1" customWidth="1"/>
    <col min="71" max="71" width="6" bestFit="1" customWidth="1"/>
    <col min="72" max="72" width="14.85546875" bestFit="1" customWidth="1"/>
    <col min="73" max="73" width="11.42578125" bestFit="1" customWidth="1"/>
    <col min="74" max="74" width="12.5703125" bestFit="1" customWidth="1"/>
    <col min="75" max="75" width="12.85546875" bestFit="1" customWidth="1"/>
    <col min="76" max="76" width="16.85546875" bestFit="1" customWidth="1"/>
    <col min="77" max="77" width="9.42578125" bestFit="1" customWidth="1"/>
    <col min="78" max="78" width="23.42578125" bestFit="1" customWidth="1"/>
    <col min="79" max="79" width="6.85546875" bestFit="1" customWidth="1"/>
    <col min="80" max="80" width="11.7109375" bestFit="1" customWidth="1"/>
    <col min="81" max="81" width="20" bestFit="1" customWidth="1"/>
    <col min="82" max="82" width="10.85546875" bestFit="1" customWidth="1"/>
    <col min="83" max="83" width="7" bestFit="1" customWidth="1"/>
    <col min="84" max="84" width="7.28515625" bestFit="1" customWidth="1"/>
    <col min="85" max="85" width="11.28515625" bestFit="1" customWidth="1"/>
    <col min="86" max="86" width="15.5703125" bestFit="1" customWidth="1"/>
    <col min="87" max="87" width="21.42578125" bestFit="1" customWidth="1"/>
    <col min="88" max="89" width="11.28515625" bestFit="1" customWidth="1"/>
    <col min="90" max="90" width="15" bestFit="1" customWidth="1"/>
    <col min="91" max="91" width="11.5703125" bestFit="1" customWidth="1"/>
    <col min="92" max="92" width="14.5703125" bestFit="1" customWidth="1"/>
    <col min="93" max="93" width="10.42578125" bestFit="1" customWidth="1"/>
    <col min="94" max="94" width="10.85546875" bestFit="1" customWidth="1"/>
    <col min="95" max="95" width="4.140625" bestFit="1" customWidth="1"/>
    <col min="96" max="96" width="7.140625" bestFit="1" customWidth="1"/>
    <col min="97" max="97" width="4.5703125" bestFit="1" customWidth="1"/>
    <col min="98" max="98" width="9" bestFit="1" customWidth="1"/>
    <col min="99" max="99" width="12.5703125" bestFit="1" customWidth="1"/>
    <col min="100" max="100" width="6.7109375" bestFit="1" customWidth="1"/>
    <col min="101" max="101" width="9" bestFit="1" customWidth="1"/>
    <col min="102" max="102" width="12.85546875" bestFit="1" customWidth="1"/>
    <col min="103" max="103" width="12.5703125" bestFit="1" customWidth="1"/>
    <col min="104" max="104" width="16.85546875" bestFit="1" customWidth="1"/>
    <col min="105" max="105" width="12.85546875" bestFit="1" customWidth="1"/>
    <col min="106" max="106" width="6.28515625" bestFit="1" customWidth="1"/>
    <col min="107" max="107" width="6.7109375" bestFit="1" customWidth="1"/>
    <col min="108" max="108" width="11.140625" bestFit="1" customWidth="1"/>
    <col min="109" max="109" width="10" bestFit="1" customWidth="1"/>
    <col min="110" max="110" width="11.42578125" bestFit="1" customWidth="1"/>
    <col min="111" max="111" width="10.28515625" bestFit="1" customWidth="1"/>
    <col min="112" max="112" width="15.28515625" bestFit="1" customWidth="1"/>
    <col min="113" max="113" width="14.140625" bestFit="1" customWidth="1"/>
    <col min="114" max="114" width="6.7109375" bestFit="1" customWidth="1"/>
    <col min="115" max="115" width="4.140625" bestFit="1" customWidth="1"/>
    <col min="116" max="116" width="4.28515625" bestFit="1" customWidth="1"/>
    <col min="117" max="117" width="9.5703125" bestFit="1" customWidth="1"/>
    <col min="118" max="118" width="6.7109375" bestFit="1" customWidth="1"/>
    <col min="119" max="119" width="10.85546875" bestFit="1" customWidth="1"/>
    <col min="120" max="120" width="8.85546875" bestFit="1" customWidth="1"/>
    <col min="121" max="121" width="6.85546875" bestFit="1" customWidth="1"/>
    <col min="122" max="122" width="8.140625" bestFit="1" customWidth="1"/>
    <col min="123" max="123" width="8" bestFit="1" customWidth="1"/>
    <col min="124" max="124" width="11.5703125" bestFit="1" customWidth="1"/>
    <col min="125" max="125" width="12.7109375" bestFit="1" customWidth="1"/>
    <col min="126" max="126" width="15.140625" bestFit="1" customWidth="1"/>
    <col min="127" max="127" width="15.85546875" bestFit="1" customWidth="1"/>
    <col min="128" max="128" width="10.42578125" bestFit="1" customWidth="1"/>
    <col min="129" max="129" width="15.7109375" bestFit="1" customWidth="1"/>
    <col min="130" max="130" width="7.28515625" bestFit="1" customWidth="1"/>
    <col min="131" max="131" width="11.28515625" bestFit="1" customWidth="1"/>
  </cols>
  <sheetData>
    <row r="3" spans="1:2">
      <c r="A3" s="76" t="s">
        <v>1725</v>
      </c>
      <c r="B3" t="s">
        <v>1740</v>
      </c>
    </row>
    <row r="4" spans="1:2">
      <c r="A4" s="77" t="s">
        <v>725</v>
      </c>
      <c r="B4">
        <v>260</v>
      </c>
    </row>
    <row r="5" spans="1:2">
      <c r="A5" s="78" t="s">
        <v>1727</v>
      </c>
      <c r="B5">
        <v>16</v>
      </c>
    </row>
    <row r="6" spans="1:2">
      <c r="A6" s="78" t="s">
        <v>1728</v>
      </c>
      <c r="B6">
        <v>21</v>
      </c>
    </row>
    <row r="7" spans="1:2">
      <c r="A7" s="78" t="s">
        <v>1729</v>
      </c>
      <c r="B7">
        <v>29</v>
      </c>
    </row>
    <row r="8" spans="1:2">
      <c r="A8" s="78" t="s">
        <v>1730</v>
      </c>
      <c r="B8">
        <v>23</v>
      </c>
    </row>
    <row r="9" spans="1:2">
      <c r="A9" s="78" t="s">
        <v>1731</v>
      </c>
      <c r="B9">
        <v>33</v>
      </c>
    </row>
    <row r="10" spans="1:2">
      <c r="A10" s="78" t="s">
        <v>1732</v>
      </c>
      <c r="B10">
        <v>37</v>
      </c>
    </row>
    <row r="11" spans="1:2">
      <c r="A11" s="78" t="s">
        <v>1733</v>
      </c>
      <c r="B11">
        <v>45</v>
      </c>
    </row>
    <row r="12" spans="1:2">
      <c r="A12" s="78" t="s">
        <v>1734</v>
      </c>
      <c r="B12">
        <v>22</v>
      </c>
    </row>
    <row r="13" spans="1:2">
      <c r="A13" s="78" t="s">
        <v>1735</v>
      </c>
      <c r="B13">
        <v>34</v>
      </c>
    </row>
    <row r="14" spans="1:2">
      <c r="A14" s="77" t="s">
        <v>736</v>
      </c>
      <c r="B14">
        <v>69</v>
      </c>
    </row>
    <row r="15" spans="1:2">
      <c r="A15" s="78" t="s">
        <v>1731</v>
      </c>
      <c r="B15">
        <v>15</v>
      </c>
    </row>
    <row r="16" spans="1:2">
      <c r="A16" s="78" t="s">
        <v>1732</v>
      </c>
      <c r="B16">
        <v>11</v>
      </c>
    </row>
    <row r="17" spans="1:2">
      <c r="A17" s="78" t="s">
        <v>1733</v>
      </c>
      <c r="B17">
        <v>21</v>
      </c>
    </row>
    <row r="18" spans="1:2">
      <c r="A18" s="78" t="s">
        <v>1734</v>
      </c>
      <c r="B18">
        <v>11</v>
      </c>
    </row>
    <row r="19" spans="1:2">
      <c r="A19" s="78" t="s">
        <v>1735</v>
      </c>
      <c r="B19">
        <v>11</v>
      </c>
    </row>
    <row r="20" spans="1:2">
      <c r="A20" s="77" t="s">
        <v>781</v>
      </c>
      <c r="B20">
        <v>54</v>
      </c>
    </row>
    <row r="21" spans="1:2">
      <c r="A21" s="78" t="s">
        <v>1727</v>
      </c>
      <c r="B21">
        <v>3</v>
      </c>
    </row>
    <row r="22" spans="1:2">
      <c r="A22" s="78" t="s">
        <v>1728</v>
      </c>
      <c r="B22">
        <v>10</v>
      </c>
    </row>
    <row r="23" spans="1:2">
      <c r="A23" s="78" t="s">
        <v>1729</v>
      </c>
      <c r="B23">
        <v>2</v>
      </c>
    </row>
    <row r="24" spans="1:2">
      <c r="A24" s="78" t="s">
        <v>1730</v>
      </c>
      <c r="B24">
        <v>5</v>
      </c>
    </row>
    <row r="25" spans="1:2">
      <c r="A25" s="78" t="s">
        <v>1731</v>
      </c>
      <c r="B25">
        <v>5</v>
      </c>
    </row>
    <row r="26" spans="1:2">
      <c r="A26" s="78" t="s">
        <v>1732</v>
      </c>
      <c r="B26">
        <v>10</v>
      </c>
    </row>
    <row r="27" spans="1:2">
      <c r="A27" s="78" t="s">
        <v>1733</v>
      </c>
      <c r="B27">
        <v>6</v>
      </c>
    </row>
    <row r="28" spans="1:2">
      <c r="A28" s="78" t="s">
        <v>1734</v>
      </c>
      <c r="B28">
        <v>6</v>
      </c>
    </row>
    <row r="29" spans="1:2">
      <c r="A29" s="78" t="s">
        <v>1735</v>
      </c>
      <c r="B29">
        <v>7</v>
      </c>
    </row>
    <row r="30" spans="1:2">
      <c r="A30" s="77" t="s">
        <v>769</v>
      </c>
      <c r="B30">
        <v>52</v>
      </c>
    </row>
    <row r="31" spans="1:2">
      <c r="A31" s="78" t="s">
        <v>1728</v>
      </c>
      <c r="B31">
        <v>1</v>
      </c>
    </row>
    <row r="32" spans="1:2">
      <c r="A32" s="78" t="s">
        <v>1729</v>
      </c>
      <c r="B32">
        <v>2</v>
      </c>
    </row>
    <row r="33" spans="1:2">
      <c r="A33" s="78" t="s">
        <v>1730</v>
      </c>
      <c r="B33">
        <v>1</v>
      </c>
    </row>
    <row r="34" spans="1:2">
      <c r="A34" s="78" t="s">
        <v>1731</v>
      </c>
      <c r="B34">
        <v>14</v>
      </c>
    </row>
    <row r="35" spans="1:2">
      <c r="A35" s="78" t="s">
        <v>1732</v>
      </c>
      <c r="B35">
        <v>9</v>
      </c>
    </row>
    <row r="36" spans="1:2">
      <c r="A36" s="78" t="s">
        <v>1733</v>
      </c>
      <c r="B36">
        <v>9</v>
      </c>
    </row>
    <row r="37" spans="1:2">
      <c r="A37" s="78" t="s">
        <v>1734</v>
      </c>
      <c r="B37">
        <v>9</v>
      </c>
    </row>
    <row r="38" spans="1:2">
      <c r="A38" s="78" t="s">
        <v>1735</v>
      </c>
      <c r="B38">
        <v>7</v>
      </c>
    </row>
    <row r="39" spans="1:2">
      <c r="A39" s="77" t="s">
        <v>1748</v>
      </c>
      <c r="B39">
        <v>43</v>
      </c>
    </row>
    <row r="40" spans="1:2">
      <c r="A40" s="78" t="s">
        <v>1727</v>
      </c>
      <c r="B40">
        <v>2</v>
      </c>
    </row>
    <row r="41" spans="1:2">
      <c r="A41" s="78" t="s">
        <v>1728</v>
      </c>
      <c r="B41">
        <v>5</v>
      </c>
    </row>
    <row r="42" spans="1:2">
      <c r="A42" s="78" t="s">
        <v>1729</v>
      </c>
      <c r="B42">
        <v>4</v>
      </c>
    </row>
    <row r="43" spans="1:2">
      <c r="A43" s="78" t="s">
        <v>1730</v>
      </c>
      <c r="B43">
        <v>5</v>
      </c>
    </row>
    <row r="44" spans="1:2">
      <c r="A44" s="78" t="s">
        <v>1731</v>
      </c>
      <c r="B44">
        <v>6</v>
      </c>
    </row>
    <row r="45" spans="1:2">
      <c r="A45" s="78" t="s">
        <v>1732</v>
      </c>
      <c r="B45">
        <v>4</v>
      </c>
    </row>
    <row r="46" spans="1:2">
      <c r="A46" s="78" t="s">
        <v>1733</v>
      </c>
      <c r="B46">
        <v>6</v>
      </c>
    </row>
    <row r="47" spans="1:2">
      <c r="A47" s="78" t="s">
        <v>1734</v>
      </c>
      <c r="B47">
        <v>5</v>
      </c>
    </row>
    <row r="48" spans="1:2">
      <c r="A48" s="78" t="s">
        <v>1735</v>
      </c>
      <c r="B48">
        <v>6</v>
      </c>
    </row>
    <row r="49" spans="1:2">
      <c r="A49" s="77" t="s">
        <v>1726</v>
      </c>
      <c r="B49">
        <v>478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D6B29-CD3E-4CF5-BDA9-F61DFE08751A}">
  <dimension ref="A3:B37"/>
  <sheetViews>
    <sheetView workbookViewId="0">
      <selection activeCell="B6" sqref="B6"/>
    </sheetView>
  </sheetViews>
  <sheetFormatPr defaultRowHeight="15"/>
  <cols>
    <col min="1" max="1" width="16.42578125" bestFit="1" customWidth="1"/>
    <col min="2" max="2" width="15" bestFit="1" customWidth="1"/>
    <col min="3" max="3" width="7.5703125" bestFit="1" customWidth="1"/>
    <col min="4" max="4" width="14.5703125" bestFit="1" customWidth="1"/>
    <col min="5" max="5" width="12.28515625" bestFit="1" customWidth="1"/>
    <col min="6" max="6" width="9.140625" bestFit="1" customWidth="1"/>
    <col min="7" max="7" width="14.5703125" bestFit="1" customWidth="1"/>
    <col min="8" max="8" width="23.140625" bestFit="1" customWidth="1"/>
    <col min="9" max="9" width="11" bestFit="1" customWidth="1"/>
    <col min="10" max="11" width="12" bestFit="1" customWidth="1"/>
    <col min="12" max="12" width="16" bestFit="1" customWidth="1"/>
    <col min="13" max="13" width="10.42578125" bestFit="1" customWidth="1"/>
    <col min="14" max="14" width="11.140625" bestFit="1" customWidth="1"/>
    <col min="15" max="15" width="13.140625" bestFit="1" customWidth="1"/>
    <col min="16" max="16" width="11" bestFit="1" customWidth="1"/>
    <col min="17" max="17" width="16.5703125" bestFit="1" customWidth="1"/>
    <col min="18" max="18" width="18.42578125" bestFit="1" customWidth="1"/>
    <col min="19" max="19" width="16.42578125" bestFit="1" customWidth="1"/>
    <col min="20" max="20" width="12.5703125" bestFit="1" customWidth="1"/>
    <col min="21" max="21" width="6.28515625" bestFit="1" customWidth="1"/>
    <col min="22" max="22" width="10.42578125" bestFit="1" customWidth="1"/>
    <col min="23" max="23" width="9.140625" bestFit="1" customWidth="1"/>
    <col min="24" max="24" width="15" bestFit="1" customWidth="1"/>
    <col min="25" max="25" width="18.5703125" bestFit="1" customWidth="1"/>
    <col min="26" max="26" width="7.5703125" bestFit="1" customWidth="1"/>
    <col min="27" max="27" width="16" bestFit="1" customWidth="1"/>
    <col min="28" max="28" width="16.5703125" bestFit="1" customWidth="1"/>
    <col min="29" max="29" width="4.140625" bestFit="1" customWidth="1"/>
    <col min="30" max="30" width="14.5703125" bestFit="1" customWidth="1"/>
    <col min="31" max="31" width="19.140625" bestFit="1" customWidth="1"/>
    <col min="32" max="32" width="15" bestFit="1" customWidth="1"/>
    <col min="33" max="33" width="23.42578125" bestFit="1" customWidth="1"/>
    <col min="34" max="34" width="15.7109375" bestFit="1" customWidth="1"/>
    <col min="35" max="35" width="21.7109375" bestFit="1" customWidth="1"/>
    <col min="36" max="36" width="41.140625" bestFit="1" customWidth="1"/>
    <col min="37" max="37" width="12.5703125" bestFit="1" customWidth="1"/>
    <col min="38" max="38" width="13.85546875" bestFit="1" customWidth="1"/>
    <col min="39" max="39" width="10.140625" bestFit="1" customWidth="1"/>
    <col min="40" max="40" width="20" bestFit="1" customWidth="1"/>
    <col min="41" max="41" width="22.7109375" bestFit="1" customWidth="1"/>
    <col min="42" max="42" width="9.7109375" bestFit="1" customWidth="1"/>
    <col min="43" max="43" width="11.42578125" bestFit="1" customWidth="1"/>
    <col min="44" max="44" width="15.140625" bestFit="1" customWidth="1"/>
    <col min="45" max="45" width="13.140625" bestFit="1" customWidth="1"/>
    <col min="46" max="46" width="14" bestFit="1" customWidth="1"/>
    <col min="47" max="47" width="11.42578125" bestFit="1" customWidth="1"/>
    <col min="48" max="48" width="10.42578125" bestFit="1" customWidth="1"/>
    <col min="49" max="49" width="12.7109375" bestFit="1" customWidth="1"/>
    <col min="50" max="50" width="14" bestFit="1" customWidth="1"/>
    <col min="51" max="51" width="13.42578125" bestFit="1" customWidth="1"/>
    <col min="52" max="52" width="21.5703125" bestFit="1" customWidth="1"/>
    <col min="53" max="53" width="10.28515625" bestFit="1" customWidth="1"/>
    <col min="54" max="54" width="14.5703125" bestFit="1" customWidth="1"/>
    <col min="55" max="55" width="23.140625" bestFit="1" customWidth="1"/>
    <col min="56" max="56" width="12.85546875" bestFit="1" customWidth="1"/>
    <col min="57" max="57" width="14.140625" bestFit="1" customWidth="1"/>
    <col min="58" max="58" width="10.85546875" bestFit="1" customWidth="1"/>
    <col min="59" max="59" width="12.85546875" bestFit="1" customWidth="1"/>
    <col min="60" max="60" width="11.28515625" bestFit="1" customWidth="1"/>
    <col min="61" max="61" width="9" bestFit="1" customWidth="1"/>
    <col min="62" max="62" width="15.5703125" bestFit="1" customWidth="1"/>
    <col min="63" max="63" width="18.42578125" bestFit="1" customWidth="1"/>
    <col min="64" max="64" width="14.5703125" bestFit="1" customWidth="1"/>
    <col min="65" max="65" width="10.42578125" bestFit="1" customWidth="1"/>
    <col min="66" max="66" width="7.42578125" bestFit="1" customWidth="1"/>
    <col min="67" max="67" width="14" bestFit="1" customWidth="1"/>
    <col min="68" max="68" width="7.85546875" bestFit="1" customWidth="1"/>
    <col min="69" max="69" width="11.5703125" bestFit="1" customWidth="1"/>
    <col min="70" max="70" width="16.5703125" bestFit="1" customWidth="1"/>
    <col min="71" max="71" width="14.28515625" bestFit="1" customWidth="1"/>
    <col min="72" max="72" width="13.85546875" bestFit="1" customWidth="1"/>
    <col min="73" max="73" width="14.5703125" bestFit="1" customWidth="1"/>
    <col min="74" max="74" width="16.85546875" bestFit="1" customWidth="1"/>
    <col min="75" max="75" width="17.28515625" bestFit="1" customWidth="1"/>
    <col min="76" max="76" width="4" bestFit="1" customWidth="1"/>
    <col min="77" max="77" width="14.85546875" bestFit="1" customWidth="1"/>
    <col min="78" max="78" width="11.5703125" bestFit="1" customWidth="1"/>
    <col min="79" max="79" width="15.42578125" bestFit="1" customWidth="1"/>
    <col min="80" max="80" width="18.7109375" bestFit="1" customWidth="1"/>
    <col min="81" max="81" width="18.28515625" bestFit="1" customWidth="1"/>
    <col min="82" max="82" width="33.5703125" bestFit="1" customWidth="1"/>
    <col min="83" max="83" width="11.28515625" bestFit="1" customWidth="1"/>
    <col min="84" max="84" width="26.85546875" bestFit="1" customWidth="1"/>
    <col min="85" max="85" width="14" bestFit="1" customWidth="1"/>
    <col min="86" max="86" width="18.7109375" bestFit="1" customWidth="1"/>
    <col min="87" max="87" width="10.42578125" bestFit="1" customWidth="1"/>
    <col min="88" max="88" width="22.85546875" bestFit="1" customWidth="1"/>
    <col min="89" max="89" width="23.140625" bestFit="1" customWidth="1"/>
    <col min="90" max="90" width="18.85546875" bestFit="1" customWidth="1"/>
    <col min="91" max="91" width="15.5703125" bestFit="1" customWidth="1"/>
    <col min="92" max="92" width="23.7109375" bestFit="1" customWidth="1"/>
    <col min="93" max="93" width="17" bestFit="1" customWidth="1"/>
    <col min="94" max="94" width="22" bestFit="1" customWidth="1"/>
    <col min="95" max="95" width="11.28515625" bestFit="1" customWidth="1"/>
    <col min="96" max="96" width="22.7109375" bestFit="1" customWidth="1"/>
    <col min="97" max="97" width="15.140625" bestFit="1" customWidth="1"/>
    <col min="98" max="98" width="12.85546875" bestFit="1" customWidth="1"/>
    <col min="99" max="99" width="18" bestFit="1" customWidth="1"/>
    <col min="100" max="100" width="36.42578125" bestFit="1" customWidth="1"/>
    <col min="101" max="101" width="11.5703125" bestFit="1" customWidth="1"/>
    <col min="102" max="102" width="16.7109375" bestFit="1" customWidth="1"/>
    <col min="103" max="103" width="20.5703125" bestFit="1" customWidth="1"/>
    <col min="104" max="104" width="15.28515625" bestFit="1" customWidth="1"/>
    <col min="105" max="105" width="19.85546875" bestFit="1" customWidth="1"/>
    <col min="106" max="106" width="36" bestFit="1" customWidth="1"/>
    <col min="107" max="107" width="10" bestFit="1" customWidth="1"/>
    <col min="108" max="108" width="15.7109375" bestFit="1" customWidth="1"/>
    <col min="109" max="109" width="15.140625" bestFit="1" customWidth="1"/>
    <col min="110" max="110" width="34.28515625" bestFit="1" customWidth="1"/>
    <col min="111" max="111" width="17.42578125" bestFit="1" customWidth="1"/>
    <col min="112" max="112" width="25.28515625" bestFit="1" customWidth="1"/>
    <col min="113" max="113" width="8" bestFit="1" customWidth="1"/>
    <col min="114" max="114" width="20.42578125" bestFit="1" customWidth="1"/>
    <col min="115" max="115" width="9.7109375" bestFit="1" customWidth="1"/>
    <col min="116" max="116" width="19.85546875" bestFit="1" customWidth="1"/>
    <col min="117" max="117" width="8.28515625" bestFit="1" customWidth="1"/>
    <col min="118" max="118" width="13.7109375" bestFit="1" customWidth="1"/>
    <col min="119" max="119" width="13.5703125" bestFit="1" customWidth="1"/>
    <col min="120" max="120" width="13.85546875" bestFit="1" customWidth="1"/>
    <col min="121" max="121" width="8.42578125" bestFit="1" customWidth="1"/>
    <col min="122" max="122" width="18.140625" bestFit="1" customWidth="1"/>
    <col min="123" max="123" width="15.85546875" bestFit="1" customWidth="1"/>
    <col min="124" max="124" width="21.42578125" bestFit="1" customWidth="1"/>
    <col min="125" max="125" width="4.42578125" bestFit="1" customWidth="1"/>
    <col min="126" max="126" width="13.85546875" bestFit="1" customWidth="1"/>
    <col min="127" max="127" width="13.140625" bestFit="1" customWidth="1"/>
    <col min="128" max="128" width="15.28515625" bestFit="1" customWidth="1"/>
    <col min="129" max="129" width="7.7109375" bestFit="1" customWidth="1"/>
    <col min="130" max="130" width="12" bestFit="1" customWidth="1"/>
    <col min="131" max="131" width="16" bestFit="1" customWidth="1"/>
    <col min="132" max="132" width="21.140625" bestFit="1" customWidth="1"/>
    <col min="133" max="133" width="6.7109375" bestFit="1" customWidth="1"/>
    <col min="134" max="134" width="17.85546875" bestFit="1" customWidth="1"/>
    <col min="135" max="135" width="18.85546875" bestFit="1" customWidth="1"/>
    <col min="136" max="136" width="9.7109375" bestFit="1" customWidth="1"/>
    <col min="137" max="137" width="16.140625" bestFit="1" customWidth="1"/>
    <col min="138" max="138" width="13.7109375" bestFit="1" customWidth="1"/>
    <col min="139" max="139" width="20" bestFit="1" customWidth="1"/>
    <col min="140" max="140" width="21.140625" bestFit="1" customWidth="1"/>
    <col min="141" max="141" width="13.85546875" bestFit="1" customWidth="1"/>
    <col min="142" max="142" width="17" bestFit="1" customWidth="1"/>
    <col min="143" max="143" width="9.7109375" bestFit="1" customWidth="1"/>
    <col min="144" max="144" width="19.140625" bestFit="1" customWidth="1"/>
    <col min="145" max="145" width="13.28515625" bestFit="1" customWidth="1"/>
    <col min="146" max="146" width="25.28515625" bestFit="1" customWidth="1"/>
    <col min="147" max="147" width="12.7109375" bestFit="1" customWidth="1"/>
    <col min="148" max="148" width="11.42578125" bestFit="1" customWidth="1"/>
    <col min="149" max="149" width="7.5703125" bestFit="1" customWidth="1"/>
    <col min="150" max="150" width="8.42578125" bestFit="1" customWidth="1"/>
    <col min="151" max="151" width="27.140625" bestFit="1" customWidth="1"/>
    <col min="152" max="152" width="14.140625" bestFit="1" customWidth="1"/>
    <col min="153" max="153" width="14.28515625" bestFit="1" customWidth="1"/>
    <col min="154" max="154" width="25.140625" bestFit="1" customWidth="1"/>
    <col min="155" max="155" width="20" bestFit="1" customWidth="1"/>
    <col min="156" max="156" width="18.42578125" bestFit="1" customWidth="1"/>
    <col min="157" max="157" width="9.28515625" bestFit="1" customWidth="1"/>
    <col min="158" max="158" width="22.42578125" bestFit="1" customWidth="1"/>
    <col min="159" max="159" width="12.5703125" bestFit="1" customWidth="1"/>
    <col min="160" max="160" width="25.85546875" bestFit="1" customWidth="1"/>
    <col min="161" max="161" width="10.42578125" bestFit="1" customWidth="1"/>
    <col min="162" max="162" width="24.85546875" bestFit="1" customWidth="1"/>
    <col min="163" max="163" width="19.7109375" bestFit="1" customWidth="1"/>
    <col min="164" max="164" width="10.42578125" bestFit="1" customWidth="1"/>
    <col min="165" max="165" width="16.28515625" bestFit="1" customWidth="1"/>
    <col min="166" max="166" width="19.7109375" bestFit="1" customWidth="1"/>
    <col min="167" max="167" width="15.140625" bestFit="1" customWidth="1"/>
    <col min="168" max="168" width="8.5703125" bestFit="1" customWidth="1"/>
    <col min="169" max="169" width="4.140625" bestFit="1" customWidth="1"/>
    <col min="170" max="170" width="18.140625" bestFit="1" customWidth="1"/>
    <col min="171" max="171" width="16.7109375" bestFit="1" customWidth="1"/>
    <col min="172" max="172" width="22.85546875" bestFit="1" customWidth="1"/>
    <col min="173" max="173" width="15.28515625" bestFit="1" customWidth="1"/>
    <col min="174" max="174" width="20.7109375" bestFit="1" customWidth="1"/>
    <col min="175" max="175" width="18.5703125" bestFit="1" customWidth="1"/>
    <col min="176" max="176" width="7.85546875" bestFit="1" customWidth="1"/>
    <col min="177" max="177" width="27.7109375" bestFit="1" customWidth="1"/>
    <col min="178" max="178" width="19.42578125" bestFit="1" customWidth="1"/>
    <col min="179" max="179" width="14.7109375" bestFit="1" customWidth="1"/>
    <col min="180" max="180" width="10.85546875" bestFit="1" customWidth="1"/>
    <col min="181" max="181" width="24.7109375" bestFit="1" customWidth="1"/>
    <col min="182" max="182" width="15.5703125" bestFit="1" customWidth="1"/>
    <col min="183" max="183" width="17.42578125" bestFit="1" customWidth="1"/>
    <col min="184" max="184" width="21.42578125" bestFit="1" customWidth="1"/>
    <col min="185" max="185" width="16.5703125" bestFit="1" customWidth="1"/>
    <col min="186" max="186" width="8.140625" bestFit="1" customWidth="1"/>
    <col min="187" max="187" width="20.28515625" bestFit="1" customWidth="1"/>
    <col min="188" max="188" width="11.28515625" bestFit="1" customWidth="1"/>
    <col min="189" max="189" width="18.140625" bestFit="1" customWidth="1"/>
    <col min="190" max="190" width="10.140625" bestFit="1" customWidth="1"/>
    <col min="191" max="191" width="21.42578125" bestFit="1" customWidth="1"/>
    <col min="192" max="192" width="11.5703125" bestFit="1" customWidth="1"/>
    <col min="193" max="193" width="12.140625" bestFit="1" customWidth="1"/>
    <col min="194" max="194" width="10.85546875" bestFit="1" customWidth="1"/>
    <col min="195" max="195" width="11.5703125" bestFit="1" customWidth="1"/>
    <col min="196" max="196" width="14.42578125" bestFit="1" customWidth="1"/>
    <col min="197" max="197" width="15.140625" bestFit="1" customWidth="1"/>
    <col min="198" max="198" width="10.140625" bestFit="1" customWidth="1"/>
    <col min="199" max="199" width="21.5703125" bestFit="1" customWidth="1"/>
    <col min="200" max="200" width="14.140625" bestFit="1" customWidth="1"/>
    <col min="201" max="201" width="25.5703125" bestFit="1" customWidth="1"/>
    <col min="202" max="202" width="24.5703125" bestFit="1" customWidth="1"/>
    <col min="203" max="203" width="36" bestFit="1" customWidth="1"/>
    <col min="204" max="204" width="17.7109375" bestFit="1" customWidth="1"/>
    <col min="205" max="205" width="9.42578125" bestFit="1" customWidth="1"/>
    <col min="206" max="206" width="7.28515625" bestFit="1" customWidth="1"/>
    <col min="207" max="207" width="11.28515625" bestFit="1" customWidth="1"/>
    <col min="208" max="410" width="41.140625" bestFit="1" customWidth="1"/>
    <col min="411" max="411" width="20" bestFit="1" customWidth="1"/>
    <col min="412" max="412" width="36" bestFit="1" customWidth="1"/>
  </cols>
  <sheetData>
    <row r="3" spans="1:2">
      <c r="A3" s="76" t="s">
        <v>1725</v>
      </c>
      <c r="B3" t="s">
        <v>1749</v>
      </c>
    </row>
    <row r="4" spans="1:2">
      <c r="A4" s="77" t="s">
        <v>182</v>
      </c>
      <c r="B4">
        <v>42</v>
      </c>
    </row>
    <row r="5" spans="1:2">
      <c r="A5" s="78" t="s">
        <v>1727</v>
      </c>
      <c r="B5">
        <v>1</v>
      </c>
    </row>
    <row r="6" spans="1:2">
      <c r="A6" s="78" t="s">
        <v>1728</v>
      </c>
      <c r="B6">
        <v>4</v>
      </c>
    </row>
    <row r="7" spans="1:2">
      <c r="A7" s="78" t="s">
        <v>1729</v>
      </c>
      <c r="B7">
        <v>2</v>
      </c>
    </row>
    <row r="8" spans="1:2">
      <c r="A8" s="78" t="s">
        <v>1731</v>
      </c>
      <c r="B8">
        <v>4</v>
      </c>
    </row>
    <row r="9" spans="1:2">
      <c r="A9" s="78" t="s">
        <v>1732</v>
      </c>
      <c r="B9">
        <v>6</v>
      </c>
    </row>
    <row r="10" spans="1:2">
      <c r="A10" s="78" t="s">
        <v>1733</v>
      </c>
      <c r="B10">
        <v>14</v>
      </c>
    </row>
    <row r="11" spans="1:2">
      <c r="A11" s="78" t="s">
        <v>1734</v>
      </c>
      <c r="B11">
        <v>3</v>
      </c>
    </row>
    <row r="12" spans="1:2">
      <c r="A12" s="78" t="s">
        <v>1735</v>
      </c>
      <c r="B12">
        <v>8</v>
      </c>
    </row>
    <row r="13" spans="1:2">
      <c r="A13" s="77" t="s">
        <v>75</v>
      </c>
      <c r="B13">
        <v>26</v>
      </c>
    </row>
    <row r="14" spans="1:2">
      <c r="A14" s="78" t="s">
        <v>1727</v>
      </c>
      <c r="B14">
        <v>6</v>
      </c>
    </row>
    <row r="15" spans="1:2">
      <c r="A15" s="78" t="s">
        <v>1728</v>
      </c>
      <c r="B15">
        <v>5</v>
      </c>
    </row>
    <row r="16" spans="1:2">
      <c r="A16" s="78" t="s">
        <v>1729</v>
      </c>
      <c r="B16">
        <v>6</v>
      </c>
    </row>
    <row r="17" spans="1:2">
      <c r="A17" s="78" t="s">
        <v>1730</v>
      </c>
      <c r="B17">
        <v>9</v>
      </c>
    </row>
    <row r="18" spans="1:2">
      <c r="A18" s="77" t="s">
        <v>224</v>
      </c>
      <c r="B18">
        <v>17</v>
      </c>
    </row>
    <row r="19" spans="1:2">
      <c r="A19" s="78" t="s">
        <v>1731</v>
      </c>
      <c r="B19">
        <v>3</v>
      </c>
    </row>
    <row r="20" spans="1:2">
      <c r="A20" s="78" t="s">
        <v>1732</v>
      </c>
      <c r="B20">
        <v>1</v>
      </c>
    </row>
    <row r="21" spans="1:2">
      <c r="A21" s="78" t="s">
        <v>1733</v>
      </c>
      <c r="B21">
        <v>6</v>
      </c>
    </row>
    <row r="22" spans="1:2">
      <c r="A22" s="78" t="s">
        <v>1734</v>
      </c>
      <c r="B22">
        <v>4</v>
      </c>
    </row>
    <row r="23" spans="1:2">
      <c r="A23" s="78" t="s">
        <v>1735</v>
      </c>
      <c r="B23">
        <v>3</v>
      </c>
    </row>
    <row r="24" spans="1:2">
      <c r="A24" s="77" t="s">
        <v>515</v>
      </c>
      <c r="B24">
        <v>17</v>
      </c>
    </row>
    <row r="25" spans="1:2">
      <c r="A25" s="78" t="s">
        <v>1729</v>
      </c>
      <c r="B25">
        <v>1</v>
      </c>
    </row>
    <row r="26" spans="1:2">
      <c r="A26" s="78" t="s">
        <v>1731</v>
      </c>
      <c r="B26">
        <v>1</v>
      </c>
    </row>
    <row r="27" spans="1:2">
      <c r="A27" s="78" t="s">
        <v>1732</v>
      </c>
      <c r="B27">
        <v>3</v>
      </c>
    </row>
    <row r="28" spans="1:2">
      <c r="A28" s="78" t="s">
        <v>1733</v>
      </c>
      <c r="B28">
        <v>5</v>
      </c>
    </row>
    <row r="29" spans="1:2">
      <c r="A29" s="78" t="s">
        <v>1734</v>
      </c>
      <c r="B29">
        <v>2</v>
      </c>
    </row>
    <row r="30" spans="1:2">
      <c r="A30" s="78" t="s">
        <v>1735</v>
      </c>
      <c r="B30">
        <v>5</v>
      </c>
    </row>
    <row r="31" spans="1:2">
      <c r="A31" s="77" t="s">
        <v>800</v>
      </c>
      <c r="B31">
        <v>15</v>
      </c>
    </row>
    <row r="32" spans="1:2">
      <c r="A32" s="78" t="s">
        <v>1731</v>
      </c>
      <c r="B32">
        <v>3</v>
      </c>
    </row>
    <row r="33" spans="1:2">
      <c r="A33" s="78" t="s">
        <v>1732</v>
      </c>
      <c r="B33">
        <v>5</v>
      </c>
    </row>
    <row r="34" spans="1:2">
      <c r="A34" s="78" t="s">
        <v>1733</v>
      </c>
      <c r="B34">
        <v>4</v>
      </c>
    </row>
    <row r="35" spans="1:2">
      <c r="A35" s="78" t="s">
        <v>1734</v>
      </c>
      <c r="B35">
        <v>1</v>
      </c>
    </row>
    <row r="36" spans="1:2">
      <c r="A36" s="78" t="s">
        <v>1735</v>
      </c>
      <c r="B36">
        <v>2</v>
      </c>
    </row>
    <row r="37" spans="1:2">
      <c r="A37" s="77" t="s">
        <v>1726</v>
      </c>
      <c r="B37">
        <v>117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3C2CA-DB8E-4FB1-87E9-949769AA85E6}">
  <dimension ref="A3:B7"/>
  <sheetViews>
    <sheetView workbookViewId="0">
      <selection activeCell="L5" sqref="L5"/>
    </sheetView>
  </sheetViews>
  <sheetFormatPr defaultRowHeight="15"/>
  <cols>
    <col min="1" max="1" width="13.140625" bestFit="1" customWidth="1"/>
    <col min="2" max="2" width="25.28515625" bestFit="1" customWidth="1"/>
  </cols>
  <sheetData>
    <row r="3" spans="1:2">
      <c r="A3" s="76" t="s">
        <v>1725</v>
      </c>
      <c r="B3" t="s">
        <v>1737</v>
      </c>
    </row>
    <row r="4" spans="1:2">
      <c r="A4" s="77" t="s">
        <v>1751</v>
      </c>
      <c r="B4">
        <v>191</v>
      </c>
    </row>
    <row r="5" spans="1:2">
      <c r="A5" s="77" t="s">
        <v>1752</v>
      </c>
      <c r="B5">
        <v>273</v>
      </c>
    </row>
    <row r="6" spans="1:2">
      <c r="A6" s="77" t="s">
        <v>1753</v>
      </c>
      <c r="B6">
        <v>239</v>
      </c>
    </row>
    <row r="7" spans="1:2">
      <c r="A7" s="77" t="s">
        <v>1726</v>
      </c>
      <c r="B7">
        <v>703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50A5-3354-438C-A748-63075FBF8A0B}">
  <dimension ref="A3:H8"/>
  <sheetViews>
    <sheetView topLeftCell="A8" workbookViewId="0">
      <selection activeCell="A22" sqref="A22"/>
    </sheetView>
  </sheetViews>
  <sheetFormatPr defaultRowHeight="15"/>
  <cols>
    <col min="1" max="1" width="25.28515625" bestFit="1" customWidth="1"/>
    <col min="2" max="2" width="16.28515625" bestFit="1" customWidth="1"/>
    <col min="3" max="3" width="11.5703125" bestFit="1" customWidth="1"/>
    <col min="4" max="4" width="16.28515625" bestFit="1" customWidth="1"/>
    <col min="5" max="5" width="14.7109375" bestFit="1" customWidth="1"/>
    <col min="6" max="6" width="6.85546875" bestFit="1" customWidth="1"/>
    <col min="7" max="7" width="8" bestFit="1" customWidth="1"/>
    <col min="8" max="9" width="11.28515625" bestFit="1" customWidth="1"/>
    <col min="10" max="10" width="20.42578125" bestFit="1" customWidth="1"/>
    <col min="11" max="11" width="19.85546875" bestFit="1" customWidth="1"/>
    <col min="12" max="12" width="22" bestFit="1" customWidth="1"/>
    <col min="13" max="13" width="11.28515625" bestFit="1" customWidth="1"/>
  </cols>
  <sheetData>
    <row r="3" spans="1:8">
      <c r="A3" s="76" t="s">
        <v>1737</v>
      </c>
      <c r="B3" s="76" t="s">
        <v>1736</v>
      </c>
    </row>
    <row r="4" spans="1:8">
      <c r="A4" s="76" t="s">
        <v>1725</v>
      </c>
      <c r="B4" t="s">
        <v>66</v>
      </c>
      <c r="C4" t="s">
        <v>63</v>
      </c>
      <c r="D4" t="s">
        <v>342</v>
      </c>
      <c r="E4" t="s">
        <v>485</v>
      </c>
      <c r="F4" t="s">
        <v>276</v>
      </c>
      <c r="G4" t="s">
        <v>58</v>
      </c>
      <c r="H4" t="s">
        <v>1726</v>
      </c>
    </row>
    <row r="5" spans="1:8">
      <c r="A5" s="77" t="s">
        <v>1751</v>
      </c>
      <c r="B5">
        <v>34</v>
      </c>
      <c r="C5">
        <v>112</v>
      </c>
      <c r="D5">
        <v>4</v>
      </c>
      <c r="E5">
        <v>1</v>
      </c>
      <c r="F5">
        <v>7</v>
      </c>
      <c r="G5">
        <v>33</v>
      </c>
      <c r="H5">
        <v>191</v>
      </c>
    </row>
    <row r="6" spans="1:8">
      <c r="A6" s="77" t="s">
        <v>1752</v>
      </c>
      <c r="B6">
        <v>43</v>
      </c>
      <c r="C6">
        <v>172</v>
      </c>
      <c r="D6">
        <v>4</v>
      </c>
      <c r="E6">
        <v>3</v>
      </c>
      <c r="F6">
        <v>8</v>
      </c>
      <c r="G6">
        <v>43</v>
      </c>
      <c r="H6">
        <v>273</v>
      </c>
    </row>
    <row r="7" spans="1:8">
      <c r="A7" s="77" t="s">
        <v>1753</v>
      </c>
      <c r="B7">
        <v>32</v>
      </c>
      <c r="C7">
        <v>177</v>
      </c>
      <c r="G7">
        <v>30</v>
      </c>
      <c r="H7">
        <v>239</v>
      </c>
    </row>
    <row r="8" spans="1:8">
      <c r="A8" s="77" t="s">
        <v>1726</v>
      </c>
      <c r="B8">
        <v>109</v>
      </c>
      <c r="C8">
        <v>461</v>
      </c>
      <c r="D8">
        <v>8</v>
      </c>
      <c r="E8">
        <v>4</v>
      </c>
      <c r="F8">
        <v>15</v>
      </c>
      <c r="G8">
        <v>106</v>
      </c>
      <c r="H8">
        <v>703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F18D0-FB9D-492A-91C2-6D514B635A98}">
  <dimension ref="A3:H8"/>
  <sheetViews>
    <sheetView topLeftCell="H1" workbookViewId="0">
      <selection activeCell="A3" sqref="A3:H14"/>
    </sheetView>
  </sheetViews>
  <sheetFormatPr defaultRowHeight="15"/>
  <cols>
    <col min="1" max="1" width="26.42578125" bestFit="1" customWidth="1"/>
    <col min="2" max="2" width="16.28515625" bestFit="1" customWidth="1"/>
    <col min="3" max="3" width="11.5703125" bestFit="1" customWidth="1"/>
    <col min="4" max="4" width="16.28515625" bestFit="1" customWidth="1"/>
    <col min="5" max="5" width="14.7109375" bestFit="1" customWidth="1"/>
    <col min="6" max="7" width="8" bestFit="1" customWidth="1"/>
    <col min="8" max="9" width="11.28515625" bestFit="1" customWidth="1"/>
    <col min="10" max="10" width="20.42578125" bestFit="1" customWidth="1"/>
    <col min="11" max="11" width="19.85546875" bestFit="1" customWidth="1"/>
    <col min="12" max="12" width="22" bestFit="1" customWidth="1"/>
    <col min="13" max="13" width="11.28515625" bestFit="1" customWidth="1"/>
  </cols>
  <sheetData>
    <row r="3" spans="1:8">
      <c r="A3" s="76" t="s">
        <v>1738</v>
      </c>
      <c r="B3" s="76" t="s">
        <v>1736</v>
      </c>
    </row>
    <row r="4" spans="1:8">
      <c r="A4" s="76" t="s">
        <v>1725</v>
      </c>
      <c r="B4" t="s">
        <v>66</v>
      </c>
      <c r="C4" t="s">
        <v>63</v>
      </c>
      <c r="D4" t="s">
        <v>342</v>
      </c>
      <c r="E4" t="s">
        <v>485</v>
      </c>
      <c r="F4" t="s">
        <v>276</v>
      </c>
      <c r="G4" t="s">
        <v>58</v>
      </c>
      <c r="H4" t="s">
        <v>1726</v>
      </c>
    </row>
    <row r="5" spans="1:8">
      <c r="A5" s="77" t="s">
        <v>1751</v>
      </c>
      <c r="B5">
        <v>1538100</v>
      </c>
      <c r="C5">
        <v>6100600</v>
      </c>
      <c r="D5">
        <v>109000</v>
      </c>
      <c r="E5">
        <v>27500</v>
      </c>
      <c r="F5">
        <v>455500</v>
      </c>
      <c r="G5">
        <v>2040300</v>
      </c>
      <c r="H5">
        <v>10271000</v>
      </c>
    </row>
    <row r="6" spans="1:8">
      <c r="A6" s="77" t="s">
        <v>1752</v>
      </c>
      <c r="B6">
        <v>2467200</v>
      </c>
      <c r="C6">
        <v>9387830</v>
      </c>
      <c r="D6">
        <v>243500</v>
      </c>
      <c r="E6">
        <v>269000</v>
      </c>
      <c r="F6">
        <v>617000</v>
      </c>
      <c r="G6">
        <v>2295700</v>
      </c>
      <c r="H6">
        <v>15280230</v>
      </c>
    </row>
    <row r="7" spans="1:8">
      <c r="A7" s="77" t="s">
        <v>1753</v>
      </c>
      <c r="B7">
        <v>1325300</v>
      </c>
      <c r="C7">
        <v>7791460</v>
      </c>
      <c r="G7">
        <v>1535400</v>
      </c>
      <c r="H7">
        <v>10652160</v>
      </c>
    </row>
    <row r="8" spans="1:8">
      <c r="A8" s="77" t="s">
        <v>1726</v>
      </c>
      <c r="B8">
        <v>5330600</v>
      </c>
      <c r="C8">
        <v>23279890</v>
      </c>
      <c r="D8">
        <v>352500</v>
      </c>
      <c r="E8">
        <v>296500</v>
      </c>
      <c r="F8">
        <v>1072500</v>
      </c>
      <c r="G8">
        <v>5871400</v>
      </c>
      <c r="H8">
        <v>36203390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4333-62CA-403E-9F66-17EBF5D9B166}">
  <dimension ref="A3:H8"/>
  <sheetViews>
    <sheetView topLeftCell="A12" workbookViewId="0">
      <selection activeCell="K22" sqref="K22"/>
    </sheetView>
  </sheetViews>
  <sheetFormatPr defaultRowHeight="15"/>
  <cols>
    <col min="1" max="1" width="30" bestFit="1" customWidth="1"/>
    <col min="2" max="2" width="16.28515625" bestFit="1" customWidth="1"/>
    <col min="3" max="3" width="11.5703125" bestFit="1" customWidth="1"/>
    <col min="4" max="4" width="16.28515625" bestFit="1" customWidth="1"/>
    <col min="5" max="5" width="14.7109375" bestFit="1" customWidth="1"/>
    <col min="6" max="6" width="6.85546875" bestFit="1" customWidth="1"/>
    <col min="7" max="7" width="8" bestFit="1" customWidth="1"/>
    <col min="8" max="9" width="11.28515625" bestFit="1" customWidth="1"/>
    <col min="10" max="10" width="20.42578125" bestFit="1" customWidth="1"/>
    <col min="11" max="11" width="19.85546875" bestFit="1" customWidth="1"/>
    <col min="12" max="12" width="22" bestFit="1" customWidth="1"/>
    <col min="13" max="13" width="11.28515625" bestFit="1" customWidth="1"/>
    <col min="14" max="20" width="6" bestFit="1" customWidth="1"/>
    <col min="21" max="21" width="16.5703125" bestFit="1" customWidth="1"/>
    <col min="22" max="22" width="18.140625" bestFit="1" customWidth="1"/>
    <col min="23" max="25" width="6" bestFit="1" customWidth="1"/>
    <col min="26" max="26" width="21.42578125" bestFit="1" customWidth="1"/>
    <col min="27" max="27" width="16.5703125" bestFit="1" customWidth="1"/>
    <col min="28" max="28" width="6" bestFit="1" customWidth="1"/>
    <col min="29" max="29" width="7" bestFit="1" customWidth="1"/>
    <col min="30" max="30" width="19.7109375" bestFit="1" customWidth="1"/>
    <col min="31" max="31" width="8.7109375" bestFit="1" customWidth="1"/>
    <col min="32" max="32" width="7" bestFit="1" customWidth="1"/>
    <col min="33" max="35" width="6" bestFit="1" customWidth="1"/>
    <col min="36" max="36" width="11.7109375" bestFit="1" customWidth="1"/>
    <col min="37" max="37" width="9.85546875" bestFit="1" customWidth="1"/>
    <col min="38" max="38" width="7" bestFit="1" customWidth="1"/>
    <col min="39" max="45" width="6" bestFit="1" customWidth="1"/>
    <col min="46" max="46" width="12.85546875" bestFit="1" customWidth="1"/>
    <col min="47" max="47" width="11.28515625" bestFit="1" customWidth="1"/>
  </cols>
  <sheetData>
    <row r="3" spans="1:8">
      <c r="A3" s="76" t="s">
        <v>1739</v>
      </c>
      <c r="B3" s="76" t="s">
        <v>1736</v>
      </c>
    </row>
    <row r="4" spans="1:8">
      <c r="A4" s="76" t="s">
        <v>1725</v>
      </c>
      <c r="B4" t="s">
        <v>66</v>
      </c>
      <c r="C4" t="s">
        <v>63</v>
      </c>
      <c r="D4" t="s">
        <v>342</v>
      </c>
      <c r="E4" t="s">
        <v>485</v>
      </c>
      <c r="F4" t="s">
        <v>276</v>
      </c>
      <c r="G4" t="s">
        <v>58</v>
      </c>
      <c r="H4" t="s">
        <v>1726</v>
      </c>
    </row>
    <row r="5" spans="1:8">
      <c r="A5" s="77" t="s">
        <v>1751</v>
      </c>
      <c r="B5" s="79">
        <v>45238.23529411765</v>
      </c>
      <c r="C5" s="79">
        <v>54469.642857142855</v>
      </c>
      <c r="D5" s="79">
        <v>27250</v>
      </c>
      <c r="E5" s="79">
        <v>27500</v>
      </c>
      <c r="F5" s="79">
        <v>65071.428571428572</v>
      </c>
      <c r="G5" s="79">
        <v>61827.272727272728</v>
      </c>
      <c r="H5" s="79">
        <v>53774.869109947642</v>
      </c>
    </row>
    <row r="6" spans="1:8">
      <c r="A6" s="77" t="s">
        <v>1752</v>
      </c>
      <c r="B6" s="79">
        <v>57376.744186046511</v>
      </c>
      <c r="C6" s="79">
        <v>54580.406976744183</v>
      </c>
      <c r="D6" s="79">
        <v>60875</v>
      </c>
      <c r="E6" s="79">
        <v>89666.666666666672</v>
      </c>
      <c r="F6" s="79">
        <v>77125</v>
      </c>
      <c r="G6" s="79">
        <v>53388.372093023259</v>
      </c>
      <c r="H6" s="79">
        <v>55971.538461538461</v>
      </c>
    </row>
    <row r="7" spans="1:8">
      <c r="A7" s="77" t="s">
        <v>1753</v>
      </c>
      <c r="B7" s="79">
        <v>41415.625</v>
      </c>
      <c r="C7" s="79">
        <v>44019.548022598872</v>
      </c>
      <c r="D7" s="79"/>
      <c r="E7" s="79"/>
      <c r="F7" s="79"/>
      <c r="G7" s="79">
        <v>51180</v>
      </c>
      <c r="H7" s="79">
        <v>44569.707112970711</v>
      </c>
    </row>
    <row r="8" spans="1:8">
      <c r="A8" s="77" t="s">
        <v>1726</v>
      </c>
      <c r="B8" s="79">
        <v>48904.587155963301</v>
      </c>
      <c r="C8" s="79">
        <v>50498.676789587851</v>
      </c>
      <c r="D8" s="79">
        <v>44062.5</v>
      </c>
      <c r="E8" s="79">
        <v>74125</v>
      </c>
      <c r="F8" s="79">
        <v>71500</v>
      </c>
      <c r="G8" s="79">
        <v>55390.566037735851</v>
      </c>
      <c r="H8" s="79">
        <v>51498.42105263158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8353-7DCE-4ED9-A2A9-900D4F2591CE}">
  <dimension ref="A3:B23"/>
  <sheetViews>
    <sheetView workbookViewId="0">
      <selection activeCell="P12" sqref="P12"/>
    </sheetView>
  </sheetViews>
  <sheetFormatPr defaultRowHeight="15"/>
  <cols>
    <col min="1" max="1" width="13.140625" bestFit="1" customWidth="1"/>
    <col min="2" max="2" width="14.42578125" bestFit="1" customWidth="1"/>
    <col min="3" max="3" width="31" bestFit="1" customWidth="1"/>
    <col min="4" max="5" width="4.28515625" bestFit="1" customWidth="1"/>
    <col min="6" max="6" width="4.5703125" bestFit="1" customWidth="1"/>
    <col min="7" max="7" width="4.85546875" bestFit="1" customWidth="1"/>
    <col min="8" max="8" width="4" bestFit="1" customWidth="1"/>
    <col min="9" max="9" width="3.42578125" bestFit="1" customWidth="1"/>
    <col min="10" max="10" width="4.140625" bestFit="1" customWidth="1"/>
    <col min="11" max="11" width="11.28515625" bestFit="1" customWidth="1"/>
    <col min="12" max="12" width="9.85546875" bestFit="1" customWidth="1"/>
    <col min="13" max="13" width="9.5703125" bestFit="1" customWidth="1"/>
    <col min="14" max="14" width="9" bestFit="1" customWidth="1"/>
    <col min="15" max="15" width="8.140625" bestFit="1" customWidth="1"/>
    <col min="16" max="16" width="16.5703125" bestFit="1" customWidth="1"/>
    <col min="17" max="17" width="4.28515625" bestFit="1" customWidth="1"/>
    <col min="18" max="18" width="6.85546875" bestFit="1" customWidth="1"/>
    <col min="19" max="19" width="6.28515625" bestFit="1" customWidth="1"/>
    <col min="20" max="20" width="8.5703125" bestFit="1" customWidth="1"/>
    <col min="21" max="21" width="5.28515625" bestFit="1" customWidth="1"/>
    <col min="22" max="22" width="9" bestFit="1" customWidth="1"/>
    <col min="23" max="23" width="5.7109375" bestFit="1" customWidth="1"/>
    <col min="24" max="24" width="21.7109375" bestFit="1" customWidth="1"/>
    <col min="25" max="25" width="6.7109375" bestFit="1" customWidth="1"/>
    <col min="26" max="26" width="4.85546875" bestFit="1" customWidth="1"/>
    <col min="27" max="27" width="6.85546875" bestFit="1" customWidth="1"/>
    <col min="28" max="28" width="9.28515625" bestFit="1" customWidth="1"/>
    <col min="29" max="29" width="12.85546875" bestFit="1" customWidth="1"/>
    <col min="30" max="30" width="9.28515625" bestFit="1" customWidth="1"/>
    <col min="31" max="31" width="8.42578125" bestFit="1" customWidth="1"/>
    <col min="32" max="32" width="9.7109375" bestFit="1" customWidth="1"/>
    <col min="33" max="33" width="6" bestFit="1" customWidth="1"/>
    <col min="34" max="34" width="15.7109375" bestFit="1" customWidth="1"/>
    <col min="35" max="35" width="10.140625" bestFit="1" customWidth="1"/>
    <col min="36" max="36" width="12.140625" bestFit="1" customWidth="1"/>
    <col min="37" max="37" width="4.5703125" bestFit="1" customWidth="1"/>
    <col min="38" max="38" width="7.140625" bestFit="1" customWidth="1"/>
    <col min="39" max="39" width="12.85546875" bestFit="1" customWidth="1"/>
    <col min="40" max="40" width="6.7109375" bestFit="1" customWidth="1"/>
    <col min="41" max="41" width="9.5703125" bestFit="1" customWidth="1"/>
    <col min="42" max="42" width="7.7109375" bestFit="1" customWidth="1"/>
    <col min="43" max="43" width="8.140625" bestFit="1" customWidth="1"/>
    <col min="44" max="44" width="8.85546875" bestFit="1" customWidth="1"/>
    <col min="45" max="45" width="16.42578125" bestFit="1" customWidth="1"/>
    <col min="46" max="46" width="12.85546875" bestFit="1" customWidth="1"/>
    <col min="47" max="47" width="10.28515625" bestFit="1" customWidth="1"/>
    <col min="48" max="48" width="9.85546875" bestFit="1" customWidth="1"/>
    <col min="49" max="49" width="13.140625" bestFit="1" customWidth="1"/>
    <col min="50" max="50" width="6.140625" bestFit="1" customWidth="1"/>
    <col min="51" max="51" width="4.5703125" bestFit="1" customWidth="1"/>
    <col min="52" max="52" width="14.140625" bestFit="1" customWidth="1"/>
    <col min="53" max="53" width="12.28515625" bestFit="1" customWidth="1"/>
    <col min="54" max="54" width="7.42578125" bestFit="1" customWidth="1"/>
    <col min="55" max="55" width="4.140625" bestFit="1" customWidth="1"/>
    <col min="56" max="56" width="9.7109375" bestFit="1" customWidth="1"/>
    <col min="57" max="57" width="12.42578125" bestFit="1" customWidth="1"/>
    <col min="58" max="58" width="9.28515625" bestFit="1" customWidth="1"/>
    <col min="59" max="59" width="14.28515625" bestFit="1" customWidth="1"/>
    <col min="60" max="60" width="4.85546875" bestFit="1" customWidth="1"/>
    <col min="61" max="61" width="11.85546875" bestFit="1" customWidth="1"/>
    <col min="62" max="62" width="13.85546875" bestFit="1" customWidth="1"/>
    <col min="63" max="63" width="10.7109375" bestFit="1" customWidth="1"/>
    <col min="64" max="64" width="10.42578125" bestFit="1" customWidth="1"/>
    <col min="65" max="65" width="9" bestFit="1" customWidth="1"/>
    <col min="66" max="66" width="8.5703125" bestFit="1" customWidth="1"/>
    <col min="67" max="67" width="8.85546875" bestFit="1" customWidth="1"/>
    <col min="68" max="68" width="8.28515625" bestFit="1" customWidth="1"/>
    <col min="69" max="69" width="26.7109375" bestFit="1" customWidth="1"/>
    <col min="70" max="70" width="5.85546875" bestFit="1" customWidth="1"/>
    <col min="71" max="71" width="6" bestFit="1" customWidth="1"/>
    <col min="72" max="72" width="14.85546875" bestFit="1" customWidth="1"/>
    <col min="73" max="73" width="11.42578125" bestFit="1" customWidth="1"/>
    <col min="74" max="74" width="12.5703125" bestFit="1" customWidth="1"/>
    <col min="75" max="75" width="12.85546875" bestFit="1" customWidth="1"/>
    <col min="76" max="76" width="16.85546875" bestFit="1" customWidth="1"/>
    <col min="77" max="77" width="9.42578125" bestFit="1" customWidth="1"/>
    <col min="78" max="78" width="23.42578125" bestFit="1" customWidth="1"/>
    <col min="79" max="79" width="6.85546875" bestFit="1" customWidth="1"/>
    <col min="80" max="80" width="11.7109375" bestFit="1" customWidth="1"/>
    <col min="81" max="81" width="20" bestFit="1" customWidth="1"/>
    <col min="82" max="82" width="10.85546875" bestFit="1" customWidth="1"/>
    <col min="83" max="83" width="7" bestFit="1" customWidth="1"/>
    <col min="84" max="84" width="7.28515625" bestFit="1" customWidth="1"/>
    <col min="85" max="85" width="11.28515625" bestFit="1" customWidth="1"/>
    <col min="86" max="86" width="15.5703125" bestFit="1" customWidth="1"/>
    <col min="87" max="87" width="21.42578125" bestFit="1" customWidth="1"/>
    <col min="88" max="89" width="11.28515625" bestFit="1" customWidth="1"/>
    <col min="90" max="90" width="15" bestFit="1" customWidth="1"/>
    <col min="91" max="91" width="11.5703125" bestFit="1" customWidth="1"/>
    <col min="92" max="92" width="14.5703125" bestFit="1" customWidth="1"/>
    <col min="93" max="93" width="10.42578125" bestFit="1" customWidth="1"/>
    <col min="94" max="94" width="10.85546875" bestFit="1" customWidth="1"/>
    <col min="95" max="95" width="4.140625" bestFit="1" customWidth="1"/>
    <col min="96" max="96" width="7.140625" bestFit="1" customWidth="1"/>
    <col min="97" max="97" width="4.5703125" bestFit="1" customWidth="1"/>
    <col min="98" max="98" width="9" bestFit="1" customWidth="1"/>
    <col min="99" max="99" width="12.5703125" bestFit="1" customWidth="1"/>
    <col min="100" max="100" width="6.7109375" bestFit="1" customWidth="1"/>
    <col min="101" max="101" width="9" bestFit="1" customWidth="1"/>
    <col min="102" max="102" width="12.85546875" bestFit="1" customWidth="1"/>
    <col min="103" max="103" width="12.5703125" bestFit="1" customWidth="1"/>
    <col min="104" max="104" width="16.85546875" bestFit="1" customWidth="1"/>
    <col min="105" max="105" width="12.85546875" bestFit="1" customWidth="1"/>
    <col min="106" max="106" width="6.28515625" bestFit="1" customWidth="1"/>
    <col min="107" max="107" width="6.7109375" bestFit="1" customWidth="1"/>
    <col min="108" max="108" width="11.140625" bestFit="1" customWidth="1"/>
    <col min="109" max="109" width="10" bestFit="1" customWidth="1"/>
    <col min="110" max="110" width="11.42578125" bestFit="1" customWidth="1"/>
    <col min="111" max="111" width="10.28515625" bestFit="1" customWidth="1"/>
    <col min="112" max="112" width="15.28515625" bestFit="1" customWidth="1"/>
    <col min="113" max="113" width="14.140625" bestFit="1" customWidth="1"/>
    <col min="114" max="114" width="6.7109375" bestFit="1" customWidth="1"/>
    <col min="115" max="115" width="4.140625" bestFit="1" customWidth="1"/>
    <col min="116" max="116" width="4.28515625" bestFit="1" customWidth="1"/>
    <col min="117" max="117" width="9.5703125" bestFit="1" customWidth="1"/>
    <col min="118" max="118" width="6.7109375" bestFit="1" customWidth="1"/>
    <col min="119" max="119" width="10.85546875" bestFit="1" customWidth="1"/>
    <col min="120" max="120" width="8.85546875" bestFit="1" customWidth="1"/>
    <col min="121" max="121" width="6.85546875" bestFit="1" customWidth="1"/>
    <col min="122" max="122" width="8.140625" bestFit="1" customWidth="1"/>
    <col min="123" max="123" width="8" bestFit="1" customWidth="1"/>
    <col min="124" max="124" width="11.5703125" bestFit="1" customWidth="1"/>
    <col min="125" max="125" width="12.7109375" bestFit="1" customWidth="1"/>
    <col min="126" max="126" width="15.140625" bestFit="1" customWidth="1"/>
    <col min="127" max="127" width="15.85546875" bestFit="1" customWidth="1"/>
    <col min="128" max="128" width="10.42578125" bestFit="1" customWidth="1"/>
    <col min="129" max="129" width="15.7109375" bestFit="1" customWidth="1"/>
    <col min="130" max="130" width="7.28515625" bestFit="1" customWidth="1"/>
    <col min="131" max="131" width="11.28515625" bestFit="1" customWidth="1"/>
  </cols>
  <sheetData>
    <row r="3" spans="1:2">
      <c r="A3" s="76" t="s">
        <v>1725</v>
      </c>
      <c r="B3" t="s">
        <v>1740</v>
      </c>
    </row>
    <row r="4" spans="1:2">
      <c r="A4" s="77" t="s">
        <v>725</v>
      </c>
      <c r="B4">
        <v>260</v>
      </c>
    </row>
    <row r="5" spans="1:2">
      <c r="A5" s="78" t="s">
        <v>1751</v>
      </c>
      <c r="B5">
        <v>66</v>
      </c>
    </row>
    <row r="6" spans="1:2">
      <c r="A6" s="78" t="s">
        <v>1752</v>
      </c>
      <c r="B6">
        <v>93</v>
      </c>
    </row>
    <row r="7" spans="1:2">
      <c r="A7" s="78" t="s">
        <v>1753</v>
      </c>
      <c r="B7">
        <v>101</v>
      </c>
    </row>
    <row r="8" spans="1:2">
      <c r="A8" s="77" t="s">
        <v>736</v>
      </c>
      <c r="B8">
        <v>69</v>
      </c>
    </row>
    <row r="9" spans="1:2">
      <c r="A9" s="78" t="s">
        <v>1752</v>
      </c>
      <c r="B9">
        <v>26</v>
      </c>
    </row>
    <row r="10" spans="1:2">
      <c r="A10" s="78" t="s">
        <v>1753</v>
      </c>
      <c r="B10">
        <v>43</v>
      </c>
    </row>
    <row r="11" spans="1:2">
      <c r="A11" s="77" t="s">
        <v>781</v>
      </c>
      <c r="B11">
        <v>54</v>
      </c>
    </row>
    <row r="12" spans="1:2">
      <c r="A12" s="78" t="s">
        <v>1751</v>
      </c>
      <c r="B12">
        <v>15</v>
      </c>
    </row>
    <row r="13" spans="1:2">
      <c r="A13" s="78" t="s">
        <v>1752</v>
      </c>
      <c r="B13">
        <v>20</v>
      </c>
    </row>
    <row r="14" spans="1:2">
      <c r="A14" s="78" t="s">
        <v>1753</v>
      </c>
      <c r="B14">
        <v>19</v>
      </c>
    </row>
    <row r="15" spans="1:2">
      <c r="A15" s="77" t="s">
        <v>769</v>
      </c>
      <c r="B15">
        <v>52</v>
      </c>
    </row>
    <row r="16" spans="1:2">
      <c r="A16" s="78" t="s">
        <v>1751</v>
      </c>
      <c r="B16">
        <v>3</v>
      </c>
    </row>
    <row r="17" spans="1:2">
      <c r="A17" s="78" t="s">
        <v>1752</v>
      </c>
      <c r="B17">
        <v>24</v>
      </c>
    </row>
    <row r="18" spans="1:2">
      <c r="A18" s="78" t="s">
        <v>1753</v>
      </c>
      <c r="B18">
        <v>25</v>
      </c>
    </row>
    <row r="19" spans="1:2">
      <c r="A19" s="77" t="s">
        <v>1748</v>
      </c>
      <c r="B19">
        <v>43</v>
      </c>
    </row>
    <row r="20" spans="1:2">
      <c r="A20" s="78" t="s">
        <v>1751</v>
      </c>
      <c r="B20">
        <v>11</v>
      </c>
    </row>
    <row r="21" spans="1:2">
      <c r="A21" s="78" t="s">
        <v>1752</v>
      </c>
      <c r="B21">
        <v>15</v>
      </c>
    </row>
    <row r="22" spans="1:2">
      <c r="A22" s="78" t="s">
        <v>1753</v>
      </c>
      <c r="B22">
        <v>17</v>
      </c>
    </row>
    <row r="23" spans="1:2">
      <c r="A23" s="77" t="s">
        <v>1726</v>
      </c>
      <c r="B23">
        <v>478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B4CE6-CBC8-4CE1-A1BC-8CD2C955ED63}">
  <dimension ref="A3:B21"/>
  <sheetViews>
    <sheetView workbookViewId="0">
      <selection activeCell="L10" sqref="L10"/>
    </sheetView>
  </sheetViews>
  <sheetFormatPr defaultRowHeight="15"/>
  <cols>
    <col min="1" max="1" width="16.42578125" bestFit="1" customWidth="1"/>
    <col min="2" max="2" width="15" bestFit="1" customWidth="1"/>
    <col min="3" max="3" width="7.5703125" bestFit="1" customWidth="1"/>
    <col min="4" max="4" width="14.5703125" bestFit="1" customWidth="1"/>
    <col min="5" max="5" width="12.28515625" bestFit="1" customWidth="1"/>
    <col min="6" max="6" width="9.140625" bestFit="1" customWidth="1"/>
    <col min="7" max="7" width="14.5703125" bestFit="1" customWidth="1"/>
    <col min="8" max="8" width="23.140625" bestFit="1" customWidth="1"/>
    <col min="9" max="9" width="11" bestFit="1" customWidth="1"/>
    <col min="10" max="11" width="12" bestFit="1" customWidth="1"/>
    <col min="12" max="12" width="16" bestFit="1" customWidth="1"/>
    <col min="13" max="13" width="10.42578125" bestFit="1" customWidth="1"/>
    <col min="14" max="14" width="11.140625" bestFit="1" customWidth="1"/>
    <col min="15" max="15" width="13.140625" bestFit="1" customWidth="1"/>
    <col min="16" max="16" width="11" bestFit="1" customWidth="1"/>
    <col min="17" max="17" width="16.5703125" bestFit="1" customWidth="1"/>
    <col min="18" max="18" width="18.42578125" bestFit="1" customWidth="1"/>
    <col min="19" max="19" width="16.42578125" bestFit="1" customWidth="1"/>
    <col min="20" max="20" width="12.5703125" bestFit="1" customWidth="1"/>
    <col min="21" max="21" width="6.28515625" bestFit="1" customWidth="1"/>
    <col min="22" max="22" width="10.42578125" bestFit="1" customWidth="1"/>
    <col min="23" max="23" width="9.140625" bestFit="1" customWidth="1"/>
    <col min="24" max="24" width="15" bestFit="1" customWidth="1"/>
    <col min="25" max="25" width="18.5703125" bestFit="1" customWidth="1"/>
    <col min="26" max="26" width="7.5703125" bestFit="1" customWidth="1"/>
    <col min="27" max="27" width="16" bestFit="1" customWidth="1"/>
    <col min="28" max="28" width="16.5703125" bestFit="1" customWidth="1"/>
    <col min="29" max="29" width="4.140625" bestFit="1" customWidth="1"/>
    <col min="30" max="30" width="14.5703125" bestFit="1" customWidth="1"/>
    <col min="31" max="31" width="19.140625" bestFit="1" customWidth="1"/>
    <col min="32" max="32" width="15" bestFit="1" customWidth="1"/>
    <col min="33" max="33" width="23.42578125" bestFit="1" customWidth="1"/>
    <col min="34" max="34" width="15.7109375" bestFit="1" customWidth="1"/>
    <col min="35" max="35" width="21.7109375" bestFit="1" customWidth="1"/>
    <col min="36" max="36" width="41.140625" bestFit="1" customWidth="1"/>
    <col min="37" max="37" width="12.5703125" bestFit="1" customWidth="1"/>
    <col min="38" max="38" width="13.85546875" bestFit="1" customWidth="1"/>
    <col min="39" max="39" width="10.140625" bestFit="1" customWidth="1"/>
    <col min="40" max="40" width="20" bestFit="1" customWidth="1"/>
    <col min="41" max="41" width="22.7109375" bestFit="1" customWidth="1"/>
    <col min="42" max="42" width="9.7109375" bestFit="1" customWidth="1"/>
    <col min="43" max="43" width="11.42578125" bestFit="1" customWidth="1"/>
    <col min="44" max="44" width="15.140625" bestFit="1" customWidth="1"/>
    <col min="45" max="45" width="13.140625" bestFit="1" customWidth="1"/>
    <col min="46" max="46" width="14" bestFit="1" customWidth="1"/>
    <col min="47" max="47" width="11.42578125" bestFit="1" customWidth="1"/>
    <col min="48" max="48" width="10.42578125" bestFit="1" customWidth="1"/>
    <col min="49" max="49" width="12.7109375" bestFit="1" customWidth="1"/>
    <col min="50" max="50" width="14" bestFit="1" customWidth="1"/>
    <col min="51" max="51" width="13.42578125" bestFit="1" customWidth="1"/>
    <col min="52" max="52" width="21.5703125" bestFit="1" customWidth="1"/>
    <col min="53" max="53" width="10.28515625" bestFit="1" customWidth="1"/>
    <col min="54" max="54" width="14.5703125" bestFit="1" customWidth="1"/>
    <col min="55" max="55" width="23.140625" bestFit="1" customWidth="1"/>
    <col min="56" max="56" width="12.85546875" bestFit="1" customWidth="1"/>
    <col min="57" max="57" width="14.140625" bestFit="1" customWidth="1"/>
    <col min="58" max="58" width="10.85546875" bestFit="1" customWidth="1"/>
    <col min="59" max="59" width="12.85546875" bestFit="1" customWidth="1"/>
    <col min="60" max="60" width="11.28515625" bestFit="1" customWidth="1"/>
    <col min="61" max="61" width="9" bestFit="1" customWidth="1"/>
    <col min="62" max="62" width="15.5703125" bestFit="1" customWidth="1"/>
    <col min="63" max="63" width="18.42578125" bestFit="1" customWidth="1"/>
    <col min="64" max="64" width="14.5703125" bestFit="1" customWidth="1"/>
    <col min="65" max="65" width="10.42578125" bestFit="1" customWidth="1"/>
    <col min="66" max="66" width="7.42578125" bestFit="1" customWidth="1"/>
    <col min="67" max="67" width="14" bestFit="1" customWidth="1"/>
    <col min="68" max="68" width="7.85546875" bestFit="1" customWidth="1"/>
    <col min="69" max="69" width="11.5703125" bestFit="1" customWidth="1"/>
    <col min="70" max="70" width="16.5703125" bestFit="1" customWidth="1"/>
    <col min="71" max="71" width="14.28515625" bestFit="1" customWidth="1"/>
    <col min="72" max="72" width="13.85546875" bestFit="1" customWidth="1"/>
    <col min="73" max="73" width="14.5703125" bestFit="1" customWidth="1"/>
    <col min="74" max="74" width="16.85546875" bestFit="1" customWidth="1"/>
    <col min="75" max="75" width="17.28515625" bestFit="1" customWidth="1"/>
    <col min="76" max="76" width="4" bestFit="1" customWidth="1"/>
    <col min="77" max="77" width="14.85546875" bestFit="1" customWidth="1"/>
    <col min="78" max="78" width="11.5703125" bestFit="1" customWidth="1"/>
    <col min="79" max="79" width="15.42578125" bestFit="1" customWidth="1"/>
    <col min="80" max="80" width="18.7109375" bestFit="1" customWidth="1"/>
    <col min="81" max="81" width="18.28515625" bestFit="1" customWidth="1"/>
    <col min="82" max="82" width="33.5703125" bestFit="1" customWidth="1"/>
    <col min="83" max="83" width="11.28515625" bestFit="1" customWidth="1"/>
    <col min="84" max="84" width="26.85546875" bestFit="1" customWidth="1"/>
    <col min="85" max="85" width="14" bestFit="1" customWidth="1"/>
    <col min="86" max="86" width="18.7109375" bestFit="1" customWidth="1"/>
    <col min="87" max="87" width="10.42578125" bestFit="1" customWidth="1"/>
    <col min="88" max="88" width="22.85546875" bestFit="1" customWidth="1"/>
    <col min="89" max="89" width="23.140625" bestFit="1" customWidth="1"/>
    <col min="90" max="90" width="18.85546875" bestFit="1" customWidth="1"/>
    <col min="91" max="91" width="15.5703125" bestFit="1" customWidth="1"/>
    <col min="92" max="92" width="23.7109375" bestFit="1" customWidth="1"/>
    <col min="93" max="93" width="17" bestFit="1" customWidth="1"/>
    <col min="94" max="94" width="22" bestFit="1" customWidth="1"/>
    <col min="95" max="95" width="11.28515625" bestFit="1" customWidth="1"/>
    <col min="96" max="96" width="22.7109375" bestFit="1" customWidth="1"/>
    <col min="97" max="97" width="15.140625" bestFit="1" customWidth="1"/>
    <col min="98" max="98" width="12.85546875" bestFit="1" customWidth="1"/>
    <col min="99" max="99" width="18" bestFit="1" customWidth="1"/>
    <col min="100" max="100" width="36.42578125" bestFit="1" customWidth="1"/>
    <col min="101" max="101" width="11.5703125" bestFit="1" customWidth="1"/>
    <col min="102" max="102" width="16.7109375" bestFit="1" customWidth="1"/>
    <col min="103" max="103" width="20.5703125" bestFit="1" customWidth="1"/>
    <col min="104" max="104" width="15.28515625" bestFit="1" customWidth="1"/>
    <col min="105" max="105" width="19.85546875" bestFit="1" customWidth="1"/>
    <col min="106" max="106" width="36" bestFit="1" customWidth="1"/>
    <col min="107" max="107" width="10" bestFit="1" customWidth="1"/>
    <col min="108" max="108" width="15.7109375" bestFit="1" customWidth="1"/>
    <col min="109" max="109" width="15.140625" bestFit="1" customWidth="1"/>
    <col min="110" max="110" width="34.28515625" bestFit="1" customWidth="1"/>
    <col min="111" max="111" width="17.42578125" bestFit="1" customWidth="1"/>
    <col min="112" max="112" width="25.28515625" bestFit="1" customWidth="1"/>
    <col min="113" max="113" width="8" bestFit="1" customWidth="1"/>
    <col min="114" max="114" width="20.42578125" bestFit="1" customWidth="1"/>
    <col min="115" max="115" width="9.7109375" bestFit="1" customWidth="1"/>
    <col min="116" max="116" width="19.85546875" bestFit="1" customWidth="1"/>
    <col min="117" max="117" width="8.28515625" bestFit="1" customWidth="1"/>
    <col min="118" max="118" width="13.7109375" bestFit="1" customWidth="1"/>
    <col min="119" max="119" width="13.5703125" bestFit="1" customWidth="1"/>
    <col min="120" max="120" width="13.85546875" bestFit="1" customWidth="1"/>
    <col min="121" max="121" width="8.42578125" bestFit="1" customWidth="1"/>
    <col min="122" max="122" width="18.140625" bestFit="1" customWidth="1"/>
    <col min="123" max="123" width="15.85546875" bestFit="1" customWidth="1"/>
    <col min="124" max="124" width="21.42578125" bestFit="1" customWidth="1"/>
    <col min="125" max="125" width="4.42578125" bestFit="1" customWidth="1"/>
    <col min="126" max="126" width="13.85546875" bestFit="1" customWidth="1"/>
    <col min="127" max="127" width="13.140625" bestFit="1" customWidth="1"/>
    <col min="128" max="128" width="15.28515625" bestFit="1" customWidth="1"/>
    <col min="129" max="129" width="7.7109375" bestFit="1" customWidth="1"/>
    <col min="130" max="130" width="12" bestFit="1" customWidth="1"/>
    <col min="131" max="131" width="16" bestFit="1" customWidth="1"/>
    <col min="132" max="132" width="21.140625" bestFit="1" customWidth="1"/>
    <col min="133" max="133" width="6.7109375" bestFit="1" customWidth="1"/>
    <col min="134" max="134" width="17.85546875" bestFit="1" customWidth="1"/>
    <col min="135" max="135" width="18.85546875" bestFit="1" customWidth="1"/>
    <col min="136" max="136" width="9.7109375" bestFit="1" customWidth="1"/>
    <col min="137" max="137" width="16.140625" bestFit="1" customWidth="1"/>
    <col min="138" max="138" width="13.7109375" bestFit="1" customWidth="1"/>
    <col min="139" max="139" width="20" bestFit="1" customWidth="1"/>
    <col min="140" max="140" width="21.140625" bestFit="1" customWidth="1"/>
    <col min="141" max="141" width="13.85546875" bestFit="1" customWidth="1"/>
    <col min="142" max="142" width="17" bestFit="1" customWidth="1"/>
    <col min="143" max="143" width="9.7109375" bestFit="1" customWidth="1"/>
    <col min="144" max="144" width="19.140625" bestFit="1" customWidth="1"/>
    <col min="145" max="145" width="13.28515625" bestFit="1" customWidth="1"/>
    <col min="146" max="146" width="25.28515625" bestFit="1" customWidth="1"/>
    <col min="147" max="147" width="12.7109375" bestFit="1" customWidth="1"/>
    <col min="148" max="148" width="11.42578125" bestFit="1" customWidth="1"/>
    <col min="149" max="149" width="7.5703125" bestFit="1" customWidth="1"/>
    <col min="150" max="150" width="8.42578125" bestFit="1" customWidth="1"/>
    <col min="151" max="151" width="27.140625" bestFit="1" customWidth="1"/>
    <col min="152" max="152" width="14.140625" bestFit="1" customWidth="1"/>
    <col min="153" max="153" width="14.28515625" bestFit="1" customWidth="1"/>
    <col min="154" max="154" width="25.140625" bestFit="1" customWidth="1"/>
    <col min="155" max="155" width="20" bestFit="1" customWidth="1"/>
    <col min="156" max="156" width="18.42578125" bestFit="1" customWidth="1"/>
    <col min="157" max="157" width="9.28515625" bestFit="1" customWidth="1"/>
    <col min="158" max="158" width="22.42578125" bestFit="1" customWidth="1"/>
    <col min="159" max="159" width="12.5703125" bestFit="1" customWidth="1"/>
    <col min="160" max="160" width="25.85546875" bestFit="1" customWidth="1"/>
    <col min="161" max="161" width="10.42578125" bestFit="1" customWidth="1"/>
    <col min="162" max="162" width="24.85546875" bestFit="1" customWidth="1"/>
    <col min="163" max="163" width="19.7109375" bestFit="1" customWidth="1"/>
    <col min="164" max="164" width="10.42578125" bestFit="1" customWidth="1"/>
    <col min="165" max="165" width="16.28515625" bestFit="1" customWidth="1"/>
    <col min="166" max="166" width="19.7109375" bestFit="1" customWidth="1"/>
    <col min="167" max="167" width="15.140625" bestFit="1" customWidth="1"/>
    <col min="168" max="168" width="8.5703125" bestFit="1" customWidth="1"/>
    <col min="169" max="169" width="4.140625" bestFit="1" customWidth="1"/>
    <col min="170" max="170" width="18.140625" bestFit="1" customWidth="1"/>
    <col min="171" max="171" width="16.7109375" bestFit="1" customWidth="1"/>
    <col min="172" max="172" width="22.85546875" bestFit="1" customWidth="1"/>
    <col min="173" max="173" width="15.28515625" bestFit="1" customWidth="1"/>
    <col min="174" max="174" width="20.7109375" bestFit="1" customWidth="1"/>
    <col min="175" max="175" width="18.5703125" bestFit="1" customWidth="1"/>
    <col min="176" max="176" width="7.85546875" bestFit="1" customWidth="1"/>
    <col min="177" max="177" width="27.7109375" bestFit="1" customWidth="1"/>
    <col min="178" max="178" width="19.42578125" bestFit="1" customWidth="1"/>
    <col min="179" max="179" width="14.7109375" bestFit="1" customWidth="1"/>
    <col min="180" max="180" width="10.85546875" bestFit="1" customWidth="1"/>
    <col min="181" max="181" width="24.7109375" bestFit="1" customWidth="1"/>
    <col min="182" max="182" width="15.5703125" bestFit="1" customWidth="1"/>
    <col min="183" max="183" width="17.42578125" bestFit="1" customWidth="1"/>
    <col min="184" max="184" width="21.42578125" bestFit="1" customWidth="1"/>
    <col min="185" max="185" width="16.5703125" bestFit="1" customWidth="1"/>
    <col min="186" max="186" width="8.140625" bestFit="1" customWidth="1"/>
    <col min="187" max="187" width="20.28515625" bestFit="1" customWidth="1"/>
    <col min="188" max="188" width="11.28515625" bestFit="1" customWidth="1"/>
    <col min="189" max="189" width="18.140625" bestFit="1" customWidth="1"/>
    <col min="190" max="190" width="10.140625" bestFit="1" customWidth="1"/>
    <col min="191" max="191" width="21.42578125" bestFit="1" customWidth="1"/>
    <col min="192" max="192" width="11.5703125" bestFit="1" customWidth="1"/>
    <col min="193" max="193" width="12.140625" bestFit="1" customWidth="1"/>
    <col min="194" max="194" width="10.85546875" bestFit="1" customWidth="1"/>
    <col min="195" max="195" width="11.5703125" bestFit="1" customWidth="1"/>
    <col min="196" max="196" width="14.42578125" bestFit="1" customWidth="1"/>
    <col min="197" max="197" width="15.140625" bestFit="1" customWidth="1"/>
    <col min="198" max="198" width="10.140625" bestFit="1" customWidth="1"/>
    <col min="199" max="199" width="21.5703125" bestFit="1" customWidth="1"/>
    <col min="200" max="200" width="14.140625" bestFit="1" customWidth="1"/>
    <col min="201" max="201" width="25.5703125" bestFit="1" customWidth="1"/>
    <col min="202" max="202" width="24.5703125" bestFit="1" customWidth="1"/>
    <col min="203" max="203" width="36" bestFit="1" customWidth="1"/>
    <col min="204" max="204" width="17.7109375" bestFit="1" customWidth="1"/>
    <col min="205" max="205" width="9.42578125" bestFit="1" customWidth="1"/>
    <col min="206" max="206" width="7.28515625" bestFit="1" customWidth="1"/>
    <col min="207" max="207" width="11.28515625" bestFit="1" customWidth="1"/>
    <col min="208" max="410" width="41.140625" bestFit="1" customWidth="1"/>
    <col min="411" max="411" width="20" bestFit="1" customWidth="1"/>
    <col min="412" max="412" width="36" bestFit="1" customWidth="1"/>
  </cols>
  <sheetData>
    <row r="3" spans="1:2">
      <c r="A3" s="76" t="s">
        <v>1725</v>
      </c>
      <c r="B3" t="s">
        <v>1749</v>
      </c>
    </row>
    <row r="4" spans="1:2">
      <c r="A4" s="77" t="s">
        <v>182</v>
      </c>
      <c r="B4">
        <v>42</v>
      </c>
    </row>
    <row r="5" spans="1:2">
      <c r="A5" s="78" t="s">
        <v>1751</v>
      </c>
      <c r="B5">
        <v>7</v>
      </c>
    </row>
    <row r="6" spans="1:2">
      <c r="A6" s="78" t="s">
        <v>1752</v>
      </c>
      <c r="B6">
        <v>10</v>
      </c>
    </row>
    <row r="7" spans="1:2">
      <c r="A7" s="78" t="s">
        <v>1753</v>
      </c>
      <c r="B7">
        <v>25</v>
      </c>
    </row>
    <row r="8" spans="1:2">
      <c r="A8" s="77" t="s">
        <v>75</v>
      </c>
      <c r="B8">
        <v>26</v>
      </c>
    </row>
    <row r="9" spans="1:2">
      <c r="A9" s="78" t="s">
        <v>1751</v>
      </c>
      <c r="B9">
        <v>17</v>
      </c>
    </row>
    <row r="10" spans="1:2">
      <c r="A10" s="78" t="s">
        <v>1752</v>
      </c>
      <c r="B10">
        <v>9</v>
      </c>
    </row>
    <row r="11" spans="1:2">
      <c r="A11" s="77" t="s">
        <v>224</v>
      </c>
      <c r="B11">
        <v>17</v>
      </c>
    </row>
    <row r="12" spans="1:2">
      <c r="A12" s="78" t="s">
        <v>1752</v>
      </c>
      <c r="B12">
        <v>4</v>
      </c>
    </row>
    <row r="13" spans="1:2">
      <c r="A13" s="78" t="s">
        <v>1753</v>
      </c>
      <c r="B13">
        <v>13</v>
      </c>
    </row>
    <row r="14" spans="1:2">
      <c r="A14" s="77" t="s">
        <v>515</v>
      </c>
      <c r="B14">
        <v>17</v>
      </c>
    </row>
    <row r="15" spans="1:2">
      <c r="A15" s="78" t="s">
        <v>1751</v>
      </c>
      <c r="B15">
        <v>1</v>
      </c>
    </row>
    <row r="16" spans="1:2">
      <c r="A16" s="78" t="s">
        <v>1752</v>
      </c>
      <c r="B16">
        <v>4</v>
      </c>
    </row>
    <row r="17" spans="1:2">
      <c r="A17" s="78" t="s">
        <v>1753</v>
      </c>
      <c r="B17">
        <v>12</v>
      </c>
    </row>
    <row r="18" spans="1:2">
      <c r="A18" s="77" t="s">
        <v>800</v>
      </c>
      <c r="B18">
        <v>15</v>
      </c>
    </row>
    <row r="19" spans="1:2">
      <c r="A19" s="78" t="s">
        <v>1752</v>
      </c>
      <c r="B19">
        <v>8</v>
      </c>
    </row>
    <row r="20" spans="1:2">
      <c r="A20" s="78" t="s">
        <v>1753</v>
      </c>
      <c r="B20">
        <v>7</v>
      </c>
    </row>
    <row r="21" spans="1:2">
      <c r="A21" s="77" t="s">
        <v>1726</v>
      </c>
      <c r="B21">
        <v>117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4CF5-A685-4FF3-AB9B-4789E6C91B16}">
  <dimension ref="A1:I704"/>
  <sheetViews>
    <sheetView workbookViewId="0">
      <pane ySplit="1" topLeftCell="A2" activePane="bottomLeft" state="frozen"/>
      <selection pane="bottomLeft" sqref="A1:I1"/>
    </sheetView>
  </sheetViews>
  <sheetFormatPr defaultRowHeight="15"/>
  <cols>
    <col min="1" max="3" width="15.7109375" customWidth="1"/>
    <col min="4" max="5" width="27.5703125" customWidth="1"/>
    <col min="6" max="9" width="15.7109375" customWidth="1"/>
  </cols>
  <sheetData>
    <row r="1" spans="1:9">
      <c r="A1" s="85" t="s">
        <v>10</v>
      </c>
      <c r="B1" s="85" t="s">
        <v>1750</v>
      </c>
      <c r="C1" s="86" t="s">
        <v>53</v>
      </c>
      <c r="D1" s="86" t="s">
        <v>14</v>
      </c>
      <c r="E1" s="86" t="s">
        <v>16</v>
      </c>
      <c r="F1" s="86" t="s">
        <v>18</v>
      </c>
      <c r="G1" s="86" t="s">
        <v>20</v>
      </c>
      <c r="H1" s="86" t="s">
        <v>55</v>
      </c>
      <c r="I1" s="86" t="s">
        <v>24</v>
      </c>
    </row>
    <row r="2" spans="1:9">
      <c r="A2" s="57">
        <v>45438</v>
      </c>
      <c r="B2" s="82" t="s">
        <v>1751</v>
      </c>
      <c r="C2" s="58" t="s">
        <v>346</v>
      </c>
      <c r="D2" s="58" t="s">
        <v>347</v>
      </c>
      <c r="E2" s="58"/>
      <c r="F2" s="58" t="s">
        <v>66</v>
      </c>
      <c r="G2" s="58"/>
      <c r="H2" s="58">
        <v>15000</v>
      </c>
      <c r="I2" s="58"/>
    </row>
    <row r="3" spans="1:9">
      <c r="A3" s="57">
        <v>45385</v>
      </c>
      <c r="B3" s="82" t="s">
        <v>1751</v>
      </c>
      <c r="C3" s="58" t="s">
        <v>68</v>
      </c>
      <c r="D3" s="58" t="s">
        <v>69</v>
      </c>
      <c r="E3" s="58"/>
      <c r="F3" s="58" t="s">
        <v>63</v>
      </c>
      <c r="G3" s="58" t="s">
        <v>59</v>
      </c>
      <c r="H3" s="58">
        <v>59000</v>
      </c>
      <c r="I3" s="58" t="s">
        <v>70</v>
      </c>
    </row>
    <row r="4" spans="1:9">
      <c r="A4" s="57">
        <v>45434</v>
      </c>
      <c r="B4" s="82" t="s">
        <v>1751</v>
      </c>
      <c r="C4" s="58" t="s">
        <v>314</v>
      </c>
      <c r="D4" s="58" t="s">
        <v>69</v>
      </c>
      <c r="E4" s="58"/>
      <c r="F4" s="58" t="s">
        <v>58</v>
      </c>
      <c r="G4" s="58"/>
      <c r="H4" s="58">
        <v>230000</v>
      </c>
      <c r="I4" s="58" t="s">
        <v>315</v>
      </c>
    </row>
    <row r="5" spans="1:9">
      <c r="A5" s="57">
        <v>45393</v>
      </c>
      <c r="B5" s="82" t="s">
        <v>1751</v>
      </c>
      <c r="C5" s="72" t="s">
        <v>163</v>
      </c>
      <c r="D5" s="58" t="s">
        <v>69</v>
      </c>
      <c r="E5" s="80" t="s">
        <v>1741</v>
      </c>
      <c r="F5" s="58" t="s">
        <v>63</v>
      </c>
      <c r="G5" s="58"/>
      <c r="H5" s="73">
        <v>15000</v>
      </c>
      <c r="I5" s="63" t="s">
        <v>165</v>
      </c>
    </row>
    <row r="6" spans="1:9">
      <c r="A6" s="57">
        <v>45496</v>
      </c>
      <c r="B6" s="82" t="s">
        <v>1752</v>
      </c>
      <c r="C6" s="58" t="s">
        <v>681</v>
      </c>
      <c r="D6" s="58" t="s">
        <v>69</v>
      </c>
      <c r="E6" s="81" t="s">
        <v>1742</v>
      </c>
      <c r="F6" s="58" t="s">
        <v>276</v>
      </c>
      <c r="G6" s="58"/>
      <c r="H6" s="58">
        <v>50000</v>
      </c>
      <c r="I6" s="58"/>
    </row>
    <row r="7" spans="1:9">
      <c r="A7" s="57">
        <v>45513</v>
      </c>
      <c r="B7" s="82" t="s">
        <v>1752</v>
      </c>
      <c r="C7" s="60" t="s">
        <v>764</v>
      </c>
      <c r="D7" s="58" t="s">
        <v>765</v>
      </c>
      <c r="E7" s="60" t="s">
        <v>766</v>
      </c>
      <c r="F7" s="75" t="s">
        <v>63</v>
      </c>
      <c r="G7" s="63"/>
      <c r="H7" s="60">
        <v>14000</v>
      </c>
      <c r="I7" s="63"/>
    </row>
    <row r="8" spans="1:9">
      <c r="A8" s="57">
        <v>45419</v>
      </c>
      <c r="B8" s="82" t="s">
        <v>1751</v>
      </c>
      <c r="C8" s="58" t="s">
        <v>227</v>
      </c>
      <c r="D8" s="58" t="s">
        <v>228</v>
      </c>
      <c r="E8" s="58"/>
      <c r="F8" s="58" t="s">
        <v>63</v>
      </c>
      <c r="G8" s="58" t="s">
        <v>59</v>
      </c>
      <c r="H8" s="58">
        <v>25000</v>
      </c>
      <c r="I8" s="58" t="s">
        <v>229</v>
      </c>
    </row>
    <row r="9" spans="1:9">
      <c r="A9" s="57">
        <v>45423</v>
      </c>
      <c r="B9" s="82" t="s">
        <v>1751</v>
      </c>
      <c r="C9" s="58" t="s">
        <v>368</v>
      </c>
      <c r="D9" s="58" t="s">
        <v>228</v>
      </c>
      <c r="E9" s="58"/>
      <c r="F9" s="58" t="s">
        <v>63</v>
      </c>
      <c r="G9" s="58"/>
      <c r="H9" s="58">
        <v>43000</v>
      </c>
      <c r="I9" s="58" t="s">
        <v>369</v>
      </c>
    </row>
    <row r="10" spans="1:9">
      <c r="A10" s="57">
        <v>45481</v>
      </c>
      <c r="B10" s="82" t="s">
        <v>1752</v>
      </c>
      <c r="C10" s="58" t="s">
        <v>227</v>
      </c>
      <c r="D10" s="58" t="s">
        <v>228</v>
      </c>
      <c r="E10" s="58"/>
      <c r="F10" s="58" t="s">
        <v>58</v>
      </c>
      <c r="G10" s="58"/>
      <c r="H10" s="58">
        <v>105000</v>
      </c>
      <c r="I10" s="58" t="s">
        <v>577</v>
      </c>
    </row>
    <row r="11" spans="1:9">
      <c r="A11" s="57">
        <v>45502</v>
      </c>
      <c r="B11" s="82" t="s">
        <v>1752</v>
      </c>
      <c r="C11" s="58" t="s">
        <v>701</v>
      </c>
      <c r="D11" s="58" t="s">
        <v>228</v>
      </c>
      <c r="E11" s="58"/>
      <c r="F11" s="58" t="s">
        <v>58</v>
      </c>
      <c r="G11" s="58"/>
      <c r="H11" s="58">
        <v>28500</v>
      </c>
      <c r="I11" s="58" t="s">
        <v>700</v>
      </c>
    </row>
    <row r="12" spans="1:9">
      <c r="A12" s="57">
        <v>45474</v>
      </c>
      <c r="B12" s="82" t="s">
        <v>1752</v>
      </c>
      <c r="C12" s="58" t="s">
        <v>534</v>
      </c>
      <c r="D12" s="58" t="s">
        <v>535</v>
      </c>
      <c r="E12" s="58"/>
      <c r="F12" s="58" t="s">
        <v>63</v>
      </c>
      <c r="G12" s="58" t="s">
        <v>192</v>
      </c>
      <c r="H12" s="58">
        <v>102000</v>
      </c>
      <c r="I12" s="58" t="s">
        <v>536</v>
      </c>
    </row>
    <row r="13" spans="1:9">
      <c r="A13" s="57">
        <v>45499</v>
      </c>
      <c r="B13" s="82" t="s">
        <v>1752</v>
      </c>
      <c r="C13" s="58" t="s">
        <v>687</v>
      </c>
      <c r="D13" s="81" t="s">
        <v>781</v>
      </c>
      <c r="E13" s="58" t="s">
        <v>688</v>
      </c>
      <c r="F13" s="11" t="s">
        <v>58</v>
      </c>
      <c r="G13" s="58"/>
      <c r="H13" s="58">
        <v>100000</v>
      </c>
      <c r="I13" s="58" t="s">
        <v>689</v>
      </c>
    </row>
    <row r="14" spans="1:9">
      <c r="A14" s="57">
        <v>45437</v>
      </c>
      <c r="B14" s="82" t="s">
        <v>1751</v>
      </c>
      <c r="C14" s="58" t="s">
        <v>335</v>
      </c>
      <c r="D14" s="81" t="s">
        <v>781</v>
      </c>
      <c r="E14" s="58" t="s">
        <v>336</v>
      </c>
      <c r="F14" s="11" t="s">
        <v>63</v>
      </c>
      <c r="G14" s="58" t="s">
        <v>192</v>
      </c>
      <c r="H14" s="58">
        <v>70000</v>
      </c>
      <c r="I14" s="58" t="s">
        <v>337</v>
      </c>
    </row>
    <row r="15" spans="1:9">
      <c r="A15" s="57">
        <v>45390</v>
      </c>
      <c r="B15" s="82" t="s">
        <v>1751</v>
      </c>
      <c r="C15" s="63" t="s">
        <v>120</v>
      </c>
      <c r="D15" s="81" t="s">
        <v>781</v>
      </c>
      <c r="E15" s="58" t="s">
        <v>121</v>
      </c>
      <c r="F15" s="81" t="s">
        <v>58</v>
      </c>
      <c r="G15" s="58" t="s">
        <v>122</v>
      </c>
      <c r="H15" s="63">
        <v>90000</v>
      </c>
      <c r="I15" s="63" t="s">
        <v>123</v>
      </c>
    </row>
    <row r="16" spans="1:9">
      <c r="A16" s="57">
        <v>45430</v>
      </c>
      <c r="B16" s="82" t="s">
        <v>1751</v>
      </c>
      <c r="C16" s="58" t="s">
        <v>303</v>
      </c>
      <c r="D16" s="81" t="s">
        <v>781</v>
      </c>
      <c r="E16" s="58" t="s">
        <v>304</v>
      </c>
      <c r="F16" s="81" t="s">
        <v>58</v>
      </c>
      <c r="G16" s="58"/>
      <c r="H16" s="58">
        <v>32800</v>
      </c>
      <c r="I16" s="58" t="s">
        <v>305</v>
      </c>
    </row>
    <row r="17" spans="1:9">
      <c r="A17" s="57">
        <v>45486</v>
      </c>
      <c r="B17" s="82" t="s">
        <v>1752</v>
      </c>
      <c r="C17" s="58" t="s">
        <v>614</v>
      </c>
      <c r="D17" s="81" t="s">
        <v>781</v>
      </c>
      <c r="E17" s="58" t="s">
        <v>615</v>
      </c>
      <c r="F17" s="81" t="s">
        <v>63</v>
      </c>
      <c r="G17" s="58"/>
      <c r="H17" s="58">
        <v>25000</v>
      </c>
      <c r="I17" s="58"/>
    </row>
    <row r="18" spans="1:9">
      <c r="A18" s="57">
        <v>45515</v>
      </c>
      <c r="B18" s="82" t="s">
        <v>1752</v>
      </c>
      <c r="C18" s="60" t="s">
        <v>780</v>
      </c>
      <c r="D18" s="58" t="s">
        <v>781</v>
      </c>
      <c r="E18" s="60" t="s">
        <v>782</v>
      </c>
      <c r="F18" s="75" t="s">
        <v>63</v>
      </c>
      <c r="G18" s="63"/>
      <c r="H18" s="60">
        <v>17500</v>
      </c>
      <c r="I18" s="63"/>
    </row>
    <row r="19" spans="1:9">
      <c r="A19" s="57">
        <v>45515</v>
      </c>
      <c r="B19" s="82" t="s">
        <v>1752</v>
      </c>
      <c r="C19" s="60" t="s">
        <v>784</v>
      </c>
      <c r="D19" s="58" t="s">
        <v>781</v>
      </c>
      <c r="E19" s="60" t="s">
        <v>615</v>
      </c>
      <c r="F19" s="75" t="s">
        <v>63</v>
      </c>
      <c r="G19" s="63"/>
      <c r="H19" s="60">
        <v>33000</v>
      </c>
      <c r="I19" s="63"/>
    </row>
    <row r="20" spans="1:9">
      <c r="A20" s="57">
        <v>45517</v>
      </c>
      <c r="B20" s="82" t="s">
        <v>1752</v>
      </c>
      <c r="C20" s="60" t="s">
        <v>809</v>
      </c>
      <c r="D20" s="58" t="s">
        <v>781</v>
      </c>
      <c r="E20" s="60" t="s">
        <v>810</v>
      </c>
      <c r="F20" s="75" t="s">
        <v>63</v>
      </c>
      <c r="G20" s="63"/>
      <c r="H20" s="60">
        <v>70000</v>
      </c>
      <c r="I20" s="63"/>
    </row>
    <row r="21" spans="1:9">
      <c r="A21" s="57">
        <v>45520</v>
      </c>
      <c r="B21" s="82" t="s">
        <v>1752</v>
      </c>
      <c r="C21" s="60" t="s">
        <v>842</v>
      </c>
      <c r="D21" s="58" t="s">
        <v>781</v>
      </c>
      <c r="E21" s="60" t="s">
        <v>843</v>
      </c>
      <c r="F21" s="75" t="s">
        <v>63</v>
      </c>
      <c r="G21" s="63"/>
      <c r="H21" s="60">
        <v>17500</v>
      </c>
      <c r="I21" s="63"/>
    </row>
    <row r="22" spans="1:9">
      <c r="A22" s="57">
        <v>45525</v>
      </c>
      <c r="B22" s="82" t="s">
        <v>1752</v>
      </c>
      <c r="C22" s="60" t="s">
        <v>893</v>
      </c>
      <c r="D22" s="58" t="s">
        <v>781</v>
      </c>
      <c r="E22" s="60" t="s">
        <v>894</v>
      </c>
      <c r="F22" s="75" t="s">
        <v>63</v>
      </c>
      <c r="G22" s="63"/>
      <c r="H22" s="60">
        <v>50000</v>
      </c>
      <c r="I22" s="63"/>
    </row>
    <row r="23" spans="1:9">
      <c r="A23" s="61">
        <v>45536</v>
      </c>
      <c r="B23" s="82" t="s">
        <v>1752</v>
      </c>
      <c r="C23" s="60" t="s">
        <v>966</v>
      </c>
      <c r="D23" s="60" t="s">
        <v>781</v>
      </c>
      <c r="E23" s="60" t="s">
        <v>326</v>
      </c>
      <c r="F23" s="75" t="s">
        <v>63</v>
      </c>
      <c r="G23" s="63"/>
      <c r="H23" s="60">
        <v>18300</v>
      </c>
      <c r="I23" s="63"/>
    </row>
    <row r="24" spans="1:9">
      <c r="A24" s="61">
        <v>45538</v>
      </c>
      <c r="B24" s="82" t="s">
        <v>1752</v>
      </c>
      <c r="C24" s="60" t="s">
        <v>996</v>
      </c>
      <c r="D24" s="60" t="s">
        <v>781</v>
      </c>
      <c r="E24" s="60" t="s">
        <v>997</v>
      </c>
      <c r="F24" s="75" t="s">
        <v>63</v>
      </c>
      <c r="G24" s="63"/>
      <c r="H24" s="60">
        <v>29500</v>
      </c>
      <c r="I24" s="63"/>
    </row>
    <row r="25" spans="1:9">
      <c r="A25" s="61">
        <v>45539</v>
      </c>
      <c r="B25" s="82" t="s">
        <v>1752</v>
      </c>
      <c r="C25" s="60" t="s">
        <v>1002</v>
      </c>
      <c r="D25" s="60" t="s">
        <v>781</v>
      </c>
      <c r="E25" s="60" t="s">
        <v>1003</v>
      </c>
      <c r="F25" s="75" t="s">
        <v>66</v>
      </c>
      <c r="G25" s="63"/>
      <c r="H25" s="60">
        <v>72000</v>
      </c>
      <c r="I25" s="63"/>
    </row>
    <row r="26" spans="1:9">
      <c r="A26" s="61">
        <v>45541</v>
      </c>
      <c r="B26" s="82" t="s">
        <v>1752</v>
      </c>
      <c r="C26" s="60" t="s">
        <v>1018</v>
      </c>
      <c r="D26" s="60" t="s">
        <v>781</v>
      </c>
      <c r="E26" s="60" t="s">
        <v>1019</v>
      </c>
      <c r="F26" s="75" t="s">
        <v>58</v>
      </c>
      <c r="G26" s="63"/>
      <c r="H26" s="60">
        <v>11500</v>
      </c>
      <c r="I26" s="63"/>
    </row>
    <row r="27" spans="1:9">
      <c r="A27" s="61">
        <v>45547</v>
      </c>
      <c r="B27" s="82" t="s">
        <v>1752</v>
      </c>
      <c r="C27" s="60" t="s">
        <v>1075</v>
      </c>
      <c r="D27" s="60" t="s">
        <v>781</v>
      </c>
      <c r="E27" s="60" t="s">
        <v>894</v>
      </c>
      <c r="F27" s="75" t="s">
        <v>63</v>
      </c>
      <c r="G27" s="63"/>
      <c r="H27" s="60">
        <v>45000</v>
      </c>
      <c r="I27" s="63"/>
    </row>
    <row r="28" spans="1:9">
      <c r="A28" s="61">
        <v>45554</v>
      </c>
      <c r="B28" s="82" t="s">
        <v>1752</v>
      </c>
      <c r="C28" s="60" t="s">
        <v>1115</v>
      </c>
      <c r="D28" s="60" t="s">
        <v>781</v>
      </c>
      <c r="E28" s="60" t="s">
        <v>1116</v>
      </c>
      <c r="F28" s="75" t="s">
        <v>63</v>
      </c>
      <c r="G28" s="63"/>
      <c r="H28" s="60">
        <v>275000</v>
      </c>
      <c r="I28" s="63"/>
    </row>
    <row r="29" spans="1:9">
      <c r="A29" s="61">
        <v>45557</v>
      </c>
      <c r="B29" s="82" t="s">
        <v>1752</v>
      </c>
      <c r="C29" s="60" t="s">
        <v>1134</v>
      </c>
      <c r="D29" s="60" t="s">
        <v>781</v>
      </c>
      <c r="E29" s="60" t="s">
        <v>1135</v>
      </c>
      <c r="F29" s="75" t="s">
        <v>58</v>
      </c>
      <c r="G29" s="63"/>
      <c r="H29" s="60">
        <v>28000</v>
      </c>
      <c r="I29" s="63"/>
    </row>
    <row r="30" spans="1:9">
      <c r="A30" s="61">
        <v>45558</v>
      </c>
      <c r="B30" s="82" t="s">
        <v>1752</v>
      </c>
      <c r="C30" s="60" t="s">
        <v>1143</v>
      </c>
      <c r="D30" s="60" t="s">
        <v>781</v>
      </c>
      <c r="E30" s="60" t="s">
        <v>1116</v>
      </c>
      <c r="F30" s="75" t="s">
        <v>66</v>
      </c>
      <c r="G30" s="63"/>
      <c r="H30" s="60">
        <v>72000</v>
      </c>
      <c r="I30" s="63"/>
    </row>
    <row r="31" spans="1:9">
      <c r="A31" s="61">
        <v>45560</v>
      </c>
      <c r="B31" s="82" t="s">
        <v>1752</v>
      </c>
      <c r="C31" s="60" t="s">
        <v>1151</v>
      </c>
      <c r="D31" s="60" t="s">
        <v>781</v>
      </c>
      <c r="E31" s="60" t="s">
        <v>275</v>
      </c>
      <c r="F31" s="75" t="s">
        <v>58</v>
      </c>
      <c r="G31" s="63"/>
      <c r="H31" s="60">
        <v>74500</v>
      </c>
      <c r="I31" s="63"/>
    </row>
    <row r="32" spans="1:9">
      <c r="A32" s="61">
        <v>45565</v>
      </c>
      <c r="B32" s="82" t="s">
        <v>1752</v>
      </c>
      <c r="C32" s="60" t="s">
        <v>1173</v>
      </c>
      <c r="D32" s="60" t="s">
        <v>781</v>
      </c>
      <c r="E32" s="60" t="s">
        <v>1174</v>
      </c>
      <c r="F32" s="75" t="s">
        <v>58</v>
      </c>
      <c r="G32" s="63"/>
      <c r="H32" s="60">
        <v>61000</v>
      </c>
      <c r="I32" s="63"/>
    </row>
    <row r="33" spans="1:9">
      <c r="A33" s="61">
        <v>45571</v>
      </c>
      <c r="B33" s="61" t="s">
        <v>1753</v>
      </c>
      <c r="C33" s="60" t="s">
        <v>1194</v>
      </c>
      <c r="D33" s="60" t="s">
        <v>781</v>
      </c>
      <c r="E33" s="60" t="s">
        <v>1195</v>
      </c>
      <c r="F33" s="75" t="s">
        <v>66</v>
      </c>
      <c r="G33" s="63"/>
      <c r="H33" s="60">
        <v>38400</v>
      </c>
      <c r="I33" s="63"/>
    </row>
    <row r="34" spans="1:9">
      <c r="A34" s="61">
        <v>45573</v>
      </c>
      <c r="B34" s="61" t="s">
        <v>1753</v>
      </c>
      <c r="C34" s="60" t="s">
        <v>1210</v>
      </c>
      <c r="D34" s="60" t="s">
        <v>781</v>
      </c>
      <c r="E34" s="60" t="s">
        <v>1211</v>
      </c>
      <c r="F34" s="75" t="s">
        <v>63</v>
      </c>
      <c r="G34" s="63"/>
      <c r="H34" s="60">
        <v>47000</v>
      </c>
      <c r="I34" s="63"/>
    </row>
    <row r="35" spans="1:9">
      <c r="A35" s="62">
        <v>45575</v>
      </c>
      <c r="B35" s="61" t="s">
        <v>1753</v>
      </c>
      <c r="C35" s="60" t="s">
        <v>1229</v>
      </c>
      <c r="D35" s="60" t="s">
        <v>781</v>
      </c>
      <c r="E35" s="60" t="s">
        <v>1135</v>
      </c>
      <c r="F35" s="75" t="s">
        <v>66</v>
      </c>
      <c r="G35" s="63"/>
      <c r="H35" s="60">
        <v>39000</v>
      </c>
      <c r="I35" s="63"/>
    </row>
    <row r="36" spans="1:9">
      <c r="A36" s="62">
        <v>45581</v>
      </c>
      <c r="B36" s="61" t="s">
        <v>1753</v>
      </c>
      <c r="C36" s="60" t="s">
        <v>1287</v>
      </c>
      <c r="D36" s="60" t="s">
        <v>781</v>
      </c>
      <c r="E36" s="60" t="s">
        <v>1211</v>
      </c>
      <c r="F36" s="75" t="s">
        <v>63</v>
      </c>
      <c r="G36" s="63"/>
      <c r="H36" s="60">
        <v>13000</v>
      </c>
      <c r="I36" s="63"/>
    </row>
    <row r="37" spans="1:9">
      <c r="A37" s="62">
        <v>45581</v>
      </c>
      <c r="B37" s="61" t="s">
        <v>1753</v>
      </c>
      <c r="C37" s="60" t="s">
        <v>1291</v>
      </c>
      <c r="D37" s="60" t="s">
        <v>781</v>
      </c>
      <c r="E37" s="60" t="s">
        <v>810</v>
      </c>
      <c r="F37" s="75" t="s">
        <v>63</v>
      </c>
      <c r="G37" s="63"/>
      <c r="H37" s="60">
        <v>22500</v>
      </c>
      <c r="I37" s="63"/>
    </row>
    <row r="38" spans="1:9">
      <c r="A38" s="62">
        <v>45595</v>
      </c>
      <c r="B38" s="61" t="s">
        <v>1753</v>
      </c>
      <c r="C38" s="60" t="s">
        <v>1398</v>
      </c>
      <c r="D38" s="60" t="s">
        <v>781</v>
      </c>
      <c r="E38" s="60" t="s">
        <v>1399</v>
      </c>
      <c r="F38" s="75" t="s">
        <v>58</v>
      </c>
      <c r="G38" s="63"/>
      <c r="H38" s="60">
        <v>22000</v>
      </c>
      <c r="I38" s="63"/>
    </row>
    <row r="39" spans="1:9">
      <c r="A39" s="61">
        <v>45603</v>
      </c>
      <c r="B39" s="61" t="s">
        <v>1753</v>
      </c>
      <c r="C39" s="60" t="s">
        <v>1438</v>
      </c>
      <c r="D39" s="60" t="s">
        <v>781</v>
      </c>
      <c r="E39" s="60" t="s">
        <v>1439</v>
      </c>
      <c r="F39" s="75" t="s">
        <v>66</v>
      </c>
      <c r="G39" s="63"/>
      <c r="H39" s="60">
        <v>38200</v>
      </c>
      <c r="I39" s="63"/>
    </row>
    <row r="40" spans="1:9">
      <c r="A40" s="61">
        <v>45605</v>
      </c>
      <c r="B40" s="61" t="s">
        <v>1753</v>
      </c>
      <c r="C40" s="60" t="s">
        <v>1468</v>
      </c>
      <c r="D40" s="60" t="s">
        <v>781</v>
      </c>
      <c r="E40" s="60" t="s">
        <v>326</v>
      </c>
      <c r="F40" s="75" t="s">
        <v>63</v>
      </c>
      <c r="G40" s="63"/>
      <c r="H40" s="60">
        <v>68000</v>
      </c>
      <c r="I40" s="63"/>
    </row>
    <row r="41" spans="1:9">
      <c r="A41" s="62">
        <v>45610</v>
      </c>
      <c r="B41" s="61" t="s">
        <v>1753</v>
      </c>
      <c r="C41" s="60" t="s">
        <v>1487</v>
      </c>
      <c r="D41" s="60" t="s">
        <v>781</v>
      </c>
      <c r="E41" s="60" t="s">
        <v>1488</v>
      </c>
      <c r="F41" s="75" t="s">
        <v>66</v>
      </c>
      <c r="G41" s="63"/>
      <c r="H41" s="60">
        <v>43500</v>
      </c>
      <c r="I41" s="63"/>
    </row>
    <row r="42" spans="1:9">
      <c r="A42" s="62">
        <v>45613</v>
      </c>
      <c r="B42" s="61" t="s">
        <v>1753</v>
      </c>
      <c r="C42" s="60" t="s">
        <v>1500</v>
      </c>
      <c r="D42" s="60" t="s">
        <v>781</v>
      </c>
      <c r="E42" s="60" t="s">
        <v>1501</v>
      </c>
      <c r="F42" s="75" t="s">
        <v>63</v>
      </c>
      <c r="G42" s="63"/>
      <c r="H42" s="60">
        <v>58000</v>
      </c>
      <c r="I42" s="63"/>
    </row>
    <row r="43" spans="1:9">
      <c r="A43" s="62">
        <v>45617</v>
      </c>
      <c r="B43" s="61" t="s">
        <v>1753</v>
      </c>
      <c r="C43" s="60" t="s">
        <v>1510</v>
      </c>
      <c r="D43" s="60" t="s">
        <v>781</v>
      </c>
      <c r="E43" s="60" t="s">
        <v>1116</v>
      </c>
      <c r="F43" s="75" t="s">
        <v>63</v>
      </c>
      <c r="G43" s="63"/>
      <c r="H43" s="60">
        <v>53000</v>
      </c>
      <c r="I43" s="63"/>
    </row>
    <row r="44" spans="1:9">
      <c r="A44" s="62">
        <v>45626</v>
      </c>
      <c r="B44" s="61" t="s">
        <v>1753</v>
      </c>
      <c r="C44" s="60" t="s">
        <v>1534</v>
      </c>
      <c r="D44" s="60" t="s">
        <v>781</v>
      </c>
      <c r="E44" s="60" t="s">
        <v>1501</v>
      </c>
      <c r="F44" s="75" t="s">
        <v>58</v>
      </c>
      <c r="G44" s="63"/>
      <c r="H44" s="60">
        <v>58000</v>
      </c>
      <c r="I44" s="63"/>
    </row>
    <row r="45" spans="1:9">
      <c r="A45" s="61">
        <v>45627</v>
      </c>
      <c r="B45" s="61" t="s">
        <v>1753</v>
      </c>
      <c r="C45" s="60" t="s">
        <v>1541</v>
      </c>
      <c r="D45" s="60" t="s">
        <v>781</v>
      </c>
      <c r="E45" s="60" t="s">
        <v>1542</v>
      </c>
      <c r="F45" s="75" t="s">
        <v>63</v>
      </c>
      <c r="G45" s="63"/>
      <c r="H45" s="60">
        <v>75000</v>
      </c>
      <c r="I45" s="63"/>
    </row>
    <row r="46" spans="1:9">
      <c r="A46" s="61">
        <v>45627</v>
      </c>
      <c r="B46" s="61" t="s">
        <v>1753</v>
      </c>
      <c r="C46" s="60" t="s">
        <v>1551</v>
      </c>
      <c r="D46" s="60" t="s">
        <v>781</v>
      </c>
      <c r="E46" s="60" t="s">
        <v>326</v>
      </c>
      <c r="F46" s="75" t="s">
        <v>63</v>
      </c>
      <c r="G46" s="63"/>
      <c r="H46" s="60">
        <v>22000</v>
      </c>
      <c r="I46" s="63"/>
    </row>
    <row r="47" spans="1:9">
      <c r="A47" s="61">
        <v>45633</v>
      </c>
      <c r="B47" s="61" t="s">
        <v>1753</v>
      </c>
      <c r="C47" s="60" t="s">
        <v>1588</v>
      </c>
      <c r="D47" s="60" t="s">
        <v>781</v>
      </c>
      <c r="E47" s="60" t="s">
        <v>1488</v>
      </c>
      <c r="F47" s="75" t="s">
        <v>63</v>
      </c>
      <c r="G47" s="63"/>
      <c r="H47" s="60">
        <v>35000</v>
      </c>
      <c r="I47" s="63"/>
    </row>
    <row r="48" spans="1:9">
      <c r="A48" s="62">
        <v>45641</v>
      </c>
      <c r="B48" s="61" t="s">
        <v>1753</v>
      </c>
      <c r="C48" s="60" t="s">
        <v>1621</v>
      </c>
      <c r="D48" s="60" t="s">
        <v>781</v>
      </c>
      <c r="E48" s="60" t="s">
        <v>1622</v>
      </c>
      <c r="F48" s="75" t="s">
        <v>63</v>
      </c>
      <c r="G48" s="63"/>
      <c r="H48" s="60">
        <v>55000</v>
      </c>
      <c r="I48" s="63"/>
    </row>
    <row r="49" spans="1:9">
      <c r="A49" s="62">
        <v>45643</v>
      </c>
      <c r="B49" s="61" t="s">
        <v>1753</v>
      </c>
      <c r="C49" s="60" t="s">
        <v>1645</v>
      </c>
      <c r="D49" s="60" t="s">
        <v>781</v>
      </c>
      <c r="E49" s="60" t="s">
        <v>894</v>
      </c>
      <c r="F49" s="75" t="s">
        <v>63</v>
      </c>
      <c r="G49" s="63"/>
      <c r="H49" s="60">
        <v>42000</v>
      </c>
      <c r="I49" s="63"/>
    </row>
    <row r="50" spans="1:9">
      <c r="A50" s="62">
        <v>45643</v>
      </c>
      <c r="B50" s="61" t="s">
        <v>1753</v>
      </c>
      <c r="C50" s="60" t="s">
        <v>1649</v>
      </c>
      <c r="D50" s="60" t="s">
        <v>781</v>
      </c>
      <c r="E50" s="60" t="s">
        <v>894</v>
      </c>
      <c r="F50" s="75" t="s">
        <v>63</v>
      </c>
      <c r="G50" s="63"/>
      <c r="H50" s="60">
        <v>23000</v>
      </c>
      <c r="I50" s="63"/>
    </row>
    <row r="51" spans="1:9">
      <c r="A51" s="62">
        <v>45656</v>
      </c>
      <c r="B51" s="61" t="s">
        <v>1753</v>
      </c>
      <c r="C51" s="60" t="s">
        <v>1700</v>
      </c>
      <c r="D51" s="60" t="s">
        <v>781</v>
      </c>
      <c r="E51" s="60" t="s">
        <v>275</v>
      </c>
      <c r="F51" s="75" t="s">
        <v>63</v>
      </c>
      <c r="G51" s="63"/>
      <c r="H51" s="60">
        <v>22000</v>
      </c>
      <c r="I51" s="63"/>
    </row>
    <row r="52" spans="1:9">
      <c r="A52" s="57">
        <v>45413</v>
      </c>
      <c r="B52" s="82" t="s">
        <v>1751</v>
      </c>
      <c r="C52" s="58" t="s">
        <v>194</v>
      </c>
      <c r="D52" s="81" t="s">
        <v>1746</v>
      </c>
      <c r="E52" s="58" t="s">
        <v>195</v>
      </c>
      <c r="F52" s="58" t="s">
        <v>63</v>
      </c>
      <c r="G52" s="58" t="s">
        <v>192</v>
      </c>
      <c r="H52" s="58">
        <v>17900</v>
      </c>
      <c r="I52" s="58" t="s">
        <v>196</v>
      </c>
    </row>
    <row r="53" spans="1:9">
      <c r="A53" s="57">
        <v>45448</v>
      </c>
      <c r="B53" s="82" t="s">
        <v>1751</v>
      </c>
      <c r="C53" s="58" t="s">
        <v>394</v>
      </c>
      <c r="D53" s="81" t="s">
        <v>1746</v>
      </c>
      <c r="E53" s="58" t="s">
        <v>395</v>
      </c>
      <c r="F53" s="58" t="s">
        <v>66</v>
      </c>
      <c r="G53" s="58"/>
      <c r="H53" s="58">
        <v>57000</v>
      </c>
      <c r="I53" s="58"/>
    </row>
    <row r="54" spans="1:9">
      <c r="A54" s="57">
        <v>45414</v>
      </c>
      <c r="B54" s="82" t="s">
        <v>1751</v>
      </c>
      <c r="C54" s="58" t="s">
        <v>199</v>
      </c>
      <c r="D54" s="81" t="s">
        <v>1746</v>
      </c>
      <c r="E54" s="58" t="s">
        <v>200</v>
      </c>
      <c r="F54" s="58" t="s">
        <v>66</v>
      </c>
      <c r="G54" s="58"/>
      <c r="H54" s="58">
        <v>158000</v>
      </c>
      <c r="I54" s="58"/>
    </row>
    <row r="55" spans="1:9">
      <c r="A55" s="57">
        <v>45390</v>
      </c>
      <c r="B55" s="82" t="s">
        <v>1751</v>
      </c>
      <c r="C55" s="58" t="s">
        <v>92</v>
      </c>
      <c r="D55" s="81" t="s">
        <v>1746</v>
      </c>
      <c r="E55" s="58" t="s">
        <v>93</v>
      </c>
      <c r="F55" s="58" t="s">
        <v>58</v>
      </c>
      <c r="G55" s="58" t="s">
        <v>59</v>
      </c>
      <c r="H55" s="58">
        <v>19000</v>
      </c>
      <c r="I55" s="58" t="s">
        <v>94</v>
      </c>
    </row>
    <row r="56" spans="1:9">
      <c r="A56" s="57">
        <v>45437</v>
      </c>
      <c r="B56" s="82" t="s">
        <v>1751</v>
      </c>
      <c r="C56" s="58" t="s">
        <v>333</v>
      </c>
      <c r="D56" s="81" t="s">
        <v>1746</v>
      </c>
      <c r="E56" s="58" t="s">
        <v>93</v>
      </c>
      <c r="F56" s="58" t="s">
        <v>63</v>
      </c>
      <c r="G56" s="58" t="s">
        <v>192</v>
      </c>
      <c r="H56" s="58">
        <v>22000</v>
      </c>
      <c r="I56" s="58" t="s">
        <v>334</v>
      </c>
    </row>
    <row r="57" spans="1:9">
      <c r="A57" s="57">
        <v>45390</v>
      </c>
      <c r="B57" s="82" t="s">
        <v>1751</v>
      </c>
      <c r="C57" s="58" t="s">
        <v>89</v>
      </c>
      <c r="D57" s="81" t="s">
        <v>1746</v>
      </c>
      <c r="E57" s="58" t="s">
        <v>90</v>
      </c>
      <c r="F57" s="58" t="s">
        <v>63</v>
      </c>
      <c r="G57" s="58" t="s">
        <v>59</v>
      </c>
      <c r="H57" s="58">
        <v>59000</v>
      </c>
      <c r="I57" s="58" t="s">
        <v>91</v>
      </c>
    </row>
    <row r="58" spans="1:9">
      <c r="A58" s="57">
        <v>45434</v>
      </c>
      <c r="B58" s="82" t="s">
        <v>1751</v>
      </c>
      <c r="C58" s="58" t="s">
        <v>325</v>
      </c>
      <c r="D58" s="81" t="s">
        <v>1746</v>
      </c>
      <c r="E58" s="58" t="s">
        <v>326</v>
      </c>
      <c r="F58" s="58" t="s">
        <v>66</v>
      </c>
      <c r="G58" s="58"/>
      <c r="H58" s="58">
        <v>60000</v>
      </c>
      <c r="I58" s="58"/>
    </row>
    <row r="59" spans="1:9">
      <c r="A59" s="57">
        <v>45466</v>
      </c>
      <c r="B59" s="82" t="s">
        <v>1751</v>
      </c>
      <c r="C59" s="58" t="s">
        <v>489</v>
      </c>
      <c r="D59" s="81" t="s">
        <v>1746</v>
      </c>
      <c r="E59" s="58" t="s">
        <v>490</v>
      </c>
      <c r="F59" s="58" t="s">
        <v>276</v>
      </c>
      <c r="G59" s="58"/>
      <c r="H59" s="58">
        <v>30000</v>
      </c>
      <c r="I59" s="58"/>
    </row>
    <row r="60" spans="1:9">
      <c r="A60" s="57">
        <v>45426</v>
      </c>
      <c r="B60" s="82" t="s">
        <v>1751</v>
      </c>
      <c r="C60" s="58" t="s">
        <v>274</v>
      </c>
      <c r="D60" s="81" t="s">
        <v>1746</v>
      </c>
      <c r="E60" s="58" t="s">
        <v>275</v>
      </c>
      <c r="F60" s="58" t="s">
        <v>276</v>
      </c>
      <c r="G60" s="58"/>
      <c r="H60" s="58">
        <v>11000</v>
      </c>
      <c r="I60" s="58"/>
    </row>
    <row r="61" spans="1:9">
      <c r="A61" s="57">
        <v>45432</v>
      </c>
      <c r="B61" s="82" t="s">
        <v>1751</v>
      </c>
      <c r="C61" s="58" t="s">
        <v>306</v>
      </c>
      <c r="D61" s="81" t="s">
        <v>1746</v>
      </c>
      <c r="E61" s="58" t="s">
        <v>275</v>
      </c>
      <c r="F61" s="58" t="s">
        <v>66</v>
      </c>
      <c r="G61" s="58"/>
      <c r="H61" s="58">
        <v>75000</v>
      </c>
      <c r="I61" s="58"/>
    </row>
    <row r="62" spans="1:9">
      <c r="A62" s="57">
        <v>45419</v>
      </c>
      <c r="B62" s="82" t="s">
        <v>1751</v>
      </c>
      <c r="C62" s="58" t="s">
        <v>230</v>
      </c>
      <c r="D62" s="81" t="s">
        <v>1746</v>
      </c>
      <c r="E62" s="58" t="s">
        <v>231</v>
      </c>
      <c r="F62" s="58" t="s">
        <v>63</v>
      </c>
      <c r="G62" s="58"/>
      <c r="H62" s="58">
        <v>99000</v>
      </c>
      <c r="I62" s="58" t="s">
        <v>232</v>
      </c>
    </row>
    <row r="63" spans="1:9">
      <c r="A63" s="57">
        <v>45434</v>
      </c>
      <c r="B63" s="82" t="s">
        <v>1751</v>
      </c>
      <c r="C63" s="58" t="s">
        <v>321</v>
      </c>
      <c r="D63" s="81" t="s">
        <v>1746</v>
      </c>
      <c r="E63" s="58" t="s">
        <v>231</v>
      </c>
      <c r="F63" s="58" t="s">
        <v>63</v>
      </c>
      <c r="G63" s="58"/>
      <c r="H63" s="58">
        <v>68000</v>
      </c>
      <c r="I63" s="58" t="s">
        <v>322</v>
      </c>
    </row>
    <row r="64" spans="1:9">
      <c r="A64" s="57">
        <v>45488</v>
      </c>
      <c r="B64" s="82" t="s">
        <v>1752</v>
      </c>
      <c r="C64" s="58" t="s">
        <v>619</v>
      </c>
      <c r="D64" s="81" t="s">
        <v>1746</v>
      </c>
      <c r="E64" s="58" t="s">
        <v>620</v>
      </c>
      <c r="F64" s="58" t="s">
        <v>58</v>
      </c>
      <c r="G64" s="58"/>
      <c r="H64" s="58">
        <v>30000</v>
      </c>
      <c r="I64" s="58" t="s">
        <v>621</v>
      </c>
    </row>
    <row r="65" spans="1:9">
      <c r="A65" s="57">
        <v>45494</v>
      </c>
      <c r="B65" s="82" t="s">
        <v>1752</v>
      </c>
      <c r="C65" s="58" t="s">
        <v>652</v>
      </c>
      <c r="D65" s="81" t="s">
        <v>1746</v>
      </c>
      <c r="E65" s="58" t="s">
        <v>620</v>
      </c>
      <c r="F65" s="58" t="s">
        <v>63</v>
      </c>
      <c r="G65" s="58"/>
      <c r="H65" s="58">
        <v>27000</v>
      </c>
      <c r="I65" s="58" t="s">
        <v>653</v>
      </c>
    </row>
    <row r="66" spans="1:9">
      <c r="A66" s="57">
        <v>45495</v>
      </c>
      <c r="B66" s="82" t="s">
        <v>1752</v>
      </c>
      <c r="C66" s="58" t="s">
        <v>662</v>
      </c>
      <c r="D66" s="81" t="s">
        <v>1746</v>
      </c>
      <c r="E66" s="58" t="s">
        <v>620</v>
      </c>
      <c r="F66" s="58" t="s">
        <v>63</v>
      </c>
      <c r="G66" s="58"/>
      <c r="H66" s="58">
        <v>18000</v>
      </c>
      <c r="I66" s="58" t="s">
        <v>663</v>
      </c>
    </row>
    <row r="67" spans="1:9">
      <c r="A67" s="57">
        <v>45416</v>
      </c>
      <c r="B67" s="82" t="s">
        <v>1751</v>
      </c>
      <c r="C67" s="58" t="s">
        <v>206</v>
      </c>
      <c r="D67" s="58" t="s">
        <v>207</v>
      </c>
      <c r="E67" s="58"/>
      <c r="F67" s="58" t="s">
        <v>63</v>
      </c>
      <c r="G67" s="58" t="s">
        <v>192</v>
      </c>
      <c r="H67" s="58">
        <v>22800</v>
      </c>
      <c r="I67" s="58" t="s">
        <v>208</v>
      </c>
    </row>
    <row r="68" spans="1:9">
      <c r="A68" s="57">
        <v>45417</v>
      </c>
      <c r="B68" s="82" t="s">
        <v>1751</v>
      </c>
      <c r="C68" s="58" t="s">
        <v>216</v>
      </c>
      <c r="D68" s="81" t="s">
        <v>207</v>
      </c>
      <c r="E68" s="81" t="s">
        <v>1743</v>
      </c>
      <c r="F68" s="58" t="s">
        <v>63</v>
      </c>
      <c r="G68" s="58"/>
      <c r="H68" s="58">
        <v>28000</v>
      </c>
      <c r="I68" s="58" t="s">
        <v>218</v>
      </c>
    </row>
    <row r="69" spans="1:9">
      <c r="A69" s="57">
        <v>45489</v>
      </c>
      <c r="B69" s="82" t="s">
        <v>1752</v>
      </c>
      <c r="C69" s="58" t="s">
        <v>624</v>
      </c>
      <c r="D69" s="58" t="s">
        <v>625</v>
      </c>
      <c r="E69" s="58"/>
      <c r="F69" s="58" t="s">
        <v>58</v>
      </c>
      <c r="G69" s="58"/>
      <c r="H69" s="58">
        <v>130000</v>
      </c>
      <c r="I69" s="58" t="s">
        <v>626</v>
      </c>
    </row>
    <row r="70" spans="1:9">
      <c r="A70" s="57">
        <v>45494</v>
      </c>
      <c r="B70" s="82" t="s">
        <v>1752</v>
      </c>
      <c r="C70" s="58" t="s">
        <v>656</v>
      </c>
      <c r="D70" s="58" t="s">
        <v>625</v>
      </c>
      <c r="E70" s="58"/>
      <c r="F70" s="58" t="s">
        <v>63</v>
      </c>
      <c r="G70" s="58"/>
      <c r="H70" s="58">
        <v>145000</v>
      </c>
      <c r="I70" s="58" t="s">
        <v>657</v>
      </c>
    </row>
    <row r="71" spans="1:9">
      <c r="A71" s="57">
        <v>45495</v>
      </c>
      <c r="B71" s="82" t="s">
        <v>1752</v>
      </c>
      <c r="C71" s="58" t="s">
        <v>666</v>
      </c>
      <c r="D71" s="58" t="s">
        <v>625</v>
      </c>
      <c r="E71" s="58"/>
      <c r="F71" s="58" t="s">
        <v>63</v>
      </c>
      <c r="G71" s="58"/>
      <c r="H71" s="58">
        <v>142000</v>
      </c>
      <c r="I71" s="58" t="s">
        <v>667</v>
      </c>
    </row>
    <row r="72" spans="1:9">
      <c r="A72" s="57">
        <v>45482</v>
      </c>
      <c r="B72" s="82" t="s">
        <v>1752</v>
      </c>
      <c r="C72" s="58" t="s">
        <v>586</v>
      </c>
      <c r="D72" s="58" t="s">
        <v>587</v>
      </c>
      <c r="E72" s="58"/>
      <c r="F72" s="58" t="s">
        <v>58</v>
      </c>
      <c r="G72" s="58"/>
      <c r="H72" s="58">
        <v>173000</v>
      </c>
      <c r="I72" s="58" t="s">
        <v>585</v>
      </c>
    </row>
    <row r="73" spans="1:9">
      <c r="A73" s="57">
        <v>45485</v>
      </c>
      <c r="B73" s="82" t="s">
        <v>1752</v>
      </c>
      <c r="C73" s="58" t="s">
        <v>606</v>
      </c>
      <c r="D73" s="58" t="s">
        <v>607</v>
      </c>
      <c r="E73" s="58"/>
      <c r="F73" s="58" t="s">
        <v>342</v>
      </c>
      <c r="G73" s="58"/>
      <c r="H73" s="58">
        <v>28500</v>
      </c>
      <c r="I73" s="58"/>
    </row>
    <row r="74" spans="1:9">
      <c r="A74" s="57">
        <v>45406</v>
      </c>
      <c r="B74" s="82" t="s">
        <v>1751</v>
      </c>
      <c r="C74" s="73" t="s">
        <v>172</v>
      </c>
      <c r="D74" s="73" t="s">
        <v>173</v>
      </c>
      <c r="E74" s="73"/>
      <c r="F74" s="58" t="s">
        <v>58</v>
      </c>
      <c r="G74" s="58"/>
      <c r="H74" s="73">
        <v>48000</v>
      </c>
      <c r="I74" s="63" t="s">
        <v>174</v>
      </c>
    </row>
    <row r="75" spans="1:9">
      <c r="A75" s="57">
        <v>45466</v>
      </c>
      <c r="B75" s="82" t="s">
        <v>1751</v>
      </c>
      <c r="C75" s="58" t="s">
        <v>487</v>
      </c>
      <c r="D75" s="58" t="s">
        <v>488</v>
      </c>
      <c r="E75" s="58"/>
      <c r="F75" s="58" t="s">
        <v>276</v>
      </c>
      <c r="G75" s="58"/>
      <c r="H75" s="58">
        <v>148000</v>
      </c>
      <c r="I75" s="58"/>
    </row>
    <row r="76" spans="1:9">
      <c r="A76" s="57">
        <v>45465</v>
      </c>
      <c r="B76" s="82" t="s">
        <v>1751</v>
      </c>
      <c r="C76" s="58" t="s">
        <v>475</v>
      </c>
      <c r="D76" s="58" t="s">
        <v>476</v>
      </c>
      <c r="E76" s="58"/>
      <c r="F76" s="58" t="s">
        <v>58</v>
      </c>
      <c r="G76" s="58"/>
      <c r="H76" s="58">
        <v>105000</v>
      </c>
      <c r="I76" s="58" t="s">
        <v>477</v>
      </c>
    </row>
    <row r="77" spans="1:9">
      <c r="A77" s="57">
        <v>45422</v>
      </c>
      <c r="B77" s="82" t="s">
        <v>1751</v>
      </c>
      <c r="C77" s="58" t="s">
        <v>242</v>
      </c>
      <c r="D77" s="58" t="s">
        <v>243</v>
      </c>
      <c r="E77" s="58"/>
      <c r="F77" s="58" t="s">
        <v>63</v>
      </c>
      <c r="G77" s="58" t="s">
        <v>192</v>
      </c>
      <c r="H77" s="58">
        <v>185000</v>
      </c>
      <c r="I77" s="58" t="s">
        <v>244</v>
      </c>
    </row>
    <row r="78" spans="1:9">
      <c r="A78" s="57">
        <v>45391</v>
      </c>
      <c r="B78" s="82" t="s">
        <v>1751</v>
      </c>
      <c r="C78" s="58" t="s">
        <v>95</v>
      </c>
      <c r="D78" s="58" t="s">
        <v>96</v>
      </c>
      <c r="E78" s="58"/>
      <c r="F78" s="58" t="s">
        <v>63</v>
      </c>
      <c r="G78" s="58" t="s">
        <v>59</v>
      </c>
      <c r="H78" s="58">
        <v>44500</v>
      </c>
      <c r="I78" s="58" t="s">
        <v>97</v>
      </c>
    </row>
    <row r="79" spans="1:9">
      <c r="A79" s="57">
        <v>45419</v>
      </c>
      <c r="B79" s="82" t="s">
        <v>1751</v>
      </c>
      <c r="C79" s="58" t="s">
        <v>225</v>
      </c>
      <c r="D79" s="58" t="s">
        <v>96</v>
      </c>
      <c r="E79" s="58"/>
      <c r="F79" s="58" t="s">
        <v>63</v>
      </c>
      <c r="G79" s="58" t="s">
        <v>59</v>
      </c>
      <c r="H79" s="58">
        <v>31500</v>
      </c>
      <c r="I79" s="58" t="s">
        <v>226</v>
      </c>
    </row>
    <row r="80" spans="1:9">
      <c r="A80" s="57">
        <v>45482</v>
      </c>
      <c r="B80" s="82" t="s">
        <v>1752</v>
      </c>
      <c r="C80" s="58" t="s">
        <v>588</v>
      </c>
      <c r="D80" s="58" t="s">
        <v>96</v>
      </c>
      <c r="E80" s="58"/>
      <c r="F80" s="58" t="s">
        <v>63</v>
      </c>
      <c r="G80" s="58" t="s">
        <v>192</v>
      </c>
      <c r="H80" s="58">
        <v>165000</v>
      </c>
      <c r="I80" s="58" t="s">
        <v>589</v>
      </c>
    </row>
    <row r="81" spans="1:9">
      <c r="A81" s="57">
        <v>45424</v>
      </c>
      <c r="B81" s="82" t="s">
        <v>1751</v>
      </c>
      <c r="C81" s="58" t="s">
        <v>253</v>
      </c>
      <c r="D81" s="58" t="s">
        <v>254</v>
      </c>
      <c r="E81" s="58"/>
      <c r="F81" s="58" t="s">
        <v>63</v>
      </c>
      <c r="G81" s="58"/>
      <c r="H81" s="58">
        <v>175000</v>
      </c>
      <c r="I81" s="58" t="s">
        <v>255</v>
      </c>
    </row>
    <row r="82" spans="1:9">
      <c r="A82" s="57">
        <v>45485</v>
      </c>
      <c r="B82" s="82" t="s">
        <v>1752</v>
      </c>
      <c r="C82" s="58" t="s">
        <v>601</v>
      </c>
      <c r="D82" s="58" t="s">
        <v>602</v>
      </c>
      <c r="E82" s="58"/>
      <c r="F82" s="58" t="s">
        <v>63</v>
      </c>
      <c r="G82" s="58" t="s">
        <v>59</v>
      </c>
      <c r="H82" s="58">
        <v>20000</v>
      </c>
      <c r="I82" s="58" t="s">
        <v>603</v>
      </c>
    </row>
    <row r="83" spans="1:9">
      <c r="A83" s="57">
        <v>45434</v>
      </c>
      <c r="B83" s="82" t="s">
        <v>1751</v>
      </c>
      <c r="C83" s="58" t="s">
        <v>318</v>
      </c>
      <c r="D83" s="58" t="s">
        <v>319</v>
      </c>
      <c r="E83" s="58"/>
      <c r="F83" s="58" t="s">
        <v>63</v>
      </c>
      <c r="G83" s="58" t="s">
        <v>192</v>
      </c>
      <c r="H83" s="58">
        <v>22000</v>
      </c>
      <c r="I83" s="58" t="s">
        <v>320</v>
      </c>
    </row>
    <row r="84" spans="1:9">
      <c r="A84" s="57">
        <v>45499</v>
      </c>
      <c r="B84" s="82" t="s">
        <v>1752</v>
      </c>
      <c r="C84" s="58" t="s">
        <v>690</v>
      </c>
      <c r="D84" s="58" t="s">
        <v>691</v>
      </c>
      <c r="E84" s="58"/>
      <c r="F84" s="58" t="s">
        <v>342</v>
      </c>
      <c r="G84" s="58"/>
      <c r="H84" s="58">
        <v>15000</v>
      </c>
      <c r="I84" s="58"/>
    </row>
    <row r="85" spans="1:9">
      <c r="A85" s="57">
        <v>45391</v>
      </c>
      <c r="B85" s="82" t="s">
        <v>1751</v>
      </c>
      <c r="C85" s="66" t="s">
        <v>127</v>
      </c>
      <c r="D85" s="58" t="s">
        <v>128</v>
      </c>
      <c r="E85" s="58"/>
      <c r="F85" s="58" t="s">
        <v>58</v>
      </c>
      <c r="G85" s="58" t="s">
        <v>129</v>
      </c>
      <c r="H85" s="65">
        <v>43200</v>
      </c>
      <c r="I85" s="63" t="s">
        <v>130</v>
      </c>
    </row>
    <row r="86" spans="1:9">
      <c r="A86" s="57">
        <v>45422</v>
      </c>
      <c r="B86" s="82" t="s">
        <v>1751</v>
      </c>
      <c r="C86" s="58" t="s">
        <v>245</v>
      </c>
      <c r="D86" s="58" t="s">
        <v>246</v>
      </c>
      <c r="E86" s="58"/>
      <c r="F86" s="58" t="s">
        <v>63</v>
      </c>
      <c r="G86" s="58"/>
      <c r="H86" s="58">
        <v>15000</v>
      </c>
      <c r="I86" s="58" t="s">
        <v>247</v>
      </c>
    </row>
    <row r="87" spans="1:9">
      <c r="A87" s="57">
        <v>45396</v>
      </c>
      <c r="B87" s="82" t="s">
        <v>1751</v>
      </c>
      <c r="C87" s="58" t="s">
        <v>113</v>
      </c>
      <c r="D87" s="58" t="s">
        <v>114</v>
      </c>
      <c r="E87" s="58"/>
      <c r="F87" s="58" t="s">
        <v>66</v>
      </c>
      <c r="G87" s="58" t="s">
        <v>59</v>
      </c>
      <c r="H87" s="58">
        <v>149500</v>
      </c>
      <c r="I87" s="58" t="s">
        <v>115</v>
      </c>
    </row>
    <row r="88" spans="1:9">
      <c r="A88" s="57">
        <v>45479</v>
      </c>
      <c r="B88" s="82" t="s">
        <v>1752</v>
      </c>
      <c r="C88" s="58" t="s">
        <v>561</v>
      </c>
      <c r="D88" s="58" t="s">
        <v>114</v>
      </c>
      <c r="E88" s="58"/>
      <c r="F88" s="58" t="s">
        <v>58</v>
      </c>
      <c r="G88" s="58"/>
      <c r="H88" s="58">
        <v>25000</v>
      </c>
      <c r="I88" s="58" t="s">
        <v>562</v>
      </c>
    </row>
    <row r="89" spans="1:9">
      <c r="A89" s="57">
        <v>45459</v>
      </c>
      <c r="B89" s="82" t="s">
        <v>1751</v>
      </c>
      <c r="C89" s="58" t="s">
        <v>446</v>
      </c>
      <c r="D89" s="58" t="s">
        <v>447</v>
      </c>
      <c r="E89" s="58"/>
      <c r="F89" s="58" t="s">
        <v>63</v>
      </c>
      <c r="G89" s="58" t="s">
        <v>59</v>
      </c>
      <c r="H89" s="58">
        <v>107000</v>
      </c>
      <c r="I89" s="58" t="s">
        <v>448</v>
      </c>
    </row>
    <row r="90" spans="1:9">
      <c r="A90" s="57">
        <v>45464</v>
      </c>
      <c r="B90" s="82" t="s">
        <v>1751</v>
      </c>
      <c r="C90" s="58" t="s">
        <v>463</v>
      </c>
      <c r="D90" s="58" t="s">
        <v>447</v>
      </c>
      <c r="E90" s="58"/>
      <c r="F90" s="58" t="s">
        <v>58</v>
      </c>
      <c r="G90" s="58"/>
      <c r="H90" s="58">
        <v>37600</v>
      </c>
      <c r="I90" s="58" t="s">
        <v>464</v>
      </c>
    </row>
    <row r="91" spans="1:9">
      <c r="A91" s="57">
        <v>45485</v>
      </c>
      <c r="B91" s="82" t="s">
        <v>1752</v>
      </c>
      <c r="C91" s="58" t="s">
        <v>595</v>
      </c>
      <c r="D91" s="58" t="s">
        <v>596</v>
      </c>
      <c r="E91" s="58"/>
      <c r="F91" s="58" t="s">
        <v>58</v>
      </c>
      <c r="G91" s="58"/>
      <c r="H91" s="58">
        <v>25000</v>
      </c>
      <c r="I91" s="58" t="s">
        <v>597</v>
      </c>
    </row>
    <row r="92" spans="1:9">
      <c r="A92" s="57">
        <v>45426</v>
      </c>
      <c r="B92" s="82" t="s">
        <v>1751</v>
      </c>
      <c r="C92" s="58" t="s">
        <v>271</v>
      </c>
      <c r="D92" s="58" t="s">
        <v>272</v>
      </c>
      <c r="E92" s="58"/>
      <c r="F92" s="58" t="s">
        <v>63</v>
      </c>
      <c r="G92" s="58"/>
      <c r="H92" s="58">
        <v>22000</v>
      </c>
      <c r="I92" s="58" t="s">
        <v>273</v>
      </c>
    </row>
    <row r="93" spans="1:9">
      <c r="A93" s="57">
        <v>45427</v>
      </c>
      <c r="B93" s="82" t="s">
        <v>1751</v>
      </c>
      <c r="C93" s="58" t="s">
        <v>280</v>
      </c>
      <c r="D93" s="58" t="s">
        <v>281</v>
      </c>
      <c r="E93" s="58"/>
      <c r="F93" s="58" t="s">
        <v>63</v>
      </c>
      <c r="G93" s="58"/>
      <c r="H93" s="58">
        <v>36500</v>
      </c>
      <c r="I93" s="58" t="s">
        <v>282</v>
      </c>
    </row>
    <row r="94" spans="1:9">
      <c r="A94" s="57">
        <v>45456</v>
      </c>
      <c r="B94" s="82" t="s">
        <v>1751</v>
      </c>
      <c r="C94" s="58" t="s">
        <v>438</v>
      </c>
      <c r="D94" s="58" t="s">
        <v>439</v>
      </c>
      <c r="E94" s="58"/>
      <c r="F94" s="58" t="s">
        <v>342</v>
      </c>
      <c r="G94" s="58"/>
      <c r="H94" s="58">
        <v>20000</v>
      </c>
      <c r="I94" s="58"/>
    </row>
    <row r="95" spans="1:9">
      <c r="A95" s="57">
        <v>45476</v>
      </c>
      <c r="B95" s="82" t="s">
        <v>1752</v>
      </c>
      <c r="C95" s="58" t="s">
        <v>547</v>
      </c>
      <c r="D95" s="58" t="s">
        <v>548</v>
      </c>
      <c r="E95" s="58"/>
      <c r="F95" s="58" t="s">
        <v>63</v>
      </c>
      <c r="G95" s="58" t="s">
        <v>59</v>
      </c>
      <c r="H95" s="58">
        <v>32000</v>
      </c>
      <c r="I95" s="58" t="s">
        <v>549</v>
      </c>
    </row>
    <row r="96" spans="1:9">
      <c r="A96" s="57">
        <v>45474</v>
      </c>
      <c r="B96" s="82" t="s">
        <v>1752</v>
      </c>
      <c r="C96" s="58" t="s">
        <v>527</v>
      </c>
      <c r="D96" s="58" t="s">
        <v>528</v>
      </c>
      <c r="E96" s="58"/>
      <c r="F96" s="58" t="s">
        <v>63</v>
      </c>
      <c r="G96" s="58" t="s">
        <v>59</v>
      </c>
      <c r="H96" s="58">
        <v>14000</v>
      </c>
      <c r="I96" s="58" t="s">
        <v>529</v>
      </c>
    </row>
    <row r="97" spans="1:9">
      <c r="A97" s="57">
        <v>45513</v>
      </c>
      <c r="B97" s="82" t="s">
        <v>1752</v>
      </c>
      <c r="C97" s="60" t="s">
        <v>768</v>
      </c>
      <c r="D97" s="58" t="s">
        <v>769</v>
      </c>
      <c r="E97" s="60" t="s">
        <v>433</v>
      </c>
      <c r="F97" s="75" t="s">
        <v>63</v>
      </c>
      <c r="G97" s="63"/>
      <c r="H97" s="60">
        <v>50000</v>
      </c>
      <c r="I97" s="63"/>
    </row>
    <row r="98" spans="1:9">
      <c r="A98" s="57">
        <v>45517</v>
      </c>
      <c r="B98" s="82" t="s">
        <v>1752</v>
      </c>
      <c r="C98" s="60" t="s">
        <v>815</v>
      </c>
      <c r="D98" s="58" t="s">
        <v>769</v>
      </c>
      <c r="E98" s="60" t="s">
        <v>816</v>
      </c>
      <c r="F98" s="75" t="s">
        <v>63</v>
      </c>
      <c r="G98" s="63"/>
      <c r="H98" s="60">
        <v>28000</v>
      </c>
      <c r="I98" s="63"/>
    </row>
    <row r="99" spans="1:9">
      <c r="A99" s="57">
        <v>45518</v>
      </c>
      <c r="B99" s="82" t="s">
        <v>1752</v>
      </c>
      <c r="C99" s="60" t="s">
        <v>818</v>
      </c>
      <c r="D99" s="58" t="s">
        <v>769</v>
      </c>
      <c r="E99" s="60" t="s">
        <v>819</v>
      </c>
      <c r="F99" s="75" t="s">
        <v>63</v>
      </c>
      <c r="G99" s="63"/>
      <c r="H99" s="60">
        <v>19000</v>
      </c>
      <c r="I99" s="63"/>
    </row>
    <row r="100" spans="1:9">
      <c r="A100" s="57">
        <v>45520</v>
      </c>
      <c r="B100" s="82" t="s">
        <v>1752</v>
      </c>
      <c r="C100" s="60" t="s">
        <v>839</v>
      </c>
      <c r="D100" s="58" t="s">
        <v>769</v>
      </c>
      <c r="E100" s="60" t="s">
        <v>840</v>
      </c>
      <c r="F100" s="75" t="s">
        <v>58</v>
      </c>
      <c r="G100" s="63"/>
      <c r="H100" s="60">
        <v>58000</v>
      </c>
      <c r="I100" s="63"/>
    </row>
    <row r="101" spans="1:9">
      <c r="A101" s="57">
        <v>45523</v>
      </c>
      <c r="B101" s="82" t="s">
        <v>1752</v>
      </c>
      <c r="C101" s="60" t="s">
        <v>879</v>
      </c>
      <c r="D101" s="58" t="s">
        <v>769</v>
      </c>
      <c r="E101" s="60" t="s">
        <v>880</v>
      </c>
      <c r="F101" s="75" t="s">
        <v>58</v>
      </c>
      <c r="G101" s="63"/>
      <c r="H101" s="60">
        <v>75000</v>
      </c>
      <c r="I101" s="63"/>
    </row>
    <row r="102" spans="1:9">
      <c r="A102" s="57">
        <v>45525</v>
      </c>
      <c r="B102" s="82" t="s">
        <v>1752</v>
      </c>
      <c r="C102" s="60" t="s">
        <v>890</v>
      </c>
      <c r="D102" s="58" t="s">
        <v>769</v>
      </c>
      <c r="E102" s="60" t="s">
        <v>891</v>
      </c>
      <c r="F102" s="75" t="s">
        <v>63</v>
      </c>
      <c r="G102" s="63"/>
      <c r="H102" s="60">
        <v>14000</v>
      </c>
      <c r="I102" s="63"/>
    </row>
    <row r="103" spans="1:9">
      <c r="A103" s="57">
        <v>45525</v>
      </c>
      <c r="B103" s="82" t="s">
        <v>1752</v>
      </c>
      <c r="C103" s="60" t="s">
        <v>896</v>
      </c>
      <c r="D103" s="58" t="s">
        <v>769</v>
      </c>
      <c r="E103" s="60" t="s">
        <v>897</v>
      </c>
      <c r="F103" s="75" t="s">
        <v>58</v>
      </c>
      <c r="G103" s="63"/>
      <c r="H103" s="60">
        <v>116500</v>
      </c>
      <c r="I103" s="63"/>
    </row>
    <row r="104" spans="1:9">
      <c r="A104" s="57">
        <v>45531</v>
      </c>
      <c r="B104" s="82" t="s">
        <v>1752</v>
      </c>
      <c r="C104" s="60" t="s">
        <v>921</v>
      </c>
      <c r="D104" s="58" t="s">
        <v>769</v>
      </c>
      <c r="E104" s="60" t="s">
        <v>840</v>
      </c>
      <c r="F104" s="75" t="s">
        <v>58</v>
      </c>
      <c r="G104" s="63"/>
      <c r="H104" s="60">
        <v>25000</v>
      </c>
      <c r="I104" s="63"/>
    </row>
    <row r="105" spans="1:9">
      <c r="A105" s="57">
        <v>45531</v>
      </c>
      <c r="B105" s="82" t="s">
        <v>1752</v>
      </c>
      <c r="C105" s="60" t="s">
        <v>925</v>
      </c>
      <c r="D105" s="58" t="s">
        <v>769</v>
      </c>
      <c r="E105" s="60" t="s">
        <v>816</v>
      </c>
      <c r="F105" s="75" t="s">
        <v>63</v>
      </c>
      <c r="G105" s="63"/>
      <c r="H105" s="60">
        <v>33000</v>
      </c>
      <c r="I105" s="63"/>
    </row>
    <row r="106" spans="1:9">
      <c r="A106" s="57">
        <v>45531</v>
      </c>
      <c r="B106" s="82" t="s">
        <v>1752</v>
      </c>
      <c r="C106" s="60" t="s">
        <v>931</v>
      </c>
      <c r="D106" s="58" t="s">
        <v>769</v>
      </c>
      <c r="E106" s="60" t="s">
        <v>932</v>
      </c>
      <c r="F106" s="75" t="s">
        <v>63</v>
      </c>
      <c r="G106" s="63"/>
      <c r="H106" s="60">
        <v>150000</v>
      </c>
      <c r="I106" s="63"/>
    </row>
    <row r="107" spans="1:9">
      <c r="A107" s="57">
        <v>45532</v>
      </c>
      <c r="B107" s="82" t="s">
        <v>1752</v>
      </c>
      <c r="C107" s="60" t="s">
        <v>934</v>
      </c>
      <c r="D107" s="58" t="s">
        <v>769</v>
      </c>
      <c r="E107" s="60" t="s">
        <v>433</v>
      </c>
      <c r="F107" s="75" t="s">
        <v>66</v>
      </c>
      <c r="G107" s="63"/>
      <c r="H107" s="60">
        <v>152000</v>
      </c>
      <c r="I107" s="63"/>
    </row>
    <row r="108" spans="1:9">
      <c r="A108" s="57">
        <v>45533</v>
      </c>
      <c r="B108" s="82" t="s">
        <v>1752</v>
      </c>
      <c r="C108" s="60" t="s">
        <v>936</v>
      </c>
      <c r="D108" s="58" t="s">
        <v>769</v>
      </c>
      <c r="E108" s="60" t="s">
        <v>937</v>
      </c>
      <c r="F108" s="75" t="s">
        <v>58</v>
      </c>
      <c r="G108" s="63"/>
      <c r="H108" s="60">
        <v>28000</v>
      </c>
      <c r="I108" s="63"/>
    </row>
    <row r="109" spans="1:9">
      <c r="A109" s="57">
        <v>45535</v>
      </c>
      <c r="B109" s="82" t="s">
        <v>1752</v>
      </c>
      <c r="C109" s="60" t="s">
        <v>956</v>
      </c>
      <c r="D109" s="58" t="s">
        <v>769</v>
      </c>
      <c r="E109" s="60" t="s">
        <v>957</v>
      </c>
      <c r="F109" s="75" t="s">
        <v>58</v>
      </c>
      <c r="G109" s="63"/>
      <c r="H109" s="60">
        <v>34000</v>
      </c>
      <c r="I109" s="63"/>
    </row>
    <row r="110" spans="1:9">
      <c r="A110" s="57">
        <v>45535</v>
      </c>
      <c r="B110" s="82" t="s">
        <v>1752</v>
      </c>
      <c r="C110" s="60" t="s">
        <v>961</v>
      </c>
      <c r="D110" s="58" t="s">
        <v>769</v>
      </c>
      <c r="E110" s="60" t="s">
        <v>962</v>
      </c>
      <c r="F110" s="75" t="s">
        <v>63</v>
      </c>
      <c r="G110" s="63"/>
      <c r="H110" s="60">
        <v>59000</v>
      </c>
      <c r="I110" s="63"/>
    </row>
    <row r="111" spans="1:9">
      <c r="A111" s="61">
        <v>45538</v>
      </c>
      <c r="B111" s="82" t="s">
        <v>1752</v>
      </c>
      <c r="C111" s="60" t="s">
        <v>978</v>
      </c>
      <c r="D111" s="60" t="s">
        <v>769</v>
      </c>
      <c r="E111" s="60" t="s">
        <v>979</v>
      </c>
      <c r="F111" s="75" t="s">
        <v>63</v>
      </c>
      <c r="G111" s="63"/>
      <c r="H111" s="60">
        <v>24215</v>
      </c>
      <c r="I111" s="63"/>
    </row>
    <row r="112" spans="1:9">
      <c r="A112" s="61">
        <v>45545</v>
      </c>
      <c r="B112" s="82" t="s">
        <v>1752</v>
      </c>
      <c r="C112" s="60" t="s">
        <v>1051</v>
      </c>
      <c r="D112" s="60" t="s">
        <v>769</v>
      </c>
      <c r="E112" s="60" t="s">
        <v>897</v>
      </c>
      <c r="F112" s="75" t="s">
        <v>63</v>
      </c>
      <c r="G112" s="63"/>
      <c r="H112" s="60">
        <v>110000</v>
      </c>
      <c r="I112" s="63"/>
    </row>
    <row r="113" spans="1:9">
      <c r="A113" s="61">
        <v>45547</v>
      </c>
      <c r="B113" s="82" t="s">
        <v>1752</v>
      </c>
      <c r="C113" s="60" t="s">
        <v>1070</v>
      </c>
      <c r="D113" s="60" t="s">
        <v>769</v>
      </c>
      <c r="E113" s="60" t="s">
        <v>1071</v>
      </c>
      <c r="F113" s="75" t="s">
        <v>63</v>
      </c>
      <c r="G113" s="63"/>
      <c r="H113" s="60">
        <v>60000</v>
      </c>
      <c r="I113" s="63"/>
    </row>
    <row r="114" spans="1:9">
      <c r="A114" s="61">
        <v>45547</v>
      </c>
      <c r="B114" s="82" t="s">
        <v>1752</v>
      </c>
      <c r="C114" s="60" t="s">
        <v>1079</v>
      </c>
      <c r="D114" s="60" t="s">
        <v>769</v>
      </c>
      <c r="E114" s="60" t="s">
        <v>1080</v>
      </c>
      <c r="F114" s="75" t="s">
        <v>63</v>
      </c>
      <c r="G114" s="63"/>
      <c r="H114" s="60">
        <v>105000</v>
      </c>
      <c r="I114" s="63"/>
    </row>
    <row r="115" spans="1:9">
      <c r="A115" s="61">
        <v>45549</v>
      </c>
      <c r="B115" s="82" t="s">
        <v>1752</v>
      </c>
      <c r="C115" s="60" t="s">
        <v>1084</v>
      </c>
      <c r="D115" s="60" t="s">
        <v>769</v>
      </c>
      <c r="E115" s="60" t="s">
        <v>891</v>
      </c>
      <c r="F115" s="75" t="s">
        <v>63</v>
      </c>
      <c r="G115" s="63"/>
      <c r="H115" s="60">
        <v>17500</v>
      </c>
      <c r="I115" s="63"/>
    </row>
    <row r="116" spans="1:9">
      <c r="A116" s="61">
        <v>45549</v>
      </c>
      <c r="B116" s="82" t="s">
        <v>1752</v>
      </c>
      <c r="C116" s="60" t="s">
        <v>1086</v>
      </c>
      <c r="D116" s="60" t="s">
        <v>769</v>
      </c>
      <c r="E116" s="60" t="s">
        <v>433</v>
      </c>
      <c r="F116" s="75" t="s">
        <v>63</v>
      </c>
      <c r="G116" s="63"/>
      <c r="H116" s="60">
        <v>140000</v>
      </c>
      <c r="I116" s="63"/>
    </row>
    <row r="117" spans="1:9">
      <c r="A117" s="61">
        <v>45561</v>
      </c>
      <c r="B117" s="82" t="s">
        <v>1752</v>
      </c>
      <c r="C117" s="60" t="s">
        <v>1158</v>
      </c>
      <c r="D117" s="60" t="s">
        <v>769</v>
      </c>
      <c r="E117" s="60" t="s">
        <v>979</v>
      </c>
      <c r="F117" s="75" t="s">
        <v>63</v>
      </c>
      <c r="G117" s="63"/>
      <c r="H117" s="60">
        <v>15000</v>
      </c>
      <c r="I117" s="63"/>
    </row>
    <row r="118" spans="1:9">
      <c r="A118" s="61">
        <v>45563</v>
      </c>
      <c r="B118" s="82" t="s">
        <v>1752</v>
      </c>
      <c r="C118" s="60" t="s">
        <v>1165</v>
      </c>
      <c r="D118" s="60" t="s">
        <v>769</v>
      </c>
      <c r="E118" s="60" t="s">
        <v>433</v>
      </c>
      <c r="F118" s="75" t="s">
        <v>63</v>
      </c>
      <c r="G118" s="63"/>
      <c r="H118" s="60">
        <v>28000</v>
      </c>
      <c r="I118" s="63"/>
    </row>
    <row r="119" spans="1:9">
      <c r="A119" s="61">
        <v>45564</v>
      </c>
      <c r="B119" s="82" t="s">
        <v>1752</v>
      </c>
      <c r="C119" s="60" t="s">
        <v>1171</v>
      </c>
      <c r="D119" s="60" t="s">
        <v>769</v>
      </c>
      <c r="E119" s="60" t="s">
        <v>819</v>
      </c>
      <c r="F119" s="75" t="s">
        <v>63</v>
      </c>
      <c r="G119" s="63"/>
      <c r="H119" s="60">
        <v>24215</v>
      </c>
      <c r="I119" s="63"/>
    </row>
    <row r="120" spans="1:9">
      <c r="A120" s="61">
        <v>45567</v>
      </c>
      <c r="B120" s="61" t="s">
        <v>1753</v>
      </c>
      <c r="C120" s="60" t="s">
        <v>1181</v>
      </c>
      <c r="D120" s="60" t="s">
        <v>769</v>
      </c>
      <c r="E120" s="60" t="s">
        <v>1182</v>
      </c>
      <c r="F120" s="75" t="s">
        <v>63</v>
      </c>
      <c r="G120" s="63"/>
      <c r="H120" s="60">
        <v>43500</v>
      </c>
      <c r="I120" s="63"/>
    </row>
    <row r="121" spans="1:9">
      <c r="A121" s="61">
        <v>45569</v>
      </c>
      <c r="B121" s="61" t="s">
        <v>1753</v>
      </c>
      <c r="C121" s="60" t="s">
        <v>1079</v>
      </c>
      <c r="D121" s="60" t="s">
        <v>769</v>
      </c>
      <c r="E121" s="60" t="s">
        <v>1186</v>
      </c>
      <c r="F121" s="75" t="s">
        <v>66</v>
      </c>
      <c r="G121" s="63"/>
      <c r="H121" s="60">
        <v>26500</v>
      </c>
      <c r="I121" s="63"/>
    </row>
    <row r="122" spans="1:9">
      <c r="A122" s="62">
        <v>45578</v>
      </c>
      <c r="B122" s="61" t="s">
        <v>1753</v>
      </c>
      <c r="C122" s="60" t="s">
        <v>1249</v>
      </c>
      <c r="D122" s="60" t="s">
        <v>769</v>
      </c>
      <c r="E122" s="60" t="s">
        <v>1250</v>
      </c>
      <c r="F122" s="75" t="s">
        <v>63</v>
      </c>
      <c r="G122" s="63"/>
      <c r="H122" s="60">
        <v>20600</v>
      </c>
      <c r="I122" s="63"/>
    </row>
    <row r="123" spans="1:9">
      <c r="A123" s="62">
        <v>45580</v>
      </c>
      <c r="B123" s="61" t="s">
        <v>1753</v>
      </c>
      <c r="C123" s="60" t="s">
        <v>1270</v>
      </c>
      <c r="D123" s="60" t="s">
        <v>769</v>
      </c>
      <c r="E123" s="60" t="s">
        <v>1271</v>
      </c>
      <c r="F123" s="75" t="s">
        <v>63</v>
      </c>
      <c r="G123" s="63"/>
      <c r="H123" s="60">
        <v>150200</v>
      </c>
      <c r="I123" s="63"/>
    </row>
    <row r="124" spans="1:9">
      <c r="A124" s="62">
        <v>45580</v>
      </c>
      <c r="B124" s="61" t="s">
        <v>1753</v>
      </c>
      <c r="C124" s="60" t="s">
        <v>1275</v>
      </c>
      <c r="D124" s="60" t="s">
        <v>769</v>
      </c>
      <c r="E124" s="60" t="s">
        <v>1276</v>
      </c>
      <c r="F124" s="75" t="s">
        <v>63</v>
      </c>
      <c r="G124" s="63"/>
      <c r="H124" s="60">
        <v>132000</v>
      </c>
      <c r="I124" s="63"/>
    </row>
    <row r="125" spans="1:9">
      <c r="A125" s="62">
        <v>45585</v>
      </c>
      <c r="B125" s="61" t="s">
        <v>1753</v>
      </c>
      <c r="C125" s="60" t="s">
        <v>1330</v>
      </c>
      <c r="D125" s="60" t="s">
        <v>769</v>
      </c>
      <c r="E125" s="60" t="s">
        <v>819</v>
      </c>
      <c r="F125" s="75" t="s">
        <v>66</v>
      </c>
      <c r="G125" s="63"/>
      <c r="H125" s="60">
        <v>38300</v>
      </c>
      <c r="I125" s="63"/>
    </row>
    <row r="126" spans="1:9">
      <c r="A126" s="62">
        <v>45590</v>
      </c>
      <c r="B126" s="61" t="s">
        <v>1753</v>
      </c>
      <c r="C126" s="60" t="s">
        <v>1360</v>
      </c>
      <c r="D126" s="60" t="s">
        <v>769</v>
      </c>
      <c r="E126" s="60" t="s">
        <v>891</v>
      </c>
      <c r="F126" s="75" t="s">
        <v>63</v>
      </c>
      <c r="G126" s="63"/>
      <c r="H126" s="60">
        <v>37300</v>
      </c>
      <c r="I126" s="63"/>
    </row>
    <row r="127" spans="1:9">
      <c r="A127" s="62">
        <v>45590</v>
      </c>
      <c r="B127" s="61" t="s">
        <v>1753</v>
      </c>
      <c r="C127" s="60" t="s">
        <v>1379</v>
      </c>
      <c r="D127" s="60" t="s">
        <v>769</v>
      </c>
      <c r="E127" s="60" t="s">
        <v>1380</v>
      </c>
      <c r="F127" s="75" t="s">
        <v>63</v>
      </c>
      <c r="G127" s="63"/>
      <c r="H127" s="60">
        <v>20600</v>
      </c>
      <c r="I127" s="63"/>
    </row>
    <row r="128" spans="1:9">
      <c r="A128" s="62">
        <v>45592</v>
      </c>
      <c r="B128" s="61" t="s">
        <v>1753</v>
      </c>
      <c r="C128" s="60" t="s">
        <v>1388</v>
      </c>
      <c r="D128" s="60" t="s">
        <v>769</v>
      </c>
      <c r="E128" s="60" t="s">
        <v>1389</v>
      </c>
      <c r="F128" s="75" t="s">
        <v>66</v>
      </c>
      <c r="G128" s="63"/>
      <c r="H128" s="60">
        <v>51000</v>
      </c>
      <c r="I128" s="63"/>
    </row>
    <row r="129" spans="1:9">
      <c r="A129" s="61">
        <v>45598</v>
      </c>
      <c r="B129" s="61" t="s">
        <v>1753</v>
      </c>
      <c r="C129" s="60" t="s">
        <v>1405</v>
      </c>
      <c r="D129" s="60" t="s">
        <v>769</v>
      </c>
      <c r="E129" s="60" t="s">
        <v>1406</v>
      </c>
      <c r="F129" s="75" t="s">
        <v>63</v>
      </c>
      <c r="G129" s="63"/>
      <c r="H129" s="60">
        <v>24000</v>
      </c>
      <c r="I129" s="63"/>
    </row>
    <row r="130" spans="1:9">
      <c r="A130" s="61">
        <v>45600</v>
      </c>
      <c r="B130" s="61" t="s">
        <v>1753</v>
      </c>
      <c r="C130" s="60" t="s">
        <v>1419</v>
      </c>
      <c r="D130" s="60" t="s">
        <v>769</v>
      </c>
      <c r="E130" s="60" t="s">
        <v>433</v>
      </c>
      <c r="F130" s="75" t="s">
        <v>63</v>
      </c>
      <c r="G130" s="63"/>
      <c r="H130" s="60">
        <v>62000</v>
      </c>
      <c r="I130" s="63"/>
    </row>
    <row r="131" spans="1:9">
      <c r="A131" s="61">
        <v>45601</v>
      </c>
      <c r="B131" s="61" t="s">
        <v>1753</v>
      </c>
      <c r="C131" s="60" t="s">
        <v>1424</v>
      </c>
      <c r="D131" s="60" t="s">
        <v>769</v>
      </c>
      <c r="E131" s="60" t="s">
        <v>897</v>
      </c>
      <c r="F131" s="75" t="s">
        <v>63</v>
      </c>
      <c r="G131" s="63"/>
      <c r="H131" s="60">
        <v>31000</v>
      </c>
      <c r="I131" s="63"/>
    </row>
    <row r="132" spans="1:9">
      <c r="A132" s="61">
        <v>45605</v>
      </c>
      <c r="B132" s="61" t="s">
        <v>1753</v>
      </c>
      <c r="C132" s="60" t="s">
        <v>1456</v>
      </c>
      <c r="D132" s="60" t="s">
        <v>769</v>
      </c>
      <c r="E132" s="60" t="s">
        <v>1457</v>
      </c>
      <c r="F132" s="75" t="s">
        <v>63</v>
      </c>
      <c r="G132" s="63"/>
      <c r="H132" s="60">
        <v>35000</v>
      </c>
      <c r="I132" s="63"/>
    </row>
    <row r="133" spans="1:9">
      <c r="A133" s="62">
        <v>45608</v>
      </c>
      <c r="B133" s="61" t="s">
        <v>1753</v>
      </c>
      <c r="C133" s="60" t="s">
        <v>1476</v>
      </c>
      <c r="D133" s="60" t="s">
        <v>769</v>
      </c>
      <c r="E133" s="60" t="s">
        <v>1271</v>
      </c>
      <c r="F133" s="75" t="s">
        <v>63</v>
      </c>
      <c r="G133" s="63"/>
      <c r="H133" s="60">
        <v>68000</v>
      </c>
      <c r="I133" s="63"/>
    </row>
    <row r="134" spans="1:9">
      <c r="A134" s="62">
        <v>45609</v>
      </c>
      <c r="B134" s="61" t="s">
        <v>1753</v>
      </c>
      <c r="C134" s="60" t="s">
        <v>1480</v>
      </c>
      <c r="D134" s="60" t="s">
        <v>769</v>
      </c>
      <c r="E134" s="60" t="s">
        <v>979</v>
      </c>
      <c r="F134" s="75" t="s">
        <v>63</v>
      </c>
      <c r="G134" s="63"/>
      <c r="H134" s="60">
        <v>37000</v>
      </c>
      <c r="I134" s="63"/>
    </row>
    <row r="135" spans="1:9">
      <c r="A135" s="62">
        <v>45610</v>
      </c>
      <c r="B135" s="61" t="s">
        <v>1753</v>
      </c>
      <c r="C135" s="60" t="s">
        <v>1490</v>
      </c>
      <c r="D135" s="60" t="s">
        <v>769</v>
      </c>
      <c r="E135" s="60" t="s">
        <v>979</v>
      </c>
      <c r="F135" s="75" t="s">
        <v>58</v>
      </c>
      <c r="G135" s="63"/>
      <c r="H135" s="60">
        <v>26000</v>
      </c>
      <c r="I135" s="63"/>
    </row>
    <row r="136" spans="1:9">
      <c r="A136" s="62">
        <v>45610</v>
      </c>
      <c r="B136" s="61" t="s">
        <v>1753</v>
      </c>
      <c r="C136" s="60" t="s">
        <v>1492</v>
      </c>
      <c r="D136" s="60" t="s">
        <v>769</v>
      </c>
      <c r="E136" s="60" t="s">
        <v>897</v>
      </c>
      <c r="F136" s="75" t="s">
        <v>63</v>
      </c>
      <c r="G136" s="63"/>
      <c r="H136" s="60">
        <v>55000</v>
      </c>
      <c r="I136" s="63"/>
    </row>
    <row r="137" spans="1:9">
      <c r="A137" s="62">
        <v>45611</v>
      </c>
      <c r="B137" s="61" t="s">
        <v>1753</v>
      </c>
      <c r="C137" s="60" t="s">
        <v>1495</v>
      </c>
      <c r="D137" s="60" t="s">
        <v>769</v>
      </c>
      <c r="E137" s="60" t="s">
        <v>1496</v>
      </c>
      <c r="F137" s="75" t="s">
        <v>58</v>
      </c>
      <c r="G137" s="63"/>
      <c r="H137" s="60">
        <v>14000</v>
      </c>
      <c r="I137" s="63"/>
    </row>
    <row r="138" spans="1:9">
      <c r="A138" s="61">
        <v>45627</v>
      </c>
      <c r="B138" s="61" t="s">
        <v>1753</v>
      </c>
      <c r="C138" s="60" t="s">
        <v>1538</v>
      </c>
      <c r="D138" s="60" t="s">
        <v>769</v>
      </c>
      <c r="E138" s="60" t="s">
        <v>1539</v>
      </c>
      <c r="F138" s="75" t="s">
        <v>63</v>
      </c>
      <c r="G138" s="63"/>
      <c r="H138" s="60">
        <v>56600</v>
      </c>
      <c r="I138" s="63"/>
    </row>
    <row r="139" spans="1:9">
      <c r="A139" s="61">
        <v>45627</v>
      </c>
      <c r="B139" s="61" t="s">
        <v>1753</v>
      </c>
      <c r="C139" s="60" t="s">
        <v>1546</v>
      </c>
      <c r="D139" s="60" t="s">
        <v>769</v>
      </c>
      <c r="E139" s="60" t="s">
        <v>1547</v>
      </c>
      <c r="F139" s="75" t="s">
        <v>63</v>
      </c>
      <c r="G139" s="63"/>
      <c r="H139" s="60">
        <v>81000</v>
      </c>
      <c r="I139" s="63"/>
    </row>
    <row r="140" spans="1:9">
      <c r="A140" s="61">
        <v>45627</v>
      </c>
      <c r="B140" s="61" t="s">
        <v>1753</v>
      </c>
      <c r="C140" s="60" t="s">
        <v>1549</v>
      </c>
      <c r="D140" s="60" t="s">
        <v>769</v>
      </c>
      <c r="E140" s="60" t="s">
        <v>816</v>
      </c>
      <c r="F140" s="75" t="s">
        <v>63</v>
      </c>
      <c r="G140" s="63"/>
      <c r="H140" s="60">
        <v>30000</v>
      </c>
      <c r="I140" s="63"/>
    </row>
    <row r="141" spans="1:9">
      <c r="A141" s="61">
        <v>45629</v>
      </c>
      <c r="B141" s="61" t="s">
        <v>1753</v>
      </c>
      <c r="C141" s="60" t="s">
        <v>1570</v>
      </c>
      <c r="D141" s="60" t="s">
        <v>769</v>
      </c>
      <c r="E141" s="60" t="s">
        <v>1571</v>
      </c>
      <c r="F141" s="75" t="s">
        <v>58</v>
      </c>
      <c r="G141" s="63"/>
      <c r="H141" s="60">
        <v>50000</v>
      </c>
      <c r="I141" s="63"/>
    </row>
    <row r="142" spans="1:9">
      <c r="A142" s="61">
        <v>45631</v>
      </c>
      <c r="B142" s="61" t="s">
        <v>1753</v>
      </c>
      <c r="C142" s="60" t="s">
        <v>1577</v>
      </c>
      <c r="D142" s="60" t="s">
        <v>769</v>
      </c>
      <c r="E142" s="60" t="s">
        <v>1578</v>
      </c>
      <c r="F142" s="75" t="s">
        <v>63</v>
      </c>
      <c r="G142" s="63"/>
      <c r="H142" s="60">
        <v>120000</v>
      </c>
      <c r="I142" s="63"/>
    </row>
    <row r="143" spans="1:9">
      <c r="A143" s="62">
        <v>45643</v>
      </c>
      <c r="B143" s="61" t="s">
        <v>1753</v>
      </c>
      <c r="C143" s="60" t="s">
        <v>1638</v>
      </c>
      <c r="D143" s="60" t="s">
        <v>769</v>
      </c>
      <c r="E143" s="60" t="s">
        <v>433</v>
      </c>
      <c r="F143" s="75" t="s">
        <v>63</v>
      </c>
      <c r="G143" s="63"/>
      <c r="H143" s="60">
        <v>30000</v>
      </c>
      <c r="I143" s="63"/>
    </row>
    <row r="144" spans="1:9">
      <c r="A144" s="62">
        <v>45646</v>
      </c>
      <c r="B144" s="61" t="s">
        <v>1753</v>
      </c>
      <c r="C144" s="60" t="s">
        <v>1659</v>
      </c>
      <c r="D144" s="60" t="s">
        <v>769</v>
      </c>
      <c r="E144" s="60" t="s">
        <v>1406</v>
      </c>
      <c r="F144" s="75" t="s">
        <v>63</v>
      </c>
      <c r="G144" s="63"/>
      <c r="H144" s="60">
        <v>29200</v>
      </c>
      <c r="I144" s="63"/>
    </row>
    <row r="145" spans="1:9">
      <c r="A145" s="57">
        <v>45415</v>
      </c>
      <c r="B145" s="82" t="s">
        <v>1751</v>
      </c>
      <c r="C145" s="58" t="s">
        <v>201</v>
      </c>
      <c r="D145" s="81" t="s">
        <v>1747</v>
      </c>
      <c r="E145" s="58" t="s">
        <v>202</v>
      </c>
      <c r="F145" s="58" t="s">
        <v>63</v>
      </c>
      <c r="G145" s="58" t="s">
        <v>59</v>
      </c>
      <c r="H145" s="58">
        <v>51000</v>
      </c>
      <c r="I145" s="58" t="s">
        <v>203</v>
      </c>
    </row>
    <row r="146" spans="1:9">
      <c r="A146" s="57">
        <v>45454</v>
      </c>
      <c r="B146" s="82" t="s">
        <v>1751</v>
      </c>
      <c r="C146" s="58" t="s">
        <v>418</v>
      </c>
      <c r="D146" s="81" t="s">
        <v>1747</v>
      </c>
      <c r="E146" s="58" t="s">
        <v>419</v>
      </c>
      <c r="F146" s="58" t="s">
        <v>63</v>
      </c>
      <c r="G146" s="58"/>
      <c r="H146" s="58">
        <v>17000</v>
      </c>
      <c r="I146" s="58" t="s">
        <v>420</v>
      </c>
    </row>
    <row r="147" spans="1:9">
      <c r="A147" s="57">
        <v>45459</v>
      </c>
      <c r="B147" s="82" t="s">
        <v>1751</v>
      </c>
      <c r="C147" s="58" t="s">
        <v>449</v>
      </c>
      <c r="D147" s="81" t="s">
        <v>1747</v>
      </c>
      <c r="E147" s="58" t="s">
        <v>202</v>
      </c>
      <c r="F147" s="58" t="s">
        <v>63</v>
      </c>
      <c r="G147" s="58" t="s">
        <v>59</v>
      </c>
      <c r="H147" s="58">
        <v>59000</v>
      </c>
      <c r="I147" s="58" t="s">
        <v>450</v>
      </c>
    </row>
    <row r="148" spans="1:9">
      <c r="A148" s="57">
        <v>45480</v>
      </c>
      <c r="B148" s="82" t="s">
        <v>1752</v>
      </c>
      <c r="C148" s="58" t="s">
        <v>572</v>
      </c>
      <c r="D148" s="81" t="s">
        <v>1747</v>
      </c>
      <c r="E148" s="58" t="s">
        <v>573</v>
      </c>
      <c r="F148" s="58" t="s">
        <v>63</v>
      </c>
      <c r="G148" s="58" t="s">
        <v>192</v>
      </c>
      <c r="H148" s="58">
        <v>75000</v>
      </c>
      <c r="I148" s="58" t="s">
        <v>574</v>
      </c>
    </row>
    <row r="149" spans="1:9">
      <c r="A149" s="57">
        <v>45428</v>
      </c>
      <c r="B149" s="82" t="s">
        <v>1751</v>
      </c>
      <c r="C149" s="58" t="s">
        <v>283</v>
      </c>
      <c r="D149" s="58" t="s">
        <v>284</v>
      </c>
      <c r="E149" s="58"/>
      <c r="F149" s="58" t="s">
        <v>58</v>
      </c>
      <c r="G149" s="58"/>
      <c r="H149" s="58">
        <v>19000</v>
      </c>
      <c r="I149" s="58" t="s">
        <v>285</v>
      </c>
    </row>
    <row r="150" spans="1:9">
      <c r="A150" s="57">
        <v>45491</v>
      </c>
      <c r="B150" s="82" t="s">
        <v>1752</v>
      </c>
      <c r="C150" s="58" t="s">
        <v>635</v>
      </c>
      <c r="D150" s="58" t="s">
        <v>636</v>
      </c>
      <c r="E150" s="58"/>
      <c r="F150" s="58" t="s">
        <v>66</v>
      </c>
      <c r="G150" s="58"/>
      <c r="H150" s="58">
        <v>40000</v>
      </c>
      <c r="I150" s="58"/>
    </row>
    <row r="151" spans="1:9">
      <c r="A151" s="57">
        <v>45493</v>
      </c>
      <c r="B151" s="82" t="s">
        <v>1752</v>
      </c>
      <c r="C151" s="58" t="s">
        <v>641</v>
      </c>
      <c r="D151" s="58" t="s">
        <v>636</v>
      </c>
      <c r="E151" s="58"/>
      <c r="F151" s="58" t="s">
        <v>63</v>
      </c>
      <c r="G151" s="58"/>
      <c r="H151" s="58">
        <v>20500</v>
      </c>
      <c r="I151" s="58" t="s">
        <v>640</v>
      </c>
    </row>
    <row r="152" spans="1:9">
      <c r="A152" s="57">
        <v>45465</v>
      </c>
      <c r="B152" s="82" t="s">
        <v>1751</v>
      </c>
      <c r="C152" s="58" t="s">
        <v>478</v>
      </c>
      <c r="D152" s="58" t="s">
        <v>479</v>
      </c>
      <c r="E152" s="58"/>
      <c r="F152" s="58" t="s">
        <v>66</v>
      </c>
      <c r="G152" s="58"/>
      <c r="H152" s="58">
        <v>66000</v>
      </c>
      <c r="I152" s="58"/>
    </row>
    <row r="153" spans="1:9">
      <c r="A153" s="57">
        <v>45385</v>
      </c>
      <c r="B153" s="82" t="s">
        <v>1751</v>
      </c>
      <c r="C153" s="58" t="s">
        <v>74</v>
      </c>
      <c r="D153" s="58" t="s">
        <v>725</v>
      </c>
      <c r="E153" s="58" t="s">
        <v>75</v>
      </c>
      <c r="F153" s="58" t="s">
        <v>66</v>
      </c>
      <c r="G153" s="58" t="s">
        <v>59</v>
      </c>
      <c r="H153" s="58">
        <v>27000</v>
      </c>
      <c r="I153" s="58" t="s">
        <v>76</v>
      </c>
    </row>
    <row r="154" spans="1:9">
      <c r="A154" s="57">
        <v>45394</v>
      </c>
      <c r="B154" s="82" t="s">
        <v>1751</v>
      </c>
      <c r="C154" s="58" t="s">
        <v>101</v>
      </c>
      <c r="D154" s="58" t="s">
        <v>725</v>
      </c>
      <c r="E154" s="58" t="s">
        <v>75</v>
      </c>
      <c r="F154" s="58" t="s">
        <v>58</v>
      </c>
      <c r="G154" s="58" t="s">
        <v>59</v>
      </c>
      <c r="H154" s="58">
        <v>43200</v>
      </c>
      <c r="I154" s="58" t="s">
        <v>102</v>
      </c>
    </row>
    <row r="155" spans="1:9">
      <c r="A155" s="57">
        <v>45394</v>
      </c>
      <c r="B155" s="82" t="s">
        <v>1751</v>
      </c>
      <c r="C155" s="58" t="s">
        <v>106</v>
      </c>
      <c r="D155" s="58" t="s">
        <v>725</v>
      </c>
      <c r="E155" s="58" t="s">
        <v>75</v>
      </c>
      <c r="F155" s="58" t="s">
        <v>63</v>
      </c>
      <c r="G155" s="58" t="s">
        <v>59</v>
      </c>
      <c r="H155" s="58">
        <v>30500</v>
      </c>
      <c r="I155" s="58" t="s">
        <v>107</v>
      </c>
    </row>
    <row r="156" spans="1:9">
      <c r="A156" s="57">
        <v>45396</v>
      </c>
      <c r="B156" s="82" t="s">
        <v>1751</v>
      </c>
      <c r="C156" s="58" t="s">
        <v>111</v>
      </c>
      <c r="D156" s="58" t="s">
        <v>725</v>
      </c>
      <c r="E156" s="58" t="s">
        <v>75</v>
      </c>
      <c r="F156" s="58" t="s">
        <v>66</v>
      </c>
      <c r="G156" s="58" t="s">
        <v>59</v>
      </c>
      <c r="H156" s="58">
        <v>30200</v>
      </c>
      <c r="I156" s="58" t="s">
        <v>112</v>
      </c>
    </row>
    <row r="157" spans="1:9">
      <c r="A157" s="57">
        <v>45396</v>
      </c>
      <c r="B157" s="82" t="s">
        <v>1751</v>
      </c>
      <c r="C157" s="58" t="s">
        <v>116</v>
      </c>
      <c r="D157" s="58" t="s">
        <v>725</v>
      </c>
      <c r="E157" s="58" t="s">
        <v>75</v>
      </c>
      <c r="F157" s="58" t="s">
        <v>66</v>
      </c>
      <c r="G157" s="58" t="s">
        <v>59</v>
      </c>
      <c r="H157" s="58">
        <v>21500</v>
      </c>
      <c r="I157" s="58" t="s">
        <v>117</v>
      </c>
    </row>
    <row r="158" spans="1:9">
      <c r="A158" s="57">
        <v>45390</v>
      </c>
      <c r="B158" s="82" t="s">
        <v>1751</v>
      </c>
      <c r="C158" s="64" t="s">
        <v>124</v>
      </c>
      <c r="D158" s="58" t="s">
        <v>725</v>
      </c>
      <c r="E158" s="58" t="s">
        <v>75</v>
      </c>
      <c r="F158" s="58" t="s">
        <v>58</v>
      </c>
      <c r="G158" s="58" t="s">
        <v>125</v>
      </c>
      <c r="H158" s="65">
        <v>18500</v>
      </c>
      <c r="I158" s="63" t="s">
        <v>126</v>
      </c>
    </row>
    <row r="159" spans="1:9">
      <c r="A159" s="57">
        <v>45416</v>
      </c>
      <c r="B159" s="82" t="s">
        <v>1751</v>
      </c>
      <c r="C159" s="58" t="s">
        <v>209</v>
      </c>
      <c r="D159" s="58" t="s">
        <v>725</v>
      </c>
      <c r="E159" s="58" t="s">
        <v>75</v>
      </c>
      <c r="F159" s="58" t="s">
        <v>63</v>
      </c>
      <c r="G159" s="58"/>
      <c r="H159" s="58">
        <v>185000</v>
      </c>
      <c r="I159" s="58" t="s">
        <v>210</v>
      </c>
    </row>
    <row r="160" spans="1:9">
      <c r="A160" s="57">
        <v>45422</v>
      </c>
      <c r="B160" s="82" t="s">
        <v>1751</v>
      </c>
      <c r="C160" s="58" t="s">
        <v>240</v>
      </c>
      <c r="D160" s="58" t="s">
        <v>725</v>
      </c>
      <c r="E160" s="58" t="s">
        <v>75</v>
      </c>
      <c r="F160" s="58" t="s">
        <v>63</v>
      </c>
      <c r="G160" s="58" t="s">
        <v>59</v>
      </c>
      <c r="H160" s="58">
        <v>26500</v>
      </c>
      <c r="I160" s="58" t="s">
        <v>241</v>
      </c>
    </row>
    <row r="161" spans="1:9">
      <c r="A161" s="57">
        <v>45426</v>
      </c>
      <c r="B161" s="82" t="s">
        <v>1751</v>
      </c>
      <c r="C161" s="58" t="s">
        <v>266</v>
      </c>
      <c r="D161" s="58" t="s">
        <v>725</v>
      </c>
      <c r="E161" s="58" t="s">
        <v>75</v>
      </c>
      <c r="F161" s="58" t="s">
        <v>63</v>
      </c>
      <c r="G161" s="58" t="s">
        <v>59</v>
      </c>
      <c r="H161" s="58">
        <v>135000</v>
      </c>
      <c r="I161" s="58" t="s">
        <v>267</v>
      </c>
    </row>
    <row r="162" spans="1:9">
      <c r="A162" s="57">
        <v>45434</v>
      </c>
      <c r="B162" s="82" t="s">
        <v>1751</v>
      </c>
      <c r="C162" s="58" t="s">
        <v>316</v>
      </c>
      <c r="D162" s="58" t="s">
        <v>725</v>
      </c>
      <c r="E162" s="58" t="s">
        <v>75</v>
      </c>
      <c r="F162" s="58" t="s">
        <v>58</v>
      </c>
      <c r="G162" s="58"/>
      <c r="H162" s="58">
        <v>44500</v>
      </c>
      <c r="I162" s="58" t="s">
        <v>317</v>
      </c>
    </row>
    <row r="163" spans="1:9">
      <c r="A163" s="57">
        <v>45439</v>
      </c>
      <c r="B163" s="82" t="s">
        <v>1751</v>
      </c>
      <c r="C163" s="58" t="s">
        <v>351</v>
      </c>
      <c r="D163" s="58" t="s">
        <v>725</v>
      </c>
      <c r="E163" s="58" t="s">
        <v>75</v>
      </c>
      <c r="F163" s="58" t="s">
        <v>63</v>
      </c>
      <c r="G163" s="58" t="s">
        <v>59</v>
      </c>
      <c r="H163" s="58">
        <v>23000</v>
      </c>
      <c r="I163" s="58" t="s">
        <v>352</v>
      </c>
    </row>
    <row r="164" spans="1:9">
      <c r="A164" s="57">
        <v>45445</v>
      </c>
      <c r="B164" s="82" t="s">
        <v>1751</v>
      </c>
      <c r="C164" s="58" t="s">
        <v>378</v>
      </c>
      <c r="D164" s="58" t="s">
        <v>725</v>
      </c>
      <c r="E164" s="58" t="s">
        <v>75</v>
      </c>
      <c r="F164" s="58" t="s">
        <v>63</v>
      </c>
      <c r="G164" s="58" t="s">
        <v>59</v>
      </c>
      <c r="H164" s="58">
        <v>26000</v>
      </c>
      <c r="I164" s="58" t="s">
        <v>379</v>
      </c>
    </row>
    <row r="165" spans="1:9">
      <c r="A165" s="57">
        <v>45448</v>
      </c>
      <c r="B165" s="82" t="s">
        <v>1751</v>
      </c>
      <c r="C165" s="58" t="s">
        <v>389</v>
      </c>
      <c r="D165" s="58" t="s">
        <v>725</v>
      </c>
      <c r="E165" s="58" t="s">
        <v>75</v>
      </c>
      <c r="F165" s="58" t="s">
        <v>63</v>
      </c>
      <c r="G165" s="58" t="s">
        <v>192</v>
      </c>
      <c r="H165" s="58">
        <v>35000</v>
      </c>
      <c r="I165" s="58" t="s">
        <v>390</v>
      </c>
    </row>
    <row r="166" spans="1:9">
      <c r="A166" s="57">
        <v>45453</v>
      </c>
      <c r="B166" s="82" t="s">
        <v>1751</v>
      </c>
      <c r="C166" s="58" t="s">
        <v>407</v>
      </c>
      <c r="D166" s="58" t="s">
        <v>725</v>
      </c>
      <c r="E166" s="58" t="s">
        <v>75</v>
      </c>
      <c r="F166" s="58" t="s">
        <v>63</v>
      </c>
      <c r="G166" s="58" t="s">
        <v>59</v>
      </c>
      <c r="H166" s="58">
        <v>45000</v>
      </c>
      <c r="I166" s="58" t="s">
        <v>408</v>
      </c>
    </row>
    <row r="167" spans="1:9">
      <c r="A167" s="57">
        <v>45456</v>
      </c>
      <c r="B167" s="82" t="s">
        <v>1751</v>
      </c>
      <c r="C167" s="58" t="s">
        <v>434</v>
      </c>
      <c r="D167" s="58" t="s">
        <v>725</v>
      </c>
      <c r="E167" s="58" t="s">
        <v>75</v>
      </c>
      <c r="F167" s="58" t="s">
        <v>63</v>
      </c>
      <c r="G167" s="58" t="s">
        <v>192</v>
      </c>
      <c r="H167" s="58">
        <v>35000</v>
      </c>
      <c r="I167" s="58" t="s">
        <v>435</v>
      </c>
    </row>
    <row r="168" spans="1:9">
      <c r="A168" s="57">
        <v>45464</v>
      </c>
      <c r="B168" s="82" t="s">
        <v>1751</v>
      </c>
      <c r="C168" s="58" t="s">
        <v>461</v>
      </c>
      <c r="D168" s="58" t="s">
        <v>725</v>
      </c>
      <c r="E168" s="58" t="s">
        <v>75</v>
      </c>
      <c r="F168" s="58" t="s">
        <v>58</v>
      </c>
      <c r="G168" s="58"/>
      <c r="H168" s="58">
        <v>115000</v>
      </c>
      <c r="I168" s="58" t="s">
        <v>462</v>
      </c>
    </row>
    <row r="169" spans="1:9">
      <c r="A169" s="57">
        <v>45467</v>
      </c>
      <c r="B169" s="82" t="s">
        <v>1751</v>
      </c>
      <c r="C169" s="58" t="s">
        <v>491</v>
      </c>
      <c r="D169" s="58" t="s">
        <v>725</v>
      </c>
      <c r="E169" s="58" t="s">
        <v>75</v>
      </c>
      <c r="F169" s="58" t="s">
        <v>63</v>
      </c>
      <c r="G169" s="58" t="s">
        <v>59</v>
      </c>
      <c r="H169" s="58">
        <v>23500</v>
      </c>
      <c r="I169" s="58" t="s">
        <v>492</v>
      </c>
    </row>
    <row r="170" spans="1:9">
      <c r="A170" s="57">
        <v>45481</v>
      </c>
      <c r="B170" s="82" t="s">
        <v>1752</v>
      </c>
      <c r="C170" s="58" t="s">
        <v>578</v>
      </c>
      <c r="D170" s="58" t="s">
        <v>725</v>
      </c>
      <c r="E170" s="58" t="s">
        <v>75</v>
      </c>
      <c r="F170" s="58" t="s">
        <v>63</v>
      </c>
      <c r="G170" s="58" t="s">
        <v>59</v>
      </c>
      <c r="H170" s="58">
        <v>14000</v>
      </c>
      <c r="I170" s="58" t="s">
        <v>579</v>
      </c>
    </row>
    <row r="171" spans="1:9">
      <c r="A171" s="57">
        <v>45485</v>
      </c>
      <c r="B171" s="82" t="s">
        <v>1752</v>
      </c>
      <c r="C171" s="58" t="s">
        <v>604</v>
      </c>
      <c r="D171" s="58" t="s">
        <v>725</v>
      </c>
      <c r="E171" s="58" t="s">
        <v>75</v>
      </c>
      <c r="F171" s="58" t="s">
        <v>63</v>
      </c>
      <c r="G171" s="58" t="s">
        <v>59</v>
      </c>
      <c r="H171" s="58">
        <v>65000</v>
      </c>
      <c r="I171" s="58" t="s">
        <v>605</v>
      </c>
    </row>
    <row r="172" spans="1:9">
      <c r="A172" s="57">
        <v>45488</v>
      </c>
      <c r="B172" s="82" t="s">
        <v>1752</v>
      </c>
      <c r="C172" s="58" t="s">
        <v>617</v>
      </c>
      <c r="D172" s="58" t="s">
        <v>725</v>
      </c>
      <c r="E172" s="58" t="s">
        <v>75</v>
      </c>
      <c r="F172" s="58" t="s">
        <v>58</v>
      </c>
      <c r="G172" s="58"/>
      <c r="H172" s="58">
        <v>113000</v>
      </c>
      <c r="I172" s="58" t="s">
        <v>618</v>
      </c>
    </row>
    <row r="173" spans="1:9">
      <c r="A173" s="57">
        <v>45492</v>
      </c>
      <c r="B173" s="82" t="s">
        <v>1752</v>
      </c>
      <c r="C173" s="58" t="s">
        <v>637</v>
      </c>
      <c r="D173" s="58" t="s">
        <v>725</v>
      </c>
      <c r="E173" s="58" t="s">
        <v>75</v>
      </c>
      <c r="F173" s="58" t="s">
        <v>63</v>
      </c>
      <c r="G173" s="58" t="s">
        <v>59</v>
      </c>
      <c r="H173" s="58">
        <v>53500</v>
      </c>
      <c r="I173" s="58" t="s">
        <v>638</v>
      </c>
    </row>
    <row r="174" spans="1:9">
      <c r="A174" s="57">
        <v>45494</v>
      </c>
      <c r="B174" s="82" t="s">
        <v>1752</v>
      </c>
      <c r="C174" s="58" t="s">
        <v>650</v>
      </c>
      <c r="D174" s="58" t="s">
        <v>725</v>
      </c>
      <c r="E174" s="58" t="s">
        <v>75</v>
      </c>
      <c r="F174" s="58" t="s">
        <v>63</v>
      </c>
      <c r="G174" s="58"/>
      <c r="H174" s="58">
        <v>36000</v>
      </c>
      <c r="I174" s="58" t="s">
        <v>651</v>
      </c>
    </row>
    <row r="175" spans="1:9">
      <c r="A175" s="57">
        <v>45496</v>
      </c>
      <c r="B175" s="82" t="s">
        <v>1752</v>
      </c>
      <c r="C175" s="58" t="s">
        <v>679</v>
      </c>
      <c r="D175" s="58" t="s">
        <v>725</v>
      </c>
      <c r="E175" s="58" t="s">
        <v>75</v>
      </c>
      <c r="F175" s="58" t="s">
        <v>63</v>
      </c>
      <c r="G175" s="58" t="s">
        <v>192</v>
      </c>
      <c r="H175" s="58">
        <v>13500</v>
      </c>
      <c r="I175" s="58"/>
    </row>
    <row r="176" spans="1:9">
      <c r="A176" s="57">
        <v>45496</v>
      </c>
      <c r="B176" s="82" t="s">
        <v>1752</v>
      </c>
      <c r="C176" s="58" t="s">
        <v>680</v>
      </c>
      <c r="D176" s="58" t="s">
        <v>725</v>
      </c>
      <c r="E176" s="58" t="s">
        <v>75</v>
      </c>
      <c r="F176" s="58" t="s">
        <v>63</v>
      </c>
      <c r="G176" s="58" t="s">
        <v>192</v>
      </c>
      <c r="H176" s="58">
        <v>14000</v>
      </c>
      <c r="I176" s="58"/>
    </row>
    <row r="177" spans="1:9">
      <c r="A177" s="57">
        <v>45500</v>
      </c>
      <c r="B177" s="82" t="s">
        <v>1752</v>
      </c>
      <c r="C177" s="58" t="s">
        <v>692</v>
      </c>
      <c r="D177" s="58" t="s">
        <v>725</v>
      </c>
      <c r="E177" s="58" t="s">
        <v>75</v>
      </c>
      <c r="F177" s="58" t="s">
        <v>63</v>
      </c>
      <c r="G177" s="58" t="s">
        <v>192</v>
      </c>
      <c r="H177" s="58">
        <v>43000</v>
      </c>
      <c r="I177" s="58"/>
    </row>
    <row r="178" spans="1:9">
      <c r="A178" s="57">
        <v>45501</v>
      </c>
      <c r="B178" s="82" t="s">
        <v>1752</v>
      </c>
      <c r="C178" s="58" t="s">
        <v>695</v>
      </c>
      <c r="D178" s="58" t="s">
        <v>725</v>
      </c>
      <c r="E178" s="58" t="s">
        <v>75</v>
      </c>
      <c r="F178" s="58" t="s">
        <v>63</v>
      </c>
      <c r="G178" s="58"/>
      <c r="H178" s="58">
        <v>72000</v>
      </c>
      <c r="I178" s="58" t="s">
        <v>696</v>
      </c>
    </row>
    <row r="179" spans="1:9">
      <c r="A179" s="57">
        <v>45392</v>
      </c>
      <c r="B179" s="82" t="s">
        <v>1751</v>
      </c>
      <c r="C179" s="72" t="s">
        <v>158</v>
      </c>
      <c r="D179" s="58" t="s">
        <v>725</v>
      </c>
      <c r="E179" s="72" t="s">
        <v>159</v>
      </c>
      <c r="F179" s="58" t="s">
        <v>66</v>
      </c>
      <c r="G179" s="58"/>
      <c r="H179" s="58">
        <v>46000</v>
      </c>
      <c r="I179" s="63" t="s">
        <v>160</v>
      </c>
    </row>
    <row r="180" spans="1:9">
      <c r="A180" s="57">
        <v>45448</v>
      </c>
      <c r="B180" s="82" t="s">
        <v>1751</v>
      </c>
      <c r="C180" s="58" t="s">
        <v>391</v>
      </c>
      <c r="D180" s="58" t="s">
        <v>725</v>
      </c>
      <c r="E180" s="58" t="s">
        <v>392</v>
      </c>
      <c r="F180" s="58" t="s">
        <v>63</v>
      </c>
      <c r="G180" s="58" t="s">
        <v>192</v>
      </c>
      <c r="H180" s="58">
        <v>72000</v>
      </c>
      <c r="I180" s="58" t="s">
        <v>393</v>
      </c>
    </row>
    <row r="181" spans="1:9">
      <c r="A181" s="57">
        <v>45407</v>
      </c>
      <c r="B181" s="82" t="s">
        <v>1751</v>
      </c>
      <c r="C181" s="73" t="s">
        <v>181</v>
      </c>
      <c r="D181" s="58" t="s">
        <v>725</v>
      </c>
      <c r="E181" s="73" t="s">
        <v>182</v>
      </c>
      <c r="F181" s="58" t="s">
        <v>66</v>
      </c>
      <c r="G181" s="58"/>
      <c r="H181" s="73">
        <v>27000</v>
      </c>
      <c r="I181" s="63" t="s">
        <v>183</v>
      </c>
    </row>
    <row r="182" spans="1:9">
      <c r="A182" s="57">
        <v>45414</v>
      </c>
      <c r="B182" s="82" t="s">
        <v>1751</v>
      </c>
      <c r="C182" s="58" t="s">
        <v>197</v>
      </c>
      <c r="D182" s="58" t="s">
        <v>725</v>
      </c>
      <c r="E182" s="73" t="s">
        <v>182</v>
      </c>
      <c r="F182" s="58" t="s">
        <v>63</v>
      </c>
      <c r="G182" s="58" t="s">
        <v>192</v>
      </c>
      <c r="H182" s="58">
        <v>9500</v>
      </c>
      <c r="I182" s="58" t="s">
        <v>198</v>
      </c>
    </row>
    <row r="183" spans="1:9">
      <c r="A183" s="57">
        <v>45418</v>
      </c>
      <c r="B183" s="82" t="s">
        <v>1751</v>
      </c>
      <c r="C183" s="58" t="s">
        <v>221</v>
      </c>
      <c r="D183" s="58" t="s">
        <v>725</v>
      </c>
      <c r="E183" s="73" t="s">
        <v>182</v>
      </c>
      <c r="F183" s="58" t="s">
        <v>63</v>
      </c>
      <c r="G183" s="58" t="s">
        <v>192</v>
      </c>
      <c r="H183" s="58">
        <v>53000</v>
      </c>
      <c r="I183" s="58" t="s">
        <v>222</v>
      </c>
    </row>
    <row r="184" spans="1:9">
      <c r="A184" s="57">
        <v>45435</v>
      </c>
      <c r="B184" s="82" t="s">
        <v>1751</v>
      </c>
      <c r="C184" s="58" t="s">
        <v>106</v>
      </c>
      <c r="D184" s="58" t="s">
        <v>725</v>
      </c>
      <c r="E184" s="73" t="s">
        <v>182</v>
      </c>
      <c r="F184" s="58" t="s">
        <v>63</v>
      </c>
      <c r="G184" s="58"/>
      <c r="H184" s="58">
        <v>95000</v>
      </c>
      <c r="I184" s="58" t="s">
        <v>327</v>
      </c>
    </row>
    <row r="185" spans="1:9">
      <c r="A185" s="57">
        <v>45428</v>
      </c>
      <c r="B185" s="82" t="s">
        <v>1751</v>
      </c>
      <c r="C185" s="58" t="s">
        <v>291</v>
      </c>
      <c r="D185" s="58" t="s">
        <v>725</v>
      </c>
      <c r="E185" s="73" t="s">
        <v>182</v>
      </c>
      <c r="F185" s="58" t="s">
        <v>66</v>
      </c>
      <c r="G185" s="58"/>
      <c r="H185" s="58">
        <v>27000</v>
      </c>
      <c r="I185" s="58"/>
    </row>
    <row r="186" spans="1:9">
      <c r="A186" s="57">
        <v>45451</v>
      </c>
      <c r="B186" s="82" t="s">
        <v>1751</v>
      </c>
      <c r="C186" s="58" t="s">
        <v>406</v>
      </c>
      <c r="D186" s="58" t="s">
        <v>725</v>
      </c>
      <c r="E186" s="73" t="s">
        <v>182</v>
      </c>
      <c r="F186" s="58" t="s">
        <v>66</v>
      </c>
      <c r="G186" s="58"/>
      <c r="H186" s="58">
        <v>40600</v>
      </c>
      <c r="I186" s="58"/>
    </row>
    <row r="187" spans="1:9">
      <c r="A187" s="57">
        <v>45470</v>
      </c>
      <c r="B187" s="82" t="s">
        <v>1751</v>
      </c>
      <c r="C187" s="58" t="s">
        <v>511</v>
      </c>
      <c r="D187" s="58" t="s">
        <v>725</v>
      </c>
      <c r="E187" s="73" t="s">
        <v>182</v>
      </c>
      <c r="F187" s="58" t="s">
        <v>66</v>
      </c>
      <c r="G187" s="58"/>
      <c r="H187" s="58">
        <v>23500</v>
      </c>
      <c r="I187" s="58"/>
    </row>
    <row r="188" spans="1:9">
      <c r="A188" s="57">
        <v>45412</v>
      </c>
      <c r="B188" s="82" t="s">
        <v>1751</v>
      </c>
      <c r="C188" s="73" t="s">
        <v>187</v>
      </c>
      <c r="D188" s="58" t="s">
        <v>725</v>
      </c>
      <c r="E188" s="73" t="s">
        <v>188</v>
      </c>
      <c r="F188" s="58" t="s">
        <v>58</v>
      </c>
      <c r="G188" s="58"/>
      <c r="H188" s="73">
        <v>38000</v>
      </c>
      <c r="I188" s="63" t="s">
        <v>189</v>
      </c>
    </row>
    <row r="189" spans="1:9">
      <c r="A189" s="57">
        <v>45455</v>
      </c>
      <c r="B189" s="82" t="s">
        <v>1751</v>
      </c>
      <c r="C189" s="58" t="s">
        <v>423</v>
      </c>
      <c r="D189" s="58" t="s">
        <v>725</v>
      </c>
      <c r="E189" s="58" t="s">
        <v>188</v>
      </c>
      <c r="F189" s="58" t="s">
        <v>63</v>
      </c>
      <c r="G189" s="58" t="s">
        <v>192</v>
      </c>
      <c r="H189" s="58">
        <v>77000</v>
      </c>
      <c r="I189" s="58" t="s">
        <v>424</v>
      </c>
    </row>
    <row r="190" spans="1:9">
      <c r="A190" s="57">
        <v>45470</v>
      </c>
      <c r="B190" s="82" t="s">
        <v>1751</v>
      </c>
      <c r="C190" s="58" t="s">
        <v>507</v>
      </c>
      <c r="D190" s="58" t="s">
        <v>725</v>
      </c>
      <c r="E190" s="58" t="s">
        <v>188</v>
      </c>
      <c r="F190" s="58" t="s">
        <v>63</v>
      </c>
      <c r="G190" s="58" t="s">
        <v>192</v>
      </c>
      <c r="H190" s="58">
        <v>53000</v>
      </c>
      <c r="I190" s="58" t="s">
        <v>508</v>
      </c>
    </row>
    <row r="191" spans="1:9">
      <c r="A191" s="57">
        <v>45473</v>
      </c>
      <c r="B191" s="82" t="s">
        <v>1751</v>
      </c>
      <c r="C191" s="58" t="s">
        <v>521</v>
      </c>
      <c r="D191" s="58" t="s">
        <v>725</v>
      </c>
      <c r="E191" s="58" t="s">
        <v>188</v>
      </c>
      <c r="F191" s="58" t="s">
        <v>63</v>
      </c>
      <c r="G191" s="58" t="s">
        <v>192</v>
      </c>
      <c r="H191" s="58">
        <v>150000</v>
      </c>
      <c r="I191" s="58" t="s">
        <v>522</v>
      </c>
    </row>
    <row r="192" spans="1:9">
      <c r="A192" s="57">
        <v>45491</v>
      </c>
      <c r="B192" s="82" t="s">
        <v>1752</v>
      </c>
      <c r="C192" s="58" t="s">
        <v>633</v>
      </c>
      <c r="D192" s="58" t="s">
        <v>725</v>
      </c>
      <c r="E192" s="58" t="s">
        <v>188</v>
      </c>
      <c r="F192" s="58" t="s">
        <v>63</v>
      </c>
      <c r="G192" s="58" t="s">
        <v>192</v>
      </c>
      <c r="H192" s="58">
        <v>40000</v>
      </c>
      <c r="I192" s="58" t="s">
        <v>634</v>
      </c>
    </row>
    <row r="193" spans="1:9">
      <c r="A193" s="57">
        <v>45493</v>
      </c>
      <c r="B193" s="82" t="s">
        <v>1752</v>
      </c>
      <c r="C193" s="58" t="s">
        <v>639</v>
      </c>
      <c r="D193" s="58" t="s">
        <v>725</v>
      </c>
      <c r="E193" s="58" t="s">
        <v>188</v>
      </c>
      <c r="F193" s="58" t="s">
        <v>63</v>
      </c>
      <c r="G193" s="58"/>
      <c r="H193" s="58">
        <v>173000</v>
      </c>
      <c r="I193" s="58" t="s">
        <v>640</v>
      </c>
    </row>
    <row r="194" spans="1:9">
      <c r="A194" s="57">
        <v>45494</v>
      </c>
      <c r="B194" s="82" t="s">
        <v>1752</v>
      </c>
      <c r="C194" s="58" t="s">
        <v>644</v>
      </c>
      <c r="D194" s="58" t="s">
        <v>725</v>
      </c>
      <c r="E194" s="58" t="s">
        <v>188</v>
      </c>
      <c r="F194" s="58" t="s">
        <v>63</v>
      </c>
      <c r="G194" s="58" t="s">
        <v>59</v>
      </c>
      <c r="H194" s="58">
        <v>35000</v>
      </c>
      <c r="I194" s="58" t="s">
        <v>645</v>
      </c>
    </row>
    <row r="195" spans="1:9">
      <c r="A195" s="57">
        <v>45502</v>
      </c>
      <c r="B195" s="82" t="s">
        <v>1752</v>
      </c>
      <c r="C195" s="58" t="s">
        <v>704</v>
      </c>
      <c r="D195" s="58" t="s">
        <v>725</v>
      </c>
      <c r="E195" s="58" t="s">
        <v>188</v>
      </c>
      <c r="F195" s="58" t="s">
        <v>63</v>
      </c>
      <c r="G195" s="58" t="s">
        <v>59</v>
      </c>
      <c r="H195" s="58">
        <v>85000</v>
      </c>
      <c r="I195" s="58" t="s">
        <v>705</v>
      </c>
    </row>
    <row r="196" spans="1:9">
      <c r="A196" s="57">
        <v>45474</v>
      </c>
      <c r="B196" s="82" t="s">
        <v>1752</v>
      </c>
      <c r="C196" s="58" t="s">
        <v>544</v>
      </c>
      <c r="D196" s="58" t="s">
        <v>725</v>
      </c>
      <c r="E196" s="58" t="s">
        <v>545</v>
      </c>
      <c r="F196" s="58" t="s">
        <v>66</v>
      </c>
      <c r="G196" s="58"/>
      <c r="H196" s="58">
        <v>165000</v>
      </c>
      <c r="I196" s="58"/>
    </row>
    <row r="197" spans="1:9">
      <c r="A197" s="57">
        <v>45476</v>
      </c>
      <c r="B197" s="82" t="s">
        <v>1752</v>
      </c>
      <c r="C197" s="58" t="s">
        <v>554</v>
      </c>
      <c r="D197" s="58" t="s">
        <v>725</v>
      </c>
      <c r="E197" s="58" t="s">
        <v>545</v>
      </c>
      <c r="F197" s="58" t="s">
        <v>63</v>
      </c>
      <c r="G197" s="58"/>
      <c r="H197" s="58">
        <v>25000</v>
      </c>
      <c r="I197" s="58" t="s">
        <v>555</v>
      </c>
    </row>
    <row r="198" spans="1:9">
      <c r="A198" s="57">
        <v>45384</v>
      </c>
      <c r="B198" s="82" t="s">
        <v>1751</v>
      </c>
      <c r="C198" s="58" t="s">
        <v>145</v>
      </c>
      <c r="D198" s="58" t="s">
        <v>725</v>
      </c>
      <c r="E198" s="58" t="s">
        <v>146</v>
      </c>
      <c r="F198" s="58" t="s">
        <v>58</v>
      </c>
      <c r="G198" s="58"/>
      <c r="H198" s="58">
        <v>22000</v>
      </c>
      <c r="I198" s="58" t="s">
        <v>147</v>
      </c>
    </row>
    <row r="199" spans="1:9">
      <c r="A199" s="57">
        <v>45424</v>
      </c>
      <c r="B199" s="82" t="s">
        <v>1751</v>
      </c>
      <c r="C199" s="58" t="s">
        <v>251</v>
      </c>
      <c r="D199" s="58" t="s">
        <v>725</v>
      </c>
      <c r="E199" s="58" t="s">
        <v>146</v>
      </c>
      <c r="F199" s="58" t="s">
        <v>63</v>
      </c>
      <c r="G199" s="58" t="s">
        <v>192</v>
      </c>
      <c r="H199" s="58">
        <v>13000</v>
      </c>
      <c r="I199" s="58" t="s">
        <v>252</v>
      </c>
    </row>
    <row r="200" spans="1:9">
      <c r="A200" s="57">
        <v>45426</v>
      </c>
      <c r="B200" s="82" t="s">
        <v>1751</v>
      </c>
      <c r="C200" s="58" t="s">
        <v>262</v>
      </c>
      <c r="D200" s="58" t="s">
        <v>725</v>
      </c>
      <c r="E200" s="58" t="s">
        <v>146</v>
      </c>
      <c r="F200" s="58" t="s">
        <v>63</v>
      </c>
      <c r="G200" s="58" t="s">
        <v>59</v>
      </c>
      <c r="H200" s="58">
        <v>25000</v>
      </c>
      <c r="I200" s="58" t="s">
        <v>263</v>
      </c>
    </row>
    <row r="201" spans="1:9">
      <c r="A201" s="57">
        <v>45439</v>
      </c>
      <c r="B201" s="82" t="s">
        <v>1751</v>
      </c>
      <c r="C201" s="58" t="s">
        <v>353</v>
      </c>
      <c r="D201" s="58" t="s">
        <v>725</v>
      </c>
      <c r="E201" s="58" t="s">
        <v>146</v>
      </c>
      <c r="F201" s="58" t="s">
        <v>63</v>
      </c>
      <c r="G201" s="58"/>
      <c r="H201" s="58">
        <v>11500</v>
      </c>
      <c r="I201" s="58" t="s">
        <v>354</v>
      </c>
    </row>
    <row r="202" spans="1:9">
      <c r="A202" s="57">
        <v>45443</v>
      </c>
      <c r="B202" s="82" t="s">
        <v>1751</v>
      </c>
      <c r="C202" s="58" t="s">
        <v>362</v>
      </c>
      <c r="D202" s="58" t="s">
        <v>725</v>
      </c>
      <c r="E202" s="58" t="s">
        <v>146</v>
      </c>
      <c r="F202" s="58" t="s">
        <v>63</v>
      </c>
      <c r="G202" s="58" t="s">
        <v>192</v>
      </c>
      <c r="H202" s="58">
        <v>75000</v>
      </c>
      <c r="I202" s="58" t="s">
        <v>363</v>
      </c>
    </row>
    <row r="203" spans="1:9">
      <c r="A203" s="57">
        <v>45423</v>
      </c>
      <c r="B203" s="82" t="s">
        <v>1751</v>
      </c>
      <c r="C203" s="58" t="s">
        <v>366</v>
      </c>
      <c r="D203" s="58" t="s">
        <v>725</v>
      </c>
      <c r="E203" s="58" t="s">
        <v>146</v>
      </c>
      <c r="F203" s="58" t="s">
        <v>63</v>
      </c>
      <c r="G203" s="58"/>
      <c r="H203" s="58">
        <v>58000</v>
      </c>
      <c r="I203" s="58" t="s">
        <v>367</v>
      </c>
    </row>
    <row r="204" spans="1:9">
      <c r="A204" s="57">
        <v>45445</v>
      </c>
      <c r="B204" s="82" t="s">
        <v>1751</v>
      </c>
      <c r="C204" s="58" t="s">
        <v>380</v>
      </c>
      <c r="D204" s="58" t="s">
        <v>725</v>
      </c>
      <c r="E204" s="58" t="s">
        <v>146</v>
      </c>
      <c r="F204" s="58" t="s">
        <v>63</v>
      </c>
      <c r="G204" s="58" t="s">
        <v>59</v>
      </c>
      <c r="H204" s="58">
        <v>47500</v>
      </c>
      <c r="I204" s="58" t="s">
        <v>381</v>
      </c>
    </row>
    <row r="205" spans="1:9">
      <c r="A205" s="57">
        <v>45455</v>
      </c>
      <c r="B205" s="82" t="s">
        <v>1751</v>
      </c>
      <c r="C205" s="58" t="s">
        <v>421</v>
      </c>
      <c r="D205" s="58" t="s">
        <v>725</v>
      </c>
      <c r="E205" s="58" t="s">
        <v>146</v>
      </c>
      <c r="F205" s="58" t="s">
        <v>63</v>
      </c>
      <c r="G205" s="58" t="s">
        <v>192</v>
      </c>
      <c r="H205" s="58">
        <v>21500</v>
      </c>
      <c r="I205" s="58" t="s">
        <v>422</v>
      </c>
    </row>
    <row r="206" spans="1:9">
      <c r="A206" s="57">
        <v>45470</v>
      </c>
      <c r="B206" s="82" t="s">
        <v>1751</v>
      </c>
      <c r="C206" s="58" t="s">
        <v>509</v>
      </c>
      <c r="D206" s="58" t="s">
        <v>725</v>
      </c>
      <c r="E206" s="58" t="s">
        <v>146</v>
      </c>
      <c r="F206" s="58" t="s">
        <v>63</v>
      </c>
      <c r="G206" s="58" t="s">
        <v>192</v>
      </c>
      <c r="H206" s="58">
        <v>81000</v>
      </c>
      <c r="I206" s="58" t="s">
        <v>510</v>
      </c>
    </row>
    <row r="207" spans="1:9">
      <c r="A207" s="57">
        <v>45474</v>
      </c>
      <c r="B207" s="82" t="s">
        <v>1752</v>
      </c>
      <c r="C207" s="58" t="s">
        <v>537</v>
      </c>
      <c r="D207" s="58" t="s">
        <v>725</v>
      </c>
      <c r="E207" s="58" t="s">
        <v>146</v>
      </c>
      <c r="F207" s="58" t="s">
        <v>63</v>
      </c>
      <c r="G207" s="58" t="s">
        <v>192</v>
      </c>
      <c r="H207" s="58">
        <v>28500</v>
      </c>
      <c r="I207" s="58" t="s">
        <v>538</v>
      </c>
    </row>
    <row r="208" spans="1:9">
      <c r="A208" s="57">
        <v>45471</v>
      </c>
      <c r="B208" s="82" t="s">
        <v>1751</v>
      </c>
      <c r="C208" s="58" t="s">
        <v>514</v>
      </c>
      <c r="D208" s="58" t="s">
        <v>725</v>
      </c>
      <c r="E208" s="58" t="s">
        <v>515</v>
      </c>
      <c r="F208" s="58" t="s">
        <v>66</v>
      </c>
      <c r="G208" s="58"/>
      <c r="H208" s="58">
        <v>55000</v>
      </c>
      <c r="I208" s="58"/>
    </row>
    <row r="209" spans="1:9">
      <c r="A209" s="57">
        <v>45443</v>
      </c>
      <c r="B209" s="82" t="s">
        <v>1751</v>
      </c>
      <c r="C209" s="58" t="s">
        <v>357</v>
      </c>
      <c r="D209" s="58" t="s">
        <v>725</v>
      </c>
      <c r="E209" s="58" t="s">
        <v>358</v>
      </c>
      <c r="F209" s="58" t="s">
        <v>63</v>
      </c>
      <c r="G209" s="58" t="s">
        <v>192</v>
      </c>
      <c r="H209" s="58">
        <v>165000</v>
      </c>
      <c r="I209" s="58" t="s">
        <v>359</v>
      </c>
    </row>
    <row r="210" spans="1:9">
      <c r="A210" s="57">
        <v>45471</v>
      </c>
      <c r="B210" s="82" t="s">
        <v>1751</v>
      </c>
      <c r="C210" s="58" t="s">
        <v>512</v>
      </c>
      <c r="D210" s="58" t="s">
        <v>725</v>
      </c>
      <c r="E210" s="58" t="s">
        <v>358</v>
      </c>
      <c r="F210" s="58" t="s">
        <v>58</v>
      </c>
      <c r="G210" s="58"/>
      <c r="H210" s="58">
        <v>30000</v>
      </c>
      <c r="I210" s="58" t="s">
        <v>513</v>
      </c>
    </row>
    <row r="211" spans="1:9">
      <c r="A211" s="57">
        <v>45469</v>
      </c>
      <c r="B211" s="82" t="s">
        <v>1751</v>
      </c>
      <c r="C211" s="58" t="s">
        <v>500</v>
      </c>
      <c r="D211" s="58" t="s">
        <v>725</v>
      </c>
      <c r="E211" s="58" t="s">
        <v>501</v>
      </c>
      <c r="F211" s="58" t="s">
        <v>276</v>
      </c>
      <c r="G211" s="58"/>
      <c r="H211" s="58">
        <v>30000</v>
      </c>
      <c r="I211" s="58"/>
    </row>
    <row r="212" spans="1:9">
      <c r="A212" s="57">
        <v>45388</v>
      </c>
      <c r="B212" s="82" t="s">
        <v>1751</v>
      </c>
      <c r="C212" s="71" t="s">
        <v>148</v>
      </c>
      <c r="D212" s="58" t="s">
        <v>725</v>
      </c>
      <c r="E212" s="58" t="s">
        <v>149</v>
      </c>
      <c r="F212" s="58" t="s">
        <v>58</v>
      </c>
      <c r="G212" s="58"/>
      <c r="H212" s="58">
        <v>36000</v>
      </c>
      <c r="I212" s="58" t="s">
        <v>150</v>
      </c>
    </row>
    <row r="213" spans="1:9">
      <c r="A213" s="57">
        <v>45392</v>
      </c>
      <c r="B213" s="82" t="s">
        <v>1751</v>
      </c>
      <c r="C213" s="72" t="s">
        <v>161</v>
      </c>
      <c r="D213" s="58" t="s">
        <v>725</v>
      </c>
      <c r="E213" s="72" t="s">
        <v>149</v>
      </c>
      <c r="F213" s="58" t="s">
        <v>63</v>
      </c>
      <c r="G213" s="58"/>
      <c r="H213" s="73">
        <v>69000</v>
      </c>
      <c r="I213" s="74" t="s">
        <v>162</v>
      </c>
    </row>
    <row r="214" spans="1:9">
      <c r="A214" s="57">
        <v>45423</v>
      </c>
      <c r="B214" s="82" t="s">
        <v>1751</v>
      </c>
      <c r="C214" s="58" t="s">
        <v>364</v>
      </c>
      <c r="D214" s="58" t="s">
        <v>725</v>
      </c>
      <c r="E214" s="58" t="s">
        <v>149</v>
      </c>
      <c r="F214" s="58" t="s">
        <v>63</v>
      </c>
      <c r="G214" s="58"/>
      <c r="H214" s="58">
        <v>22000</v>
      </c>
      <c r="I214" s="58" t="s">
        <v>365</v>
      </c>
    </row>
    <row r="215" spans="1:9">
      <c r="A215" s="57">
        <v>45450</v>
      </c>
      <c r="B215" s="82" t="s">
        <v>1751</v>
      </c>
      <c r="C215" s="58" t="s">
        <v>399</v>
      </c>
      <c r="D215" s="58" t="s">
        <v>725</v>
      </c>
      <c r="E215" s="58" t="s">
        <v>149</v>
      </c>
      <c r="F215" s="58" t="s">
        <v>63</v>
      </c>
      <c r="G215" s="58" t="s">
        <v>192</v>
      </c>
      <c r="H215" s="58">
        <v>116500</v>
      </c>
      <c r="I215" s="58" t="s">
        <v>400</v>
      </c>
    </row>
    <row r="216" spans="1:9">
      <c r="A216" s="57">
        <v>45458</v>
      </c>
      <c r="B216" s="82" t="s">
        <v>1751</v>
      </c>
      <c r="C216" s="58" t="s">
        <v>444</v>
      </c>
      <c r="D216" s="58" t="s">
        <v>725</v>
      </c>
      <c r="E216" s="58" t="s">
        <v>149</v>
      </c>
      <c r="F216" s="58" t="s">
        <v>63</v>
      </c>
      <c r="G216" s="58" t="s">
        <v>59</v>
      </c>
      <c r="H216" s="58">
        <v>142800</v>
      </c>
      <c r="I216" s="58" t="s">
        <v>445</v>
      </c>
    </row>
    <row r="217" spans="1:9">
      <c r="A217" s="57">
        <v>45457</v>
      </c>
      <c r="B217" s="82" t="s">
        <v>1751</v>
      </c>
      <c r="C217" s="58" t="s">
        <v>440</v>
      </c>
      <c r="D217" s="58" t="s">
        <v>725</v>
      </c>
      <c r="E217" s="58" t="s">
        <v>441</v>
      </c>
      <c r="F217" s="58" t="s">
        <v>66</v>
      </c>
      <c r="G217" s="58"/>
      <c r="H217" s="58">
        <v>45000</v>
      </c>
      <c r="I217" s="58"/>
    </row>
    <row r="218" spans="1:9">
      <c r="A218" s="57">
        <v>45475</v>
      </c>
      <c r="B218" s="82" t="s">
        <v>1752</v>
      </c>
      <c r="C218" s="58" t="s">
        <v>546</v>
      </c>
      <c r="D218" s="58" t="s">
        <v>725</v>
      </c>
      <c r="E218" s="58" t="s">
        <v>441</v>
      </c>
      <c r="F218" s="58" t="s">
        <v>66</v>
      </c>
      <c r="G218" s="58"/>
      <c r="H218" s="58">
        <v>65000</v>
      </c>
      <c r="I218" s="58"/>
    </row>
    <row r="219" spans="1:9">
      <c r="A219" s="57">
        <v>45476</v>
      </c>
      <c r="B219" s="82" t="s">
        <v>1752</v>
      </c>
      <c r="C219" s="58" t="s">
        <v>556</v>
      </c>
      <c r="D219" s="58" t="s">
        <v>725</v>
      </c>
      <c r="E219" s="58" t="s">
        <v>441</v>
      </c>
      <c r="F219" s="58" t="s">
        <v>63</v>
      </c>
      <c r="G219" s="58"/>
      <c r="H219" s="58">
        <v>85000</v>
      </c>
      <c r="I219" s="58" t="s">
        <v>557</v>
      </c>
    </row>
    <row r="220" spans="1:9">
      <c r="A220" s="57">
        <v>45403</v>
      </c>
      <c r="B220" s="82" t="s">
        <v>1751</v>
      </c>
      <c r="C220" s="73" t="s">
        <v>169</v>
      </c>
      <c r="D220" s="58" t="s">
        <v>725</v>
      </c>
      <c r="E220" s="73" t="s">
        <v>170</v>
      </c>
      <c r="F220" s="58" t="s">
        <v>58</v>
      </c>
      <c r="G220" s="58"/>
      <c r="H220" s="73">
        <v>18000</v>
      </c>
      <c r="I220" s="63" t="s">
        <v>171</v>
      </c>
    </row>
    <row r="221" spans="1:9">
      <c r="A221" s="57">
        <v>45433</v>
      </c>
      <c r="B221" s="82" t="s">
        <v>1751</v>
      </c>
      <c r="C221" s="58" t="s">
        <v>169</v>
      </c>
      <c r="D221" s="58" t="s">
        <v>725</v>
      </c>
      <c r="E221" s="58" t="s">
        <v>170</v>
      </c>
      <c r="F221" s="58" t="s">
        <v>63</v>
      </c>
      <c r="G221" s="58" t="s">
        <v>192</v>
      </c>
      <c r="H221" s="58">
        <v>70000</v>
      </c>
      <c r="I221" s="58" t="s">
        <v>171</v>
      </c>
    </row>
    <row r="222" spans="1:9">
      <c r="A222" s="57">
        <v>45450</v>
      </c>
      <c r="B222" s="82" t="s">
        <v>1751</v>
      </c>
      <c r="C222" s="58" t="s">
        <v>401</v>
      </c>
      <c r="D222" s="58" t="s">
        <v>725</v>
      </c>
      <c r="E222" s="58" t="s">
        <v>170</v>
      </c>
      <c r="F222" s="58" t="s">
        <v>63</v>
      </c>
      <c r="G222" s="58" t="s">
        <v>192</v>
      </c>
      <c r="H222" s="58">
        <v>200000</v>
      </c>
      <c r="I222" s="58" t="s">
        <v>402</v>
      </c>
    </row>
    <row r="223" spans="1:9">
      <c r="A223" s="57">
        <v>45473</v>
      </c>
      <c r="B223" s="82" t="s">
        <v>1751</v>
      </c>
      <c r="C223" s="58" t="s">
        <v>523</v>
      </c>
      <c r="D223" s="58" t="s">
        <v>725</v>
      </c>
      <c r="E223" s="58" t="s">
        <v>524</v>
      </c>
      <c r="F223" s="58" t="s">
        <v>342</v>
      </c>
      <c r="G223" s="58"/>
      <c r="H223" s="58">
        <v>45000</v>
      </c>
      <c r="I223" s="58"/>
    </row>
    <row r="224" spans="1:9">
      <c r="A224" s="57">
        <v>45464</v>
      </c>
      <c r="B224" s="82" t="s">
        <v>1751</v>
      </c>
      <c r="C224" s="58" t="s">
        <v>465</v>
      </c>
      <c r="D224" s="58" t="s">
        <v>725</v>
      </c>
      <c r="E224" s="58" t="s">
        <v>466</v>
      </c>
      <c r="F224" s="58" t="s">
        <v>63</v>
      </c>
      <c r="G224" s="58" t="s">
        <v>59</v>
      </c>
      <c r="H224" s="58">
        <v>63000</v>
      </c>
      <c r="I224" s="58" t="s">
        <v>467</v>
      </c>
    </row>
    <row r="225" spans="1:9">
      <c r="A225" s="57">
        <v>45485</v>
      </c>
      <c r="B225" s="82" t="s">
        <v>1752</v>
      </c>
      <c r="C225" s="58" t="s">
        <v>608</v>
      </c>
      <c r="D225" s="58" t="s">
        <v>725</v>
      </c>
      <c r="E225" s="58" t="s">
        <v>609</v>
      </c>
      <c r="F225" s="58" t="s">
        <v>66</v>
      </c>
      <c r="G225" s="58"/>
      <c r="H225" s="58">
        <v>142000</v>
      </c>
      <c r="I225" s="58"/>
    </row>
    <row r="226" spans="1:9">
      <c r="A226" s="57">
        <v>45474</v>
      </c>
      <c r="B226" s="82" t="s">
        <v>1752</v>
      </c>
      <c r="C226" s="58" t="s">
        <v>539</v>
      </c>
      <c r="D226" s="81" t="s">
        <v>1744</v>
      </c>
      <c r="E226" s="58" t="s">
        <v>540</v>
      </c>
      <c r="F226" s="58" t="s">
        <v>63</v>
      </c>
      <c r="G226" s="58" t="s">
        <v>192</v>
      </c>
      <c r="H226" s="58">
        <v>53500</v>
      </c>
      <c r="I226" s="58" t="s">
        <v>541</v>
      </c>
    </row>
    <row r="227" spans="1:9">
      <c r="A227" s="57">
        <v>45476</v>
      </c>
      <c r="B227" s="82" t="s">
        <v>1752</v>
      </c>
      <c r="C227" s="58" t="s">
        <v>550</v>
      </c>
      <c r="D227" s="81" t="s">
        <v>1744</v>
      </c>
      <c r="E227" s="58" t="s">
        <v>540</v>
      </c>
      <c r="F227" s="58" t="s">
        <v>63</v>
      </c>
      <c r="G227" s="58"/>
      <c r="H227" s="58">
        <v>42000</v>
      </c>
      <c r="I227" s="58" t="s">
        <v>551</v>
      </c>
    </row>
    <row r="228" spans="1:9">
      <c r="A228" s="57">
        <v>45433</v>
      </c>
      <c r="B228" s="82" t="s">
        <v>1751</v>
      </c>
      <c r="C228" s="58" t="s">
        <v>312</v>
      </c>
      <c r="D228" s="81" t="s">
        <v>1744</v>
      </c>
      <c r="E228" s="58" t="s">
        <v>313</v>
      </c>
      <c r="F228" s="58" t="s">
        <v>276</v>
      </c>
      <c r="G228" s="58"/>
      <c r="H228" s="58">
        <v>21000</v>
      </c>
      <c r="I228" s="58"/>
    </row>
    <row r="229" spans="1:9">
      <c r="A229" s="57">
        <v>45434</v>
      </c>
      <c r="B229" s="82" t="s">
        <v>1751</v>
      </c>
      <c r="C229" s="58" t="s">
        <v>323</v>
      </c>
      <c r="D229" s="81" t="s">
        <v>1744</v>
      </c>
      <c r="E229" s="58" t="s">
        <v>324</v>
      </c>
      <c r="F229" s="58" t="s">
        <v>276</v>
      </c>
      <c r="G229" s="58"/>
      <c r="H229" s="58">
        <v>15500</v>
      </c>
      <c r="I229" s="58"/>
    </row>
    <row r="230" spans="1:9">
      <c r="A230" s="57">
        <v>45407</v>
      </c>
      <c r="B230" s="82" t="s">
        <v>1751</v>
      </c>
      <c r="C230" s="73" t="s">
        <v>178</v>
      </c>
      <c r="D230" s="81" t="s">
        <v>1744</v>
      </c>
      <c r="E230" s="73" t="s">
        <v>179</v>
      </c>
      <c r="F230" s="58" t="s">
        <v>63</v>
      </c>
      <c r="G230" s="58"/>
      <c r="H230" s="73">
        <v>13000</v>
      </c>
      <c r="I230" s="63" t="s">
        <v>180</v>
      </c>
    </row>
    <row r="231" spans="1:9">
      <c r="A231" s="57">
        <v>45461</v>
      </c>
      <c r="B231" s="82" t="s">
        <v>1751</v>
      </c>
      <c r="C231" s="58" t="s">
        <v>451</v>
      </c>
      <c r="D231" s="81" t="s">
        <v>1744</v>
      </c>
      <c r="E231" s="58" t="s">
        <v>452</v>
      </c>
      <c r="F231" s="58" t="s">
        <v>66</v>
      </c>
      <c r="G231" s="58"/>
      <c r="H231" s="58">
        <v>17000</v>
      </c>
      <c r="I231" s="58"/>
    </row>
    <row r="232" spans="1:9">
      <c r="A232" s="57">
        <v>45474</v>
      </c>
      <c r="B232" s="82" t="s">
        <v>1752</v>
      </c>
      <c r="C232" s="58" t="s">
        <v>542</v>
      </c>
      <c r="D232" s="81" t="s">
        <v>1744</v>
      </c>
      <c r="E232" s="58" t="s">
        <v>543</v>
      </c>
      <c r="F232" s="58" t="s">
        <v>66</v>
      </c>
      <c r="G232" s="58"/>
      <c r="H232" s="58">
        <v>9100</v>
      </c>
      <c r="I232" s="58"/>
    </row>
    <row r="233" spans="1:9">
      <c r="A233" s="57">
        <v>45476</v>
      </c>
      <c r="B233" s="82" t="s">
        <v>1752</v>
      </c>
      <c r="C233" s="58" t="s">
        <v>552</v>
      </c>
      <c r="D233" s="81" t="s">
        <v>1744</v>
      </c>
      <c r="E233" s="58" t="s">
        <v>543</v>
      </c>
      <c r="F233" s="58" t="s">
        <v>63</v>
      </c>
      <c r="G233" s="58"/>
      <c r="H233" s="58">
        <v>13000</v>
      </c>
      <c r="I233" s="58" t="s">
        <v>553</v>
      </c>
    </row>
    <row r="234" spans="1:9">
      <c r="A234" s="57">
        <v>45506</v>
      </c>
      <c r="B234" s="82" t="s">
        <v>1752</v>
      </c>
      <c r="C234" s="60" t="s">
        <v>724</v>
      </c>
      <c r="D234" s="58" t="s">
        <v>725</v>
      </c>
      <c r="E234" s="60" t="s">
        <v>726</v>
      </c>
      <c r="F234" s="75" t="s">
        <v>58</v>
      </c>
      <c r="G234" s="63"/>
      <c r="H234" s="60">
        <v>65000</v>
      </c>
      <c r="I234" s="63"/>
    </row>
    <row r="235" spans="1:9">
      <c r="A235" s="57">
        <v>45507</v>
      </c>
      <c r="B235" s="82" t="s">
        <v>1752</v>
      </c>
      <c r="C235" s="60" t="s">
        <v>728</v>
      </c>
      <c r="D235" s="58" t="s">
        <v>725</v>
      </c>
      <c r="E235" s="60" t="s">
        <v>729</v>
      </c>
      <c r="F235" s="75" t="s">
        <v>63</v>
      </c>
      <c r="G235" s="63"/>
      <c r="H235" s="60">
        <v>28000</v>
      </c>
      <c r="I235" s="63"/>
    </row>
    <row r="236" spans="1:9">
      <c r="A236" s="57">
        <v>45508</v>
      </c>
      <c r="B236" s="82" t="s">
        <v>1752</v>
      </c>
      <c r="C236" s="60" t="s">
        <v>740</v>
      </c>
      <c r="D236" s="58" t="s">
        <v>725</v>
      </c>
      <c r="E236" s="60" t="s">
        <v>356</v>
      </c>
      <c r="F236" s="75" t="s">
        <v>63</v>
      </c>
      <c r="G236" s="63"/>
      <c r="H236" s="60">
        <v>31000</v>
      </c>
      <c r="I236" s="63"/>
    </row>
    <row r="237" spans="1:9">
      <c r="A237" s="57">
        <v>45514</v>
      </c>
      <c r="B237" s="82" t="s">
        <v>1752</v>
      </c>
      <c r="C237" s="60" t="s">
        <v>776</v>
      </c>
      <c r="D237" s="58" t="s">
        <v>725</v>
      </c>
      <c r="E237" s="60" t="s">
        <v>515</v>
      </c>
      <c r="F237" s="75" t="s">
        <v>63</v>
      </c>
      <c r="G237" s="63"/>
      <c r="H237" s="60">
        <v>28000</v>
      </c>
      <c r="I237" s="63"/>
    </row>
    <row r="238" spans="1:9">
      <c r="A238" s="57">
        <v>45515</v>
      </c>
      <c r="B238" s="82" t="s">
        <v>1752</v>
      </c>
      <c r="C238" s="60" t="s">
        <v>778</v>
      </c>
      <c r="D238" s="58" t="s">
        <v>725</v>
      </c>
      <c r="E238" s="73" t="s">
        <v>182</v>
      </c>
      <c r="F238" s="75" t="s">
        <v>63</v>
      </c>
      <c r="G238" s="63"/>
      <c r="H238" s="60">
        <v>52800</v>
      </c>
      <c r="I238" s="63"/>
    </row>
    <row r="239" spans="1:9">
      <c r="A239" s="57">
        <v>45515</v>
      </c>
      <c r="B239" s="82" t="s">
        <v>1752</v>
      </c>
      <c r="C239" s="60" t="s">
        <v>786</v>
      </c>
      <c r="D239" s="58" t="s">
        <v>725</v>
      </c>
      <c r="E239" s="60" t="s">
        <v>356</v>
      </c>
      <c r="F239" s="75" t="s">
        <v>66</v>
      </c>
      <c r="G239" s="63"/>
      <c r="H239" s="60">
        <v>75000</v>
      </c>
      <c r="I239" s="63"/>
    </row>
    <row r="240" spans="1:9">
      <c r="A240" s="57">
        <v>45515</v>
      </c>
      <c r="B240" s="82" t="s">
        <v>1752</v>
      </c>
      <c r="C240" s="60" t="s">
        <v>790</v>
      </c>
      <c r="D240" s="58" t="s">
        <v>725</v>
      </c>
      <c r="E240" s="60" t="s">
        <v>607</v>
      </c>
      <c r="F240" s="75" t="s">
        <v>63</v>
      </c>
      <c r="G240" s="63"/>
      <c r="H240" s="60">
        <v>14000</v>
      </c>
      <c r="I240" s="63"/>
    </row>
    <row r="241" spans="1:9">
      <c r="A241" s="57">
        <v>45517</v>
      </c>
      <c r="B241" s="82" t="s">
        <v>1752</v>
      </c>
      <c r="C241" s="60" t="s">
        <v>795</v>
      </c>
      <c r="D241" s="58" t="s">
        <v>725</v>
      </c>
      <c r="E241" s="60" t="s">
        <v>324</v>
      </c>
      <c r="F241" s="75" t="s">
        <v>58</v>
      </c>
      <c r="G241" s="63"/>
      <c r="H241" s="60">
        <v>27200</v>
      </c>
      <c r="I241" s="63"/>
    </row>
    <row r="242" spans="1:9">
      <c r="A242" s="57">
        <v>45517</v>
      </c>
      <c r="B242" s="82" t="s">
        <v>1752</v>
      </c>
      <c r="C242" s="60" t="s">
        <v>799</v>
      </c>
      <c r="D242" s="58" t="s">
        <v>725</v>
      </c>
      <c r="E242" s="60" t="s">
        <v>800</v>
      </c>
      <c r="F242" s="75" t="s">
        <v>63</v>
      </c>
      <c r="G242" s="63"/>
      <c r="H242" s="60">
        <v>116500</v>
      </c>
      <c r="I242" s="63"/>
    </row>
    <row r="243" spans="1:9">
      <c r="A243" s="57">
        <v>45517</v>
      </c>
      <c r="B243" s="82" t="s">
        <v>1752</v>
      </c>
      <c r="C243" s="60" t="s">
        <v>802</v>
      </c>
      <c r="D243" s="58" t="s">
        <v>725</v>
      </c>
      <c r="E243" s="60" t="s">
        <v>441</v>
      </c>
      <c r="F243" s="75" t="s">
        <v>63</v>
      </c>
      <c r="G243" s="63"/>
      <c r="H243" s="60">
        <v>150000</v>
      </c>
      <c r="I243" s="63"/>
    </row>
    <row r="244" spans="1:9">
      <c r="A244" s="57">
        <v>45517</v>
      </c>
      <c r="B244" s="82" t="s">
        <v>1752</v>
      </c>
      <c r="C244" s="60" t="s">
        <v>804</v>
      </c>
      <c r="D244" s="58" t="s">
        <v>725</v>
      </c>
      <c r="E244" s="60" t="s">
        <v>501</v>
      </c>
      <c r="F244" s="75" t="s">
        <v>63</v>
      </c>
      <c r="G244" s="63"/>
      <c r="H244" s="60">
        <v>41800</v>
      </c>
      <c r="I244" s="63"/>
    </row>
    <row r="245" spans="1:9">
      <c r="A245" s="57">
        <v>45517</v>
      </c>
      <c r="B245" s="82" t="s">
        <v>1752</v>
      </c>
      <c r="C245" s="60" t="s">
        <v>806</v>
      </c>
      <c r="D245" s="58" t="s">
        <v>725</v>
      </c>
      <c r="E245" s="60" t="s">
        <v>807</v>
      </c>
      <c r="F245" s="75" t="s">
        <v>63</v>
      </c>
      <c r="G245" s="63"/>
      <c r="H245" s="60">
        <v>35000</v>
      </c>
      <c r="I245" s="63"/>
    </row>
    <row r="246" spans="1:9">
      <c r="A246" s="57">
        <v>45518</v>
      </c>
      <c r="B246" s="82" t="s">
        <v>1752</v>
      </c>
      <c r="C246" s="60" t="s">
        <v>824</v>
      </c>
      <c r="D246" s="58" t="s">
        <v>725</v>
      </c>
      <c r="E246" s="60" t="s">
        <v>825</v>
      </c>
      <c r="F246" s="75" t="s">
        <v>66</v>
      </c>
      <c r="G246" s="63"/>
      <c r="H246" s="60">
        <v>36000</v>
      </c>
      <c r="I246" s="63"/>
    </row>
    <row r="247" spans="1:9">
      <c r="A247" s="57">
        <v>45519</v>
      </c>
      <c r="B247" s="82" t="s">
        <v>1752</v>
      </c>
      <c r="C247" s="60" t="s">
        <v>827</v>
      </c>
      <c r="D247" s="58" t="s">
        <v>725</v>
      </c>
      <c r="E247" s="60" t="s">
        <v>828</v>
      </c>
      <c r="F247" s="75" t="s">
        <v>66</v>
      </c>
      <c r="G247" s="63"/>
      <c r="H247" s="60">
        <v>50000</v>
      </c>
      <c r="I247" s="63"/>
    </row>
    <row r="248" spans="1:9">
      <c r="A248" s="57">
        <v>45519</v>
      </c>
      <c r="B248" s="82" t="s">
        <v>1752</v>
      </c>
      <c r="C248" s="60" t="s">
        <v>837</v>
      </c>
      <c r="D248" s="58" t="s">
        <v>725</v>
      </c>
      <c r="E248" s="60" t="s">
        <v>607</v>
      </c>
      <c r="F248" s="75" t="s">
        <v>63</v>
      </c>
      <c r="G248" s="63"/>
      <c r="H248" s="60">
        <v>25000</v>
      </c>
      <c r="I248" s="63"/>
    </row>
    <row r="249" spans="1:9">
      <c r="A249" s="57">
        <v>45521</v>
      </c>
      <c r="B249" s="82" t="s">
        <v>1752</v>
      </c>
      <c r="C249" s="60" t="s">
        <v>855</v>
      </c>
      <c r="D249" s="58" t="s">
        <v>725</v>
      </c>
      <c r="E249" s="73" t="s">
        <v>182</v>
      </c>
      <c r="F249" s="75" t="s">
        <v>63</v>
      </c>
      <c r="G249" s="63"/>
      <c r="H249" s="60">
        <v>36000</v>
      </c>
      <c r="I249" s="63"/>
    </row>
    <row r="250" spans="1:9">
      <c r="A250" s="57">
        <v>45522</v>
      </c>
      <c r="B250" s="82" t="s">
        <v>1752</v>
      </c>
      <c r="C250" s="60" t="s">
        <v>859</v>
      </c>
      <c r="D250" s="58" t="s">
        <v>725</v>
      </c>
      <c r="E250" s="60" t="s">
        <v>501</v>
      </c>
      <c r="F250" s="75" t="s">
        <v>63</v>
      </c>
      <c r="G250" s="63"/>
      <c r="H250" s="60">
        <v>33000</v>
      </c>
      <c r="I250" s="63"/>
    </row>
    <row r="251" spans="1:9">
      <c r="A251" s="57">
        <v>45522</v>
      </c>
      <c r="B251" s="82" t="s">
        <v>1752</v>
      </c>
      <c r="C251" s="60" t="s">
        <v>866</v>
      </c>
      <c r="D251" s="58" t="s">
        <v>725</v>
      </c>
      <c r="E251" s="60" t="s">
        <v>867</v>
      </c>
      <c r="F251" s="75" t="s">
        <v>63</v>
      </c>
      <c r="G251" s="63"/>
      <c r="H251" s="60">
        <v>40000</v>
      </c>
      <c r="I251" s="63"/>
    </row>
    <row r="252" spans="1:9">
      <c r="A252" s="57">
        <v>45522</v>
      </c>
      <c r="B252" s="82" t="s">
        <v>1752</v>
      </c>
      <c r="C252" s="60" t="s">
        <v>871</v>
      </c>
      <c r="D252" s="58" t="s">
        <v>725</v>
      </c>
      <c r="E252" s="60" t="s">
        <v>872</v>
      </c>
      <c r="F252" s="75" t="s">
        <v>63</v>
      </c>
      <c r="G252" s="63"/>
      <c r="H252" s="60">
        <v>28000</v>
      </c>
      <c r="I252" s="63"/>
    </row>
    <row r="253" spans="1:9">
      <c r="A253" s="57">
        <v>45523</v>
      </c>
      <c r="B253" s="82" t="s">
        <v>1752</v>
      </c>
      <c r="C253" s="60" t="s">
        <v>874</v>
      </c>
      <c r="D253" s="58" t="s">
        <v>725</v>
      </c>
      <c r="E253" s="60" t="s">
        <v>807</v>
      </c>
      <c r="F253" s="75" t="s">
        <v>58</v>
      </c>
      <c r="G253" s="63"/>
      <c r="H253" s="60">
        <v>65000</v>
      </c>
      <c r="I253" s="63"/>
    </row>
    <row r="254" spans="1:9">
      <c r="A254" s="57">
        <v>45523</v>
      </c>
      <c r="B254" s="82" t="s">
        <v>1752</v>
      </c>
      <c r="C254" s="60" t="s">
        <v>876</v>
      </c>
      <c r="D254" s="58" t="s">
        <v>725</v>
      </c>
      <c r="E254" s="60" t="s">
        <v>877</v>
      </c>
      <c r="F254" s="75" t="s">
        <v>66</v>
      </c>
      <c r="G254" s="63"/>
      <c r="H254" s="60">
        <v>11000</v>
      </c>
      <c r="I254" s="63"/>
    </row>
    <row r="255" spans="1:9">
      <c r="A255" s="57">
        <v>45524</v>
      </c>
      <c r="B255" s="82" t="s">
        <v>1752</v>
      </c>
      <c r="C255" s="60" t="s">
        <v>882</v>
      </c>
      <c r="D255" s="58" t="s">
        <v>725</v>
      </c>
      <c r="E255" s="60" t="s">
        <v>883</v>
      </c>
      <c r="F255" s="75" t="s">
        <v>63</v>
      </c>
      <c r="G255" s="63"/>
      <c r="H255" s="60">
        <v>50000</v>
      </c>
      <c r="I255" s="63"/>
    </row>
    <row r="256" spans="1:9">
      <c r="A256" s="57">
        <v>45526</v>
      </c>
      <c r="B256" s="82" t="s">
        <v>1752</v>
      </c>
      <c r="C256" s="60" t="s">
        <v>899</v>
      </c>
      <c r="D256" s="58" t="s">
        <v>725</v>
      </c>
      <c r="E256" s="60" t="s">
        <v>501</v>
      </c>
      <c r="F256" s="75" t="s">
        <v>63</v>
      </c>
      <c r="G256" s="63"/>
      <c r="H256" s="60">
        <v>81000</v>
      </c>
      <c r="I256" s="63"/>
    </row>
    <row r="257" spans="1:9">
      <c r="A257" s="57">
        <v>45526</v>
      </c>
      <c r="B257" s="82" t="s">
        <v>1752</v>
      </c>
      <c r="C257" s="60" t="s">
        <v>904</v>
      </c>
      <c r="D257" s="58" t="s">
        <v>725</v>
      </c>
      <c r="E257" s="60" t="s">
        <v>441</v>
      </c>
      <c r="F257" s="75" t="s">
        <v>63</v>
      </c>
      <c r="G257" s="63"/>
      <c r="H257" s="60">
        <v>57500</v>
      </c>
      <c r="I257" s="63"/>
    </row>
    <row r="258" spans="1:9">
      <c r="A258" s="57">
        <v>45528</v>
      </c>
      <c r="B258" s="82" t="s">
        <v>1752</v>
      </c>
      <c r="C258" s="60" t="s">
        <v>908</v>
      </c>
      <c r="D258" s="58" t="s">
        <v>725</v>
      </c>
      <c r="E258" s="60" t="s">
        <v>909</v>
      </c>
      <c r="F258" s="75" t="s">
        <v>63</v>
      </c>
      <c r="G258" s="63"/>
      <c r="H258" s="60">
        <v>26500</v>
      </c>
      <c r="I258" s="63"/>
    </row>
    <row r="259" spans="1:9">
      <c r="A259" s="57">
        <v>45528</v>
      </c>
      <c r="B259" s="82" t="s">
        <v>1752</v>
      </c>
      <c r="C259" s="60" t="s">
        <v>911</v>
      </c>
      <c r="D259" s="58" t="s">
        <v>725</v>
      </c>
      <c r="E259" s="60" t="s">
        <v>441</v>
      </c>
      <c r="F259" s="75" t="s">
        <v>63</v>
      </c>
      <c r="G259" s="63"/>
      <c r="H259" s="60">
        <v>40000</v>
      </c>
      <c r="I259" s="63"/>
    </row>
    <row r="260" spans="1:9">
      <c r="A260" s="57">
        <v>45530</v>
      </c>
      <c r="B260" s="82" t="s">
        <v>1752</v>
      </c>
      <c r="C260" s="60" t="s">
        <v>917</v>
      </c>
      <c r="D260" s="58" t="s">
        <v>725</v>
      </c>
      <c r="E260" s="60" t="s">
        <v>909</v>
      </c>
      <c r="F260" s="75" t="s">
        <v>342</v>
      </c>
      <c r="G260" s="63"/>
      <c r="H260" s="60">
        <v>10000</v>
      </c>
      <c r="I260" s="63"/>
    </row>
    <row r="261" spans="1:9">
      <c r="A261" s="57">
        <v>45531</v>
      </c>
      <c r="B261" s="82" t="s">
        <v>1752</v>
      </c>
      <c r="C261" s="60" t="s">
        <v>927</v>
      </c>
      <c r="D261" s="58" t="s">
        <v>725</v>
      </c>
      <c r="E261" s="73" t="s">
        <v>182</v>
      </c>
      <c r="F261" s="75" t="s">
        <v>63</v>
      </c>
      <c r="G261" s="63"/>
      <c r="H261" s="60">
        <v>50000</v>
      </c>
      <c r="I261" s="63"/>
    </row>
    <row r="262" spans="1:9">
      <c r="A262" s="57">
        <v>45531</v>
      </c>
      <c r="B262" s="82" t="s">
        <v>1752</v>
      </c>
      <c r="C262" s="60" t="s">
        <v>929</v>
      </c>
      <c r="D262" s="58" t="s">
        <v>725</v>
      </c>
      <c r="E262" s="73" t="s">
        <v>182</v>
      </c>
      <c r="F262" s="75" t="s">
        <v>63</v>
      </c>
      <c r="G262" s="63"/>
      <c r="H262" s="60">
        <v>166000</v>
      </c>
      <c r="I262" s="63"/>
    </row>
    <row r="263" spans="1:9">
      <c r="A263" s="57">
        <v>45534</v>
      </c>
      <c r="B263" s="82" t="s">
        <v>1752</v>
      </c>
      <c r="C263" s="60" t="s">
        <v>948</v>
      </c>
      <c r="D263" s="58" t="s">
        <v>725</v>
      </c>
      <c r="E263" s="60" t="s">
        <v>501</v>
      </c>
      <c r="F263" s="75" t="s">
        <v>63</v>
      </c>
      <c r="G263" s="63"/>
      <c r="H263" s="60">
        <v>20000</v>
      </c>
      <c r="I263" s="63"/>
    </row>
    <row r="264" spans="1:9">
      <c r="A264" s="57">
        <v>45534</v>
      </c>
      <c r="B264" s="82" t="s">
        <v>1752</v>
      </c>
      <c r="C264" s="60" t="s">
        <v>950</v>
      </c>
      <c r="D264" s="58" t="s">
        <v>725</v>
      </c>
      <c r="E264" s="60" t="s">
        <v>800</v>
      </c>
      <c r="F264" s="75" t="s">
        <v>63</v>
      </c>
      <c r="G264" s="63"/>
      <c r="H264" s="60">
        <v>100000</v>
      </c>
      <c r="I264" s="63"/>
    </row>
    <row r="265" spans="1:9">
      <c r="A265" s="57">
        <v>45534</v>
      </c>
      <c r="B265" s="82" t="s">
        <v>1752</v>
      </c>
      <c r="C265" s="60" t="s">
        <v>952</v>
      </c>
      <c r="D265" s="58" t="s">
        <v>725</v>
      </c>
      <c r="E265" s="60" t="s">
        <v>524</v>
      </c>
      <c r="F265" s="75" t="s">
        <v>66</v>
      </c>
      <c r="G265" s="63"/>
      <c r="H265" s="60">
        <v>17000</v>
      </c>
      <c r="I265" s="63"/>
    </row>
    <row r="266" spans="1:9">
      <c r="A266" s="57">
        <v>45535</v>
      </c>
      <c r="B266" s="82" t="s">
        <v>1752</v>
      </c>
      <c r="C266" s="60" t="s">
        <v>954</v>
      </c>
      <c r="D266" s="58" t="s">
        <v>725</v>
      </c>
      <c r="E266" s="60" t="s">
        <v>800</v>
      </c>
      <c r="F266" s="75" t="s">
        <v>63</v>
      </c>
      <c r="G266" s="63"/>
      <c r="H266" s="60">
        <v>48000</v>
      </c>
      <c r="I266" s="63"/>
    </row>
    <row r="267" spans="1:9">
      <c r="A267" s="61">
        <v>45536</v>
      </c>
      <c r="B267" s="82" t="s">
        <v>1752</v>
      </c>
      <c r="C267" s="60" t="s">
        <v>964</v>
      </c>
      <c r="D267" s="60" t="s">
        <v>725</v>
      </c>
      <c r="E267" s="60" t="s">
        <v>609</v>
      </c>
      <c r="F267" s="75" t="s">
        <v>58</v>
      </c>
      <c r="G267" s="63"/>
      <c r="H267" s="60">
        <v>52100</v>
      </c>
      <c r="I267" s="63"/>
    </row>
    <row r="268" spans="1:9">
      <c r="A268" s="61">
        <v>45538</v>
      </c>
      <c r="B268" s="82" t="s">
        <v>1752</v>
      </c>
      <c r="C268" s="60" t="s">
        <v>981</v>
      </c>
      <c r="D268" s="60" t="s">
        <v>725</v>
      </c>
      <c r="E268" s="73" t="s">
        <v>182</v>
      </c>
      <c r="F268" s="75" t="s">
        <v>63</v>
      </c>
      <c r="G268" s="63"/>
      <c r="H268" s="60">
        <v>47000</v>
      </c>
      <c r="I268" s="63"/>
    </row>
    <row r="269" spans="1:9">
      <c r="A269" s="61">
        <v>45538</v>
      </c>
      <c r="B269" s="82" t="s">
        <v>1752</v>
      </c>
      <c r="C269" s="60" t="s">
        <v>987</v>
      </c>
      <c r="D269" s="60" t="s">
        <v>725</v>
      </c>
      <c r="E269" s="60" t="s">
        <v>800</v>
      </c>
      <c r="F269" s="75" t="s">
        <v>63</v>
      </c>
      <c r="G269" s="63"/>
      <c r="H269" s="60">
        <v>275000</v>
      </c>
      <c r="I269" s="63"/>
    </row>
    <row r="270" spans="1:9">
      <c r="A270" s="61">
        <v>45538</v>
      </c>
      <c r="B270" s="82" t="s">
        <v>1752</v>
      </c>
      <c r="C270" s="60" t="s">
        <v>989</v>
      </c>
      <c r="D270" s="60" t="s">
        <v>725</v>
      </c>
      <c r="E270" s="60" t="s">
        <v>990</v>
      </c>
      <c r="F270" s="75" t="s">
        <v>63</v>
      </c>
      <c r="G270" s="63"/>
      <c r="H270" s="60">
        <v>34000</v>
      </c>
      <c r="I270" s="63"/>
    </row>
    <row r="271" spans="1:9">
      <c r="A271" s="61">
        <v>45538</v>
      </c>
      <c r="B271" s="82" t="s">
        <v>1752</v>
      </c>
      <c r="C271" s="60" t="s">
        <v>992</v>
      </c>
      <c r="D271" s="60" t="s">
        <v>725</v>
      </c>
      <c r="E271" s="60" t="s">
        <v>800</v>
      </c>
      <c r="F271" s="75" t="s">
        <v>63</v>
      </c>
      <c r="G271" s="63"/>
      <c r="H271" s="60">
        <v>83000</v>
      </c>
      <c r="I271" s="63"/>
    </row>
    <row r="272" spans="1:9">
      <c r="A272" s="61">
        <v>45538</v>
      </c>
      <c r="B272" s="82" t="s">
        <v>1752</v>
      </c>
      <c r="C272" s="60" t="s">
        <v>994</v>
      </c>
      <c r="D272" s="60" t="s">
        <v>725</v>
      </c>
      <c r="E272" s="60" t="s">
        <v>800</v>
      </c>
      <c r="F272" s="75" t="s">
        <v>63</v>
      </c>
      <c r="G272" s="63"/>
      <c r="H272" s="60">
        <v>35000</v>
      </c>
      <c r="I272" s="63"/>
    </row>
    <row r="273" spans="1:9">
      <c r="A273" s="61">
        <v>45539</v>
      </c>
      <c r="B273" s="82" t="s">
        <v>1752</v>
      </c>
      <c r="C273" s="60" t="s">
        <v>1005</v>
      </c>
      <c r="D273" s="60" t="s">
        <v>725</v>
      </c>
      <c r="E273" s="60" t="s">
        <v>872</v>
      </c>
      <c r="F273" s="75" t="s">
        <v>66</v>
      </c>
      <c r="G273" s="63"/>
      <c r="H273" s="60">
        <v>15100</v>
      </c>
      <c r="I273" s="63"/>
    </row>
    <row r="274" spans="1:9">
      <c r="A274" s="61">
        <v>45540</v>
      </c>
      <c r="B274" s="82" t="s">
        <v>1752</v>
      </c>
      <c r="C274" s="60" t="s">
        <v>1008</v>
      </c>
      <c r="D274" s="60" t="s">
        <v>725</v>
      </c>
      <c r="E274" s="60" t="s">
        <v>452</v>
      </c>
      <c r="F274" s="75" t="s">
        <v>63</v>
      </c>
      <c r="G274" s="63"/>
      <c r="H274" s="60">
        <v>18800</v>
      </c>
      <c r="I274" s="63"/>
    </row>
    <row r="275" spans="1:9">
      <c r="A275" s="61">
        <v>45541</v>
      </c>
      <c r="B275" s="82" t="s">
        <v>1752</v>
      </c>
      <c r="C275" s="60" t="s">
        <v>1016</v>
      </c>
      <c r="D275" s="60" t="s">
        <v>725</v>
      </c>
      <c r="E275" s="60" t="s">
        <v>543</v>
      </c>
      <c r="F275" s="75" t="s">
        <v>66</v>
      </c>
      <c r="G275" s="63"/>
      <c r="H275" s="60">
        <v>24000</v>
      </c>
      <c r="I275" s="63"/>
    </row>
    <row r="276" spans="1:9">
      <c r="A276" s="61">
        <v>45541</v>
      </c>
      <c r="B276" s="82" t="s">
        <v>1752</v>
      </c>
      <c r="C276" s="60" t="s">
        <v>1021</v>
      </c>
      <c r="D276" s="60" t="s">
        <v>725</v>
      </c>
      <c r="E276" s="73" t="s">
        <v>182</v>
      </c>
      <c r="F276" s="75" t="s">
        <v>63</v>
      </c>
      <c r="G276" s="63"/>
      <c r="H276" s="60">
        <v>23000</v>
      </c>
      <c r="I276" s="63"/>
    </row>
    <row r="277" spans="1:9">
      <c r="A277" s="61">
        <v>45543</v>
      </c>
      <c r="B277" s="82" t="s">
        <v>1752</v>
      </c>
      <c r="C277" s="60" t="s">
        <v>1026</v>
      </c>
      <c r="D277" s="60" t="s">
        <v>725</v>
      </c>
      <c r="E277" s="60" t="s">
        <v>1027</v>
      </c>
      <c r="F277" s="75" t="s">
        <v>63</v>
      </c>
      <c r="G277" s="63"/>
      <c r="H277" s="60">
        <v>90000</v>
      </c>
      <c r="I277" s="63"/>
    </row>
    <row r="278" spans="1:9">
      <c r="A278" s="61">
        <v>45543</v>
      </c>
      <c r="B278" s="82" t="s">
        <v>1752</v>
      </c>
      <c r="C278" s="60" t="s">
        <v>1029</v>
      </c>
      <c r="D278" s="60" t="s">
        <v>725</v>
      </c>
      <c r="E278" s="60" t="s">
        <v>990</v>
      </c>
      <c r="F278" s="75" t="s">
        <v>66</v>
      </c>
      <c r="G278" s="63"/>
      <c r="H278" s="60">
        <v>23000</v>
      </c>
      <c r="I278" s="63"/>
    </row>
    <row r="279" spans="1:9">
      <c r="A279" s="61">
        <v>45543</v>
      </c>
      <c r="B279" s="82" t="s">
        <v>1752</v>
      </c>
      <c r="C279" s="60" t="s">
        <v>1031</v>
      </c>
      <c r="D279" s="60" t="s">
        <v>725</v>
      </c>
      <c r="E279" s="60" t="s">
        <v>1032</v>
      </c>
      <c r="F279" s="75" t="s">
        <v>63</v>
      </c>
      <c r="G279" s="63"/>
      <c r="H279" s="60">
        <v>61000</v>
      </c>
      <c r="I279" s="63"/>
    </row>
    <row r="280" spans="1:9">
      <c r="A280" s="61">
        <v>45544</v>
      </c>
      <c r="B280" s="82" t="s">
        <v>1752</v>
      </c>
      <c r="C280" s="60" t="s">
        <v>1034</v>
      </c>
      <c r="D280" s="60" t="s">
        <v>725</v>
      </c>
      <c r="E280" s="60" t="s">
        <v>867</v>
      </c>
      <c r="F280" s="75" t="s">
        <v>58</v>
      </c>
      <c r="G280" s="63"/>
      <c r="H280" s="60">
        <v>20000</v>
      </c>
      <c r="I280" s="63"/>
    </row>
    <row r="281" spans="1:9">
      <c r="A281" s="61">
        <v>45545</v>
      </c>
      <c r="B281" s="82" t="s">
        <v>1752</v>
      </c>
      <c r="C281" s="60" t="s">
        <v>1048</v>
      </c>
      <c r="D281" s="60" t="s">
        <v>725</v>
      </c>
      <c r="E281" s="60" t="s">
        <v>1049</v>
      </c>
      <c r="F281" s="75" t="s">
        <v>63</v>
      </c>
      <c r="G281" s="63"/>
      <c r="H281" s="60">
        <v>34000</v>
      </c>
      <c r="I281" s="63"/>
    </row>
    <row r="282" spans="1:9">
      <c r="A282" s="61">
        <v>45546</v>
      </c>
      <c r="B282" s="82" t="s">
        <v>1752</v>
      </c>
      <c r="C282" s="60" t="s">
        <v>1056</v>
      </c>
      <c r="D282" s="60" t="s">
        <v>725</v>
      </c>
      <c r="E282" s="60" t="s">
        <v>515</v>
      </c>
      <c r="F282" s="75" t="s">
        <v>58</v>
      </c>
      <c r="G282" s="63"/>
      <c r="H282" s="60">
        <v>28000</v>
      </c>
      <c r="I282" s="63"/>
    </row>
    <row r="283" spans="1:9">
      <c r="A283" s="61">
        <v>45547</v>
      </c>
      <c r="B283" s="82" t="s">
        <v>1752</v>
      </c>
      <c r="C283" s="60" t="s">
        <v>1064</v>
      </c>
      <c r="D283" s="60" t="s">
        <v>725</v>
      </c>
      <c r="E283" s="60" t="s">
        <v>800</v>
      </c>
      <c r="F283" s="75" t="s">
        <v>63</v>
      </c>
      <c r="G283" s="63"/>
      <c r="H283" s="60">
        <v>40000</v>
      </c>
      <c r="I283" s="63"/>
    </row>
    <row r="284" spans="1:9">
      <c r="A284" s="61">
        <v>45547</v>
      </c>
      <c r="B284" s="82" t="s">
        <v>1752</v>
      </c>
      <c r="C284" s="60" t="s">
        <v>1077</v>
      </c>
      <c r="D284" s="60" t="s">
        <v>725</v>
      </c>
      <c r="E284" s="73" t="s">
        <v>182</v>
      </c>
      <c r="F284" s="75" t="s">
        <v>63</v>
      </c>
      <c r="G284" s="63"/>
      <c r="H284" s="60">
        <v>26000</v>
      </c>
      <c r="I284" s="63"/>
    </row>
    <row r="285" spans="1:9">
      <c r="A285" s="61">
        <v>45550</v>
      </c>
      <c r="B285" s="82" t="s">
        <v>1752</v>
      </c>
      <c r="C285" s="60" t="s">
        <v>1088</v>
      </c>
      <c r="D285" s="60" t="s">
        <v>725</v>
      </c>
      <c r="E285" s="60" t="s">
        <v>990</v>
      </c>
      <c r="F285" s="75" t="s">
        <v>63</v>
      </c>
      <c r="G285" s="63"/>
      <c r="H285" s="60">
        <v>120000</v>
      </c>
      <c r="I285" s="63"/>
    </row>
    <row r="286" spans="1:9">
      <c r="A286" s="61">
        <v>45550</v>
      </c>
      <c r="B286" s="82" t="s">
        <v>1752</v>
      </c>
      <c r="C286" s="60" t="s">
        <v>1090</v>
      </c>
      <c r="D286" s="60" t="s">
        <v>725</v>
      </c>
      <c r="E286" s="73" t="s">
        <v>182</v>
      </c>
      <c r="F286" s="75" t="s">
        <v>63</v>
      </c>
      <c r="G286" s="63"/>
      <c r="H286" s="60">
        <v>60000</v>
      </c>
      <c r="I286" s="63"/>
    </row>
    <row r="287" spans="1:9">
      <c r="A287" s="61">
        <v>45550</v>
      </c>
      <c r="B287" s="82" t="s">
        <v>1752</v>
      </c>
      <c r="C287" s="60" t="s">
        <v>1092</v>
      </c>
      <c r="D287" s="60" t="s">
        <v>725</v>
      </c>
      <c r="E287" s="60" t="s">
        <v>1093</v>
      </c>
      <c r="F287" s="75" t="s">
        <v>63</v>
      </c>
      <c r="G287" s="63"/>
      <c r="H287" s="60">
        <v>50000</v>
      </c>
      <c r="I287" s="63"/>
    </row>
    <row r="288" spans="1:9">
      <c r="A288" s="61">
        <v>45550</v>
      </c>
      <c r="B288" s="82" t="s">
        <v>1752</v>
      </c>
      <c r="C288" s="60" t="s">
        <v>1097</v>
      </c>
      <c r="D288" s="60" t="s">
        <v>725</v>
      </c>
      <c r="E288" s="73" t="s">
        <v>182</v>
      </c>
      <c r="F288" s="75" t="s">
        <v>63</v>
      </c>
      <c r="G288" s="63"/>
      <c r="H288" s="60">
        <v>150000</v>
      </c>
      <c r="I288" s="63"/>
    </row>
    <row r="289" spans="1:9">
      <c r="A289" s="61">
        <v>45550</v>
      </c>
      <c r="B289" s="82" t="s">
        <v>1752</v>
      </c>
      <c r="C289" s="60" t="s">
        <v>1099</v>
      </c>
      <c r="D289" s="60" t="s">
        <v>725</v>
      </c>
      <c r="E289" s="60" t="s">
        <v>356</v>
      </c>
      <c r="F289" s="75" t="s">
        <v>58</v>
      </c>
      <c r="G289" s="63"/>
      <c r="H289" s="60">
        <v>37500</v>
      </c>
      <c r="I289" s="63"/>
    </row>
    <row r="290" spans="1:9">
      <c r="A290" s="61">
        <v>45552</v>
      </c>
      <c r="B290" s="82" t="s">
        <v>1752</v>
      </c>
      <c r="C290" s="60" t="s">
        <v>1104</v>
      </c>
      <c r="D290" s="60" t="s">
        <v>725</v>
      </c>
      <c r="E290" s="60" t="s">
        <v>1105</v>
      </c>
      <c r="F290" s="75" t="s">
        <v>63</v>
      </c>
      <c r="G290" s="63"/>
      <c r="H290" s="60">
        <v>60000</v>
      </c>
      <c r="I290" s="63"/>
    </row>
    <row r="291" spans="1:9">
      <c r="A291" s="61">
        <v>45552</v>
      </c>
      <c r="B291" s="82" t="s">
        <v>1752</v>
      </c>
      <c r="C291" s="60" t="s">
        <v>1107</v>
      </c>
      <c r="D291" s="60" t="s">
        <v>725</v>
      </c>
      <c r="E291" s="60" t="s">
        <v>515</v>
      </c>
      <c r="F291" s="75" t="s">
        <v>63</v>
      </c>
      <c r="G291" s="63"/>
      <c r="H291" s="60">
        <v>28000</v>
      </c>
      <c r="I291" s="63"/>
    </row>
    <row r="292" spans="1:9">
      <c r="A292" s="61">
        <v>45554</v>
      </c>
      <c r="B292" s="82" t="s">
        <v>1752</v>
      </c>
      <c r="C292" s="60" t="s">
        <v>1109</v>
      </c>
      <c r="D292" s="60" t="s">
        <v>725</v>
      </c>
      <c r="E292" s="60" t="s">
        <v>1110</v>
      </c>
      <c r="F292" s="75" t="s">
        <v>63</v>
      </c>
      <c r="G292" s="63"/>
      <c r="H292" s="60">
        <v>90000</v>
      </c>
      <c r="I292" s="63"/>
    </row>
    <row r="293" spans="1:9">
      <c r="A293" s="61">
        <v>45554</v>
      </c>
      <c r="B293" s="82" t="s">
        <v>1752</v>
      </c>
      <c r="C293" s="60" t="s">
        <v>1118</v>
      </c>
      <c r="D293" s="60" t="s">
        <v>725</v>
      </c>
      <c r="E293" s="60" t="s">
        <v>441</v>
      </c>
      <c r="F293" s="75" t="s">
        <v>66</v>
      </c>
      <c r="G293" s="63"/>
      <c r="H293" s="60">
        <v>145000</v>
      </c>
      <c r="I293" s="63"/>
    </row>
    <row r="294" spans="1:9">
      <c r="A294" s="61">
        <v>45554</v>
      </c>
      <c r="B294" s="82" t="s">
        <v>1752</v>
      </c>
      <c r="C294" s="60" t="s">
        <v>1120</v>
      </c>
      <c r="D294" s="60" t="s">
        <v>725</v>
      </c>
      <c r="E294" s="60" t="s">
        <v>1121</v>
      </c>
      <c r="F294" s="75" t="s">
        <v>66</v>
      </c>
      <c r="G294" s="63"/>
      <c r="H294" s="60">
        <v>23000</v>
      </c>
      <c r="I294" s="63"/>
    </row>
    <row r="295" spans="1:9">
      <c r="A295" s="61">
        <v>45555</v>
      </c>
      <c r="B295" s="82" t="s">
        <v>1752</v>
      </c>
      <c r="C295" s="60" t="s">
        <v>1123</v>
      </c>
      <c r="D295" s="60" t="s">
        <v>725</v>
      </c>
      <c r="E295" s="60" t="s">
        <v>1124</v>
      </c>
      <c r="F295" s="75" t="s">
        <v>66</v>
      </c>
      <c r="G295" s="63"/>
      <c r="H295" s="60">
        <v>35000</v>
      </c>
      <c r="I295" s="63"/>
    </row>
    <row r="296" spans="1:9">
      <c r="A296" s="61">
        <v>45555</v>
      </c>
      <c r="B296" s="82" t="s">
        <v>1752</v>
      </c>
      <c r="C296" s="60" t="s">
        <v>1128</v>
      </c>
      <c r="D296" s="60" t="s">
        <v>725</v>
      </c>
      <c r="E296" s="60" t="s">
        <v>872</v>
      </c>
      <c r="F296" s="75" t="s">
        <v>63</v>
      </c>
      <c r="G296" s="63"/>
      <c r="H296" s="60">
        <v>56500</v>
      </c>
      <c r="I296" s="63"/>
    </row>
    <row r="297" spans="1:9">
      <c r="A297" s="61">
        <v>45556</v>
      </c>
      <c r="B297" s="82" t="s">
        <v>1752</v>
      </c>
      <c r="C297" s="60" t="s">
        <v>1132</v>
      </c>
      <c r="D297" s="60" t="s">
        <v>725</v>
      </c>
      <c r="E297" s="73" t="s">
        <v>182</v>
      </c>
      <c r="F297" s="75" t="s">
        <v>63</v>
      </c>
      <c r="G297" s="63"/>
      <c r="H297" s="60">
        <v>60000</v>
      </c>
      <c r="I297" s="63"/>
    </row>
    <row r="298" spans="1:9">
      <c r="A298" s="61">
        <v>45557</v>
      </c>
      <c r="B298" s="82" t="s">
        <v>1752</v>
      </c>
      <c r="C298" s="60" t="s">
        <v>1137</v>
      </c>
      <c r="D298" s="60" t="s">
        <v>725</v>
      </c>
      <c r="E298" s="60" t="s">
        <v>909</v>
      </c>
      <c r="F298" s="75" t="s">
        <v>63</v>
      </c>
      <c r="G298" s="63"/>
      <c r="H298" s="60">
        <v>60000</v>
      </c>
      <c r="I298" s="63"/>
    </row>
    <row r="299" spans="1:9">
      <c r="A299" s="61">
        <v>45557</v>
      </c>
      <c r="B299" s="82" t="s">
        <v>1752</v>
      </c>
      <c r="C299" s="60" t="s">
        <v>1139</v>
      </c>
      <c r="D299" s="60" t="s">
        <v>725</v>
      </c>
      <c r="E299" s="60" t="s">
        <v>515</v>
      </c>
      <c r="F299" s="75" t="s">
        <v>63</v>
      </c>
      <c r="G299" s="63"/>
      <c r="H299" s="60">
        <v>23000</v>
      </c>
      <c r="I299" s="63"/>
    </row>
    <row r="300" spans="1:9">
      <c r="A300" s="61">
        <v>45558</v>
      </c>
      <c r="B300" s="82" t="s">
        <v>1752</v>
      </c>
      <c r="C300" s="60" t="s">
        <v>1141</v>
      </c>
      <c r="D300" s="60" t="s">
        <v>725</v>
      </c>
      <c r="E300" s="60" t="s">
        <v>441</v>
      </c>
      <c r="F300" s="75" t="s">
        <v>63</v>
      </c>
      <c r="G300" s="63"/>
      <c r="H300" s="60">
        <v>60000</v>
      </c>
      <c r="I300" s="63"/>
    </row>
    <row r="301" spans="1:9">
      <c r="A301" s="61">
        <v>45560</v>
      </c>
      <c r="B301" s="82" t="s">
        <v>1752</v>
      </c>
      <c r="C301" s="60" t="s">
        <v>1149</v>
      </c>
      <c r="D301" s="60" t="s">
        <v>725</v>
      </c>
      <c r="E301" s="60" t="s">
        <v>545</v>
      </c>
      <c r="F301" s="75" t="s">
        <v>63</v>
      </c>
      <c r="G301" s="63"/>
      <c r="H301" s="60">
        <v>19000</v>
      </c>
      <c r="I301" s="63"/>
    </row>
    <row r="302" spans="1:9">
      <c r="A302" s="61">
        <v>45561</v>
      </c>
      <c r="B302" s="82" t="s">
        <v>1752</v>
      </c>
      <c r="C302" s="60" t="s">
        <v>1160</v>
      </c>
      <c r="D302" s="60" t="s">
        <v>725</v>
      </c>
      <c r="E302" s="60" t="s">
        <v>800</v>
      </c>
      <c r="F302" s="75" t="s">
        <v>66</v>
      </c>
      <c r="G302" s="63"/>
      <c r="H302" s="60">
        <v>60000</v>
      </c>
      <c r="I302" s="63"/>
    </row>
    <row r="303" spans="1:9">
      <c r="A303" s="61">
        <v>45564</v>
      </c>
      <c r="B303" s="82" t="s">
        <v>1752</v>
      </c>
      <c r="C303" s="60" t="s">
        <v>1167</v>
      </c>
      <c r="D303" s="60" t="s">
        <v>725</v>
      </c>
      <c r="E303" s="60" t="s">
        <v>867</v>
      </c>
      <c r="F303" s="75" t="s">
        <v>276</v>
      </c>
      <c r="G303" s="63"/>
      <c r="H303" s="60">
        <v>28500</v>
      </c>
      <c r="I303" s="63"/>
    </row>
    <row r="304" spans="1:9">
      <c r="A304" s="61">
        <v>45566</v>
      </c>
      <c r="B304" s="61" t="s">
        <v>1753</v>
      </c>
      <c r="C304" s="60" t="s">
        <v>1179</v>
      </c>
      <c r="D304" s="60" t="s">
        <v>725</v>
      </c>
      <c r="E304" s="60" t="s">
        <v>515</v>
      </c>
      <c r="F304" s="75" t="s">
        <v>63</v>
      </c>
      <c r="G304" s="63"/>
      <c r="H304" s="60">
        <v>28300</v>
      </c>
      <c r="I304" s="63"/>
    </row>
    <row r="305" spans="1:9">
      <c r="A305" s="61">
        <v>45571</v>
      </c>
      <c r="B305" s="61" t="s">
        <v>1753</v>
      </c>
      <c r="C305" s="60" t="s">
        <v>1197</v>
      </c>
      <c r="D305" s="60" t="s">
        <v>725</v>
      </c>
      <c r="E305" s="73" t="s">
        <v>182</v>
      </c>
      <c r="F305" s="75" t="s">
        <v>63</v>
      </c>
      <c r="G305" s="63"/>
      <c r="H305" s="60">
        <v>30000</v>
      </c>
      <c r="I305" s="63"/>
    </row>
    <row r="306" spans="1:9">
      <c r="A306" s="61">
        <v>45573</v>
      </c>
      <c r="B306" s="61" t="s">
        <v>1753</v>
      </c>
      <c r="C306" s="60" t="s">
        <v>1205</v>
      </c>
      <c r="D306" s="60" t="s">
        <v>725</v>
      </c>
      <c r="E306" s="60" t="s">
        <v>1206</v>
      </c>
      <c r="F306" s="75" t="s">
        <v>63</v>
      </c>
      <c r="G306" s="63"/>
      <c r="H306" s="60">
        <v>81000</v>
      </c>
      <c r="I306" s="63"/>
    </row>
    <row r="307" spans="1:9">
      <c r="A307" s="61">
        <v>45573</v>
      </c>
      <c r="B307" s="61" t="s">
        <v>1753</v>
      </c>
      <c r="C307" s="60" t="s">
        <v>1208</v>
      </c>
      <c r="D307" s="60" t="s">
        <v>725</v>
      </c>
      <c r="E307" s="60" t="s">
        <v>501</v>
      </c>
      <c r="F307" s="75" t="s">
        <v>63</v>
      </c>
      <c r="G307" s="63"/>
      <c r="H307" s="60">
        <v>31000</v>
      </c>
      <c r="I307" s="63"/>
    </row>
    <row r="308" spans="1:9">
      <c r="A308" s="61">
        <v>45573</v>
      </c>
      <c r="B308" s="61" t="s">
        <v>1753</v>
      </c>
      <c r="C308" s="60" t="s">
        <v>1218</v>
      </c>
      <c r="D308" s="60" t="s">
        <v>725</v>
      </c>
      <c r="E308" s="60" t="s">
        <v>441</v>
      </c>
      <c r="F308" s="75" t="s">
        <v>63</v>
      </c>
      <c r="G308" s="63"/>
      <c r="H308" s="60">
        <v>15000</v>
      </c>
      <c r="I308" s="63"/>
    </row>
    <row r="309" spans="1:9">
      <c r="A309" s="61">
        <v>45573</v>
      </c>
      <c r="B309" s="61" t="s">
        <v>1753</v>
      </c>
      <c r="C309" s="60" t="s">
        <v>1220</v>
      </c>
      <c r="D309" s="60" t="s">
        <v>725</v>
      </c>
      <c r="E309" s="73" t="s">
        <v>182</v>
      </c>
      <c r="F309" s="75" t="s">
        <v>63</v>
      </c>
      <c r="G309" s="63"/>
      <c r="H309" s="60">
        <v>29000</v>
      </c>
      <c r="I309" s="63"/>
    </row>
    <row r="310" spans="1:9">
      <c r="A310" s="62">
        <v>45576</v>
      </c>
      <c r="B310" s="61" t="s">
        <v>1753</v>
      </c>
      <c r="C310" s="60" t="s">
        <v>1231</v>
      </c>
      <c r="D310" s="60" t="s">
        <v>725</v>
      </c>
      <c r="E310" s="73" t="s">
        <v>182</v>
      </c>
      <c r="F310" s="75" t="s">
        <v>58</v>
      </c>
      <c r="G310" s="63"/>
      <c r="H310" s="60">
        <v>53500</v>
      </c>
      <c r="I310" s="63"/>
    </row>
    <row r="311" spans="1:9">
      <c r="A311" s="62">
        <v>45576</v>
      </c>
      <c r="B311" s="61" t="s">
        <v>1753</v>
      </c>
      <c r="C311" s="60" t="s">
        <v>1233</v>
      </c>
      <c r="D311" s="60" t="s">
        <v>725</v>
      </c>
      <c r="E311" s="60" t="s">
        <v>1234</v>
      </c>
      <c r="F311" s="75" t="s">
        <v>66</v>
      </c>
      <c r="G311" s="63"/>
      <c r="H311" s="60">
        <v>65500</v>
      </c>
      <c r="I311" s="63"/>
    </row>
    <row r="312" spans="1:9">
      <c r="A312" s="62">
        <v>45577</v>
      </c>
      <c r="B312" s="61" t="s">
        <v>1753</v>
      </c>
      <c r="C312" s="60" t="s">
        <v>1243</v>
      </c>
      <c r="D312" s="60" t="s">
        <v>725</v>
      </c>
      <c r="E312" s="60" t="s">
        <v>313</v>
      </c>
      <c r="F312" s="75" t="s">
        <v>63</v>
      </c>
      <c r="G312" s="63"/>
      <c r="H312" s="60">
        <v>28000</v>
      </c>
      <c r="I312" s="63"/>
    </row>
    <row r="313" spans="1:9">
      <c r="A313" s="62">
        <v>45577</v>
      </c>
      <c r="B313" s="61" t="s">
        <v>1753</v>
      </c>
      <c r="C313" s="60" t="s">
        <v>1245</v>
      </c>
      <c r="D313" s="60" t="s">
        <v>725</v>
      </c>
      <c r="E313" s="60" t="s">
        <v>356</v>
      </c>
      <c r="F313" s="75" t="s">
        <v>66</v>
      </c>
      <c r="G313" s="63"/>
      <c r="H313" s="60">
        <v>10000</v>
      </c>
      <c r="I313" s="63"/>
    </row>
    <row r="314" spans="1:9">
      <c r="A314" s="62">
        <v>45577</v>
      </c>
      <c r="B314" s="61" t="s">
        <v>1753</v>
      </c>
      <c r="C314" s="60" t="s">
        <v>1247</v>
      </c>
      <c r="D314" s="60" t="s">
        <v>725</v>
      </c>
      <c r="E314" s="60" t="s">
        <v>515</v>
      </c>
      <c r="F314" s="75" t="s">
        <v>63</v>
      </c>
      <c r="G314" s="63"/>
      <c r="H314" s="60">
        <v>28500</v>
      </c>
      <c r="I314" s="63"/>
    </row>
    <row r="315" spans="1:9">
      <c r="A315" s="62">
        <v>45579</v>
      </c>
      <c r="B315" s="61" t="s">
        <v>1753</v>
      </c>
      <c r="C315" s="60" t="s">
        <v>1254</v>
      </c>
      <c r="D315" s="60" t="s">
        <v>725</v>
      </c>
      <c r="E315" s="73" t="s">
        <v>182</v>
      </c>
      <c r="F315" s="75" t="s">
        <v>63</v>
      </c>
      <c r="G315" s="63"/>
      <c r="H315" s="60">
        <v>46000</v>
      </c>
      <c r="I315" s="63"/>
    </row>
    <row r="316" spans="1:9">
      <c r="A316" s="62">
        <v>45580</v>
      </c>
      <c r="B316" s="61" t="s">
        <v>1753</v>
      </c>
      <c r="C316" s="60" t="s">
        <v>1258</v>
      </c>
      <c r="D316" s="60" t="s">
        <v>725</v>
      </c>
      <c r="E316" s="60" t="s">
        <v>800</v>
      </c>
      <c r="F316" s="75" t="s">
        <v>63</v>
      </c>
      <c r="G316" s="63"/>
      <c r="H316" s="60">
        <v>15000</v>
      </c>
      <c r="I316" s="63"/>
    </row>
    <row r="317" spans="1:9">
      <c r="A317" s="62">
        <v>45580</v>
      </c>
      <c r="B317" s="61" t="s">
        <v>1753</v>
      </c>
      <c r="C317" s="60" t="s">
        <v>1262</v>
      </c>
      <c r="D317" s="60" t="s">
        <v>725</v>
      </c>
      <c r="E317" s="60" t="s">
        <v>609</v>
      </c>
      <c r="F317" s="75" t="s">
        <v>63</v>
      </c>
      <c r="G317" s="63"/>
      <c r="H317" s="60">
        <v>20600</v>
      </c>
      <c r="I317" s="63"/>
    </row>
    <row r="318" spans="1:9">
      <c r="A318" s="62">
        <v>45580</v>
      </c>
      <c r="B318" s="61" t="s">
        <v>1753</v>
      </c>
      <c r="C318" s="60" t="s">
        <v>1264</v>
      </c>
      <c r="D318" s="60" t="s">
        <v>725</v>
      </c>
      <c r="E318" s="60" t="s">
        <v>501</v>
      </c>
      <c r="F318" s="75" t="s">
        <v>63</v>
      </c>
      <c r="G318" s="63"/>
      <c r="H318" s="60">
        <v>28000</v>
      </c>
      <c r="I318" s="63"/>
    </row>
    <row r="319" spans="1:9">
      <c r="A319" s="62">
        <v>45580</v>
      </c>
      <c r="B319" s="61" t="s">
        <v>1753</v>
      </c>
      <c r="C319" s="60" t="s">
        <v>1266</v>
      </c>
      <c r="D319" s="60" t="s">
        <v>725</v>
      </c>
      <c r="E319" s="73" t="s">
        <v>182</v>
      </c>
      <c r="F319" s="75" t="s">
        <v>63</v>
      </c>
      <c r="G319" s="63"/>
      <c r="H319" s="60">
        <v>29500</v>
      </c>
      <c r="I319" s="63"/>
    </row>
    <row r="320" spans="1:9">
      <c r="A320" s="62">
        <v>45580</v>
      </c>
      <c r="B320" s="61" t="s">
        <v>1753</v>
      </c>
      <c r="C320" s="60" t="s">
        <v>1268</v>
      </c>
      <c r="D320" s="60" t="s">
        <v>725</v>
      </c>
      <c r="E320" s="73" t="s">
        <v>182</v>
      </c>
      <c r="F320" s="75" t="s">
        <v>63</v>
      </c>
      <c r="G320" s="63"/>
      <c r="H320" s="60">
        <v>24500</v>
      </c>
      <c r="I320" s="63"/>
    </row>
    <row r="321" spans="1:9">
      <c r="A321" s="62">
        <v>45580</v>
      </c>
      <c r="B321" s="61" t="s">
        <v>1753</v>
      </c>
      <c r="C321" s="60" t="s">
        <v>1273</v>
      </c>
      <c r="D321" s="60" t="s">
        <v>725</v>
      </c>
      <c r="E321" s="60" t="s">
        <v>515</v>
      </c>
      <c r="F321" s="75" t="s">
        <v>63</v>
      </c>
      <c r="G321" s="63"/>
      <c r="H321" s="60">
        <v>150000</v>
      </c>
      <c r="I321" s="63"/>
    </row>
    <row r="322" spans="1:9">
      <c r="A322" s="62">
        <v>45581</v>
      </c>
      <c r="B322" s="61" t="s">
        <v>1753</v>
      </c>
      <c r="C322" s="60" t="s">
        <v>1278</v>
      </c>
      <c r="D322" s="60" t="s">
        <v>725</v>
      </c>
      <c r="E322" s="73" t="s">
        <v>182</v>
      </c>
      <c r="F322" s="75" t="s">
        <v>63</v>
      </c>
      <c r="G322" s="63"/>
      <c r="H322" s="60">
        <v>28500</v>
      </c>
      <c r="I322" s="63"/>
    </row>
    <row r="323" spans="1:9">
      <c r="A323" s="62">
        <v>45581</v>
      </c>
      <c r="B323" s="61" t="s">
        <v>1753</v>
      </c>
      <c r="C323" s="60" t="s">
        <v>1280</v>
      </c>
      <c r="D323" s="60" t="s">
        <v>725</v>
      </c>
      <c r="E323" s="60" t="s">
        <v>441</v>
      </c>
      <c r="F323" s="75" t="s">
        <v>63</v>
      </c>
      <c r="G323" s="63"/>
      <c r="H323" s="60">
        <v>38500</v>
      </c>
      <c r="I323" s="63"/>
    </row>
    <row r="324" spans="1:9">
      <c r="A324" s="62">
        <v>45581</v>
      </c>
      <c r="B324" s="61" t="s">
        <v>1753</v>
      </c>
      <c r="C324" s="60" t="s">
        <v>1285</v>
      </c>
      <c r="D324" s="60" t="s">
        <v>725</v>
      </c>
      <c r="E324" s="60" t="s">
        <v>1234</v>
      </c>
      <c r="F324" s="75" t="s">
        <v>63</v>
      </c>
      <c r="G324" s="63"/>
      <c r="H324" s="60">
        <v>25000</v>
      </c>
      <c r="I324" s="63"/>
    </row>
    <row r="325" spans="1:9">
      <c r="A325" s="62">
        <v>45581</v>
      </c>
      <c r="B325" s="61" t="s">
        <v>1753</v>
      </c>
      <c r="C325" s="60" t="s">
        <v>1295</v>
      </c>
      <c r="D325" s="60" t="s">
        <v>725</v>
      </c>
      <c r="E325" s="60" t="s">
        <v>726</v>
      </c>
      <c r="F325" s="75" t="s">
        <v>63</v>
      </c>
      <c r="G325" s="63"/>
      <c r="H325" s="60">
        <v>91300</v>
      </c>
      <c r="I325" s="63"/>
    </row>
    <row r="326" spans="1:9">
      <c r="A326" s="62">
        <v>45582</v>
      </c>
      <c r="B326" s="61" t="s">
        <v>1753</v>
      </c>
      <c r="C326" s="60" t="s">
        <v>1297</v>
      </c>
      <c r="D326" s="60" t="s">
        <v>725</v>
      </c>
      <c r="E326" s="73" t="s">
        <v>182</v>
      </c>
      <c r="F326" s="75" t="s">
        <v>63</v>
      </c>
      <c r="G326" s="63"/>
      <c r="H326" s="60">
        <v>43500</v>
      </c>
      <c r="I326" s="63"/>
    </row>
    <row r="327" spans="1:9">
      <c r="A327" s="62">
        <v>45582</v>
      </c>
      <c r="B327" s="61" t="s">
        <v>1753</v>
      </c>
      <c r="C327" s="60" t="s">
        <v>1299</v>
      </c>
      <c r="D327" s="60" t="s">
        <v>725</v>
      </c>
      <c r="E327" s="60" t="s">
        <v>800</v>
      </c>
      <c r="F327" s="75" t="s">
        <v>63</v>
      </c>
      <c r="G327" s="63"/>
      <c r="H327" s="60">
        <v>5800</v>
      </c>
      <c r="I327" s="63"/>
    </row>
    <row r="328" spans="1:9">
      <c r="A328" s="62">
        <v>45582</v>
      </c>
      <c r="B328" s="61" t="s">
        <v>1753</v>
      </c>
      <c r="C328" s="60" t="s">
        <v>1301</v>
      </c>
      <c r="D328" s="60" t="s">
        <v>725</v>
      </c>
      <c r="E328" s="73" t="s">
        <v>182</v>
      </c>
      <c r="F328" s="75" t="s">
        <v>63</v>
      </c>
      <c r="G328" s="63"/>
      <c r="H328" s="60">
        <v>35000</v>
      </c>
      <c r="I328" s="63"/>
    </row>
    <row r="329" spans="1:9">
      <c r="A329" s="62">
        <v>45582</v>
      </c>
      <c r="B329" s="61" t="s">
        <v>1753</v>
      </c>
      <c r="C329" s="60" t="s">
        <v>1303</v>
      </c>
      <c r="D329" s="60" t="s">
        <v>725</v>
      </c>
      <c r="E329" s="73" t="s">
        <v>182</v>
      </c>
      <c r="F329" s="75" t="s">
        <v>63</v>
      </c>
      <c r="G329" s="63"/>
      <c r="H329" s="60">
        <v>28500</v>
      </c>
      <c r="I329" s="63"/>
    </row>
    <row r="330" spans="1:9">
      <c r="A330" s="62">
        <v>45583</v>
      </c>
      <c r="B330" s="61" t="s">
        <v>1753</v>
      </c>
      <c r="C330" s="60" t="s">
        <v>1307</v>
      </c>
      <c r="D330" s="60" t="s">
        <v>725</v>
      </c>
      <c r="E330" s="60" t="s">
        <v>609</v>
      </c>
      <c r="F330" s="75" t="s">
        <v>58</v>
      </c>
      <c r="G330" s="63"/>
      <c r="H330" s="60">
        <v>38500</v>
      </c>
      <c r="I330" s="63"/>
    </row>
    <row r="331" spans="1:9">
      <c r="A331" s="62">
        <v>45584</v>
      </c>
      <c r="B331" s="61" t="s">
        <v>1753</v>
      </c>
      <c r="C331" s="60" t="s">
        <v>1309</v>
      </c>
      <c r="D331" s="60" t="s">
        <v>725</v>
      </c>
      <c r="E331" s="60" t="s">
        <v>501</v>
      </c>
      <c r="F331" s="75" t="s">
        <v>63</v>
      </c>
      <c r="G331" s="63"/>
      <c r="H331" s="60">
        <v>27100</v>
      </c>
      <c r="I331" s="63"/>
    </row>
    <row r="332" spans="1:9">
      <c r="A332" s="62">
        <v>45584</v>
      </c>
      <c r="B332" s="61" t="s">
        <v>1753</v>
      </c>
      <c r="C332" s="60" t="s">
        <v>1311</v>
      </c>
      <c r="D332" s="60" t="s">
        <v>725</v>
      </c>
      <c r="E332" s="60" t="s">
        <v>990</v>
      </c>
      <c r="F332" s="75" t="s">
        <v>63</v>
      </c>
      <c r="G332" s="63"/>
      <c r="H332" s="60">
        <v>28000</v>
      </c>
      <c r="I332" s="63"/>
    </row>
    <row r="333" spans="1:9">
      <c r="A333" s="62">
        <v>45585</v>
      </c>
      <c r="B333" s="61" t="s">
        <v>1753</v>
      </c>
      <c r="C333" s="60" t="s">
        <v>1313</v>
      </c>
      <c r="D333" s="60" t="s">
        <v>725</v>
      </c>
      <c r="E333" s="60" t="s">
        <v>515</v>
      </c>
      <c r="F333" s="75" t="s">
        <v>63</v>
      </c>
      <c r="G333" s="63"/>
      <c r="H333" s="60">
        <v>37000</v>
      </c>
      <c r="I333" s="63"/>
    </row>
    <row r="334" spans="1:9">
      <c r="A334" s="62">
        <v>45585</v>
      </c>
      <c r="B334" s="61" t="s">
        <v>1753</v>
      </c>
      <c r="C334" s="60" t="s">
        <v>1326</v>
      </c>
      <c r="D334" s="60" t="s">
        <v>725</v>
      </c>
      <c r="E334" s="73" t="s">
        <v>182</v>
      </c>
      <c r="F334" s="75" t="s">
        <v>63</v>
      </c>
      <c r="G334" s="63"/>
      <c r="H334" s="60">
        <v>20600</v>
      </c>
      <c r="I334" s="63"/>
    </row>
    <row r="335" spans="1:9">
      <c r="A335" s="62">
        <v>45585</v>
      </c>
      <c r="B335" s="61" t="s">
        <v>1753</v>
      </c>
      <c r="C335" s="60" t="s">
        <v>1328</v>
      </c>
      <c r="D335" s="60" t="s">
        <v>725</v>
      </c>
      <c r="E335" s="60" t="s">
        <v>441</v>
      </c>
      <c r="F335" s="75" t="s">
        <v>63</v>
      </c>
      <c r="G335" s="63"/>
      <c r="H335" s="60">
        <v>193000</v>
      </c>
      <c r="I335" s="63"/>
    </row>
    <row r="336" spans="1:9">
      <c r="A336" s="62">
        <v>45587</v>
      </c>
      <c r="B336" s="61" t="s">
        <v>1753</v>
      </c>
      <c r="C336" s="60" t="s">
        <v>1336</v>
      </c>
      <c r="D336" s="60" t="s">
        <v>725</v>
      </c>
      <c r="E336" s="60" t="s">
        <v>441</v>
      </c>
      <c r="F336" s="75" t="s">
        <v>63</v>
      </c>
      <c r="G336" s="63"/>
      <c r="H336" s="60">
        <v>150000</v>
      </c>
      <c r="I336" s="63"/>
    </row>
    <row r="337" spans="1:9">
      <c r="A337" s="62">
        <v>45589</v>
      </c>
      <c r="B337" s="61" t="s">
        <v>1753</v>
      </c>
      <c r="C337" s="60" t="s">
        <v>1341</v>
      </c>
      <c r="D337" s="60" t="s">
        <v>725</v>
      </c>
      <c r="E337" s="60" t="s">
        <v>883</v>
      </c>
      <c r="F337" s="75" t="s">
        <v>63</v>
      </c>
      <c r="G337" s="63"/>
      <c r="H337" s="60">
        <v>28300</v>
      </c>
      <c r="I337" s="63"/>
    </row>
    <row r="338" spans="1:9">
      <c r="A338" s="62">
        <v>45589</v>
      </c>
      <c r="B338" s="61" t="s">
        <v>1753</v>
      </c>
      <c r="C338" s="60" t="s">
        <v>1343</v>
      </c>
      <c r="D338" s="60" t="s">
        <v>725</v>
      </c>
      <c r="E338" s="60" t="s">
        <v>501</v>
      </c>
      <c r="F338" s="75" t="s">
        <v>63</v>
      </c>
      <c r="G338" s="63"/>
      <c r="H338" s="60">
        <v>15000</v>
      </c>
      <c r="I338" s="63"/>
    </row>
    <row r="339" spans="1:9">
      <c r="A339" s="62">
        <v>45589</v>
      </c>
      <c r="B339" s="61" t="s">
        <v>1753</v>
      </c>
      <c r="C339" s="60" t="s">
        <v>1349</v>
      </c>
      <c r="D339" s="60" t="s">
        <v>725</v>
      </c>
      <c r="E339" s="60" t="s">
        <v>515</v>
      </c>
      <c r="F339" s="75" t="s">
        <v>63</v>
      </c>
      <c r="G339" s="63"/>
      <c r="H339" s="60">
        <v>42500</v>
      </c>
      <c r="I339" s="63"/>
    </row>
    <row r="340" spans="1:9">
      <c r="A340" s="62">
        <v>45589</v>
      </c>
      <c r="B340" s="61" t="s">
        <v>1753</v>
      </c>
      <c r="C340" s="60" t="s">
        <v>1354</v>
      </c>
      <c r="D340" s="60" t="s">
        <v>725</v>
      </c>
      <c r="E340" s="60" t="s">
        <v>356</v>
      </c>
      <c r="F340" s="75" t="s">
        <v>63</v>
      </c>
      <c r="G340" s="63"/>
      <c r="H340" s="60">
        <v>39000</v>
      </c>
      <c r="I340" s="63"/>
    </row>
    <row r="341" spans="1:9">
      <c r="A341" s="62">
        <v>45590</v>
      </c>
      <c r="B341" s="61" t="s">
        <v>1753</v>
      </c>
      <c r="C341" s="60" t="s">
        <v>1356</v>
      </c>
      <c r="D341" s="60" t="s">
        <v>725</v>
      </c>
      <c r="E341" s="73" t="s">
        <v>182</v>
      </c>
      <c r="F341" s="75" t="s">
        <v>63</v>
      </c>
      <c r="G341" s="63"/>
      <c r="H341" s="60">
        <v>27000</v>
      </c>
      <c r="I341" s="63"/>
    </row>
    <row r="342" spans="1:9">
      <c r="A342" s="62">
        <v>45590</v>
      </c>
      <c r="B342" s="61" t="s">
        <v>1753</v>
      </c>
      <c r="C342" s="60" t="s">
        <v>1358</v>
      </c>
      <c r="D342" s="60" t="s">
        <v>725</v>
      </c>
      <c r="E342" s="60" t="s">
        <v>609</v>
      </c>
      <c r="F342" s="75" t="s">
        <v>63</v>
      </c>
      <c r="G342" s="63"/>
      <c r="H342" s="60">
        <v>38500</v>
      </c>
      <c r="I342" s="63"/>
    </row>
    <row r="343" spans="1:9">
      <c r="A343" s="62">
        <v>45590</v>
      </c>
      <c r="B343" s="61" t="s">
        <v>1753</v>
      </c>
      <c r="C343" s="60" t="s">
        <v>1362</v>
      </c>
      <c r="D343" s="60" t="s">
        <v>725</v>
      </c>
      <c r="E343" s="60" t="s">
        <v>990</v>
      </c>
      <c r="F343" s="75" t="s">
        <v>63</v>
      </c>
      <c r="G343" s="63"/>
      <c r="H343" s="60">
        <v>15000</v>
      </c>
      <c r="I343" s="63"/>
    </row>
    <row r="344" spans="1:9">
      <c r="A344" s="62">
        <v>45590</v>
      </c>
      <c r="B344" s="61" t="s">
        <v>1753</v>
      </c>
      <c r="C344" s="60" t="s">
        <v>1371</v>
      </c>
      <c r="D344" s="60" t="s">
        <v>725</v>
      </c>
      <c r="E344" s="60" t="s">
        <v>441</v>
      </c>
      <c r="F344" s="75" t="s">
        <v>63</v>
      </c>
      <c r="G344" s="63"/>
      <c r="H344" s="60">
        <v>34000</v>
      </c>
      <c r="I344" s="63"/>
    </row>
    <row r="345" spans="1:9">
      <c r="A345" s="62">
        <v>45590</v>
      </c>
      <c r="B345" s="61" t="s">
        <v>1753</v>
      </c>
      <c r="C345" s="60" t="s">
        <v>1373</v>
      </c>
      <c r="D345" s="60" t="s">
        <v>725</v>
      </c>
      <c r="E345" s="73" t="s">
        <v>182</v>
      </c>
      <c r="F345" s="75" t="s">
        <v>63</v>
      </c>
      <c r="G345" s="63"/>
      <c r="H345" s="60">
        <v>81000</v>
      </c>
      <c r="I345" s="63"/>
    </row>
    <row r="346" spans="1:9">
      <c r="A346" s="62">
        <v>45590</v>
      </c>
      <c r="B346" s="61" t="s">
        <v>1753</v>
      </c>
      <c r="C346" s="60" t="s">
        <v>1375</v>
      </c>
      <c r="D346" s="60" t="s">
        <v>725</v>
      </c>
      <c r="E346" s="73" t="s">
        <v>182</v>
      </c>
      <c r="F346" s="75" t="s">
        <v>63</v>
      </c>
      <c r="G346" s="63"/>
      <c r="H346" s="60">
        <v>20000</v>
      </c>
      <c r="I346" s="63"/>
    </row>
    <row r="347" spans="1:9">
      <c r="A347" s="62">
        <v>45590</v>
      </c>
      <c r="B347" s="61" t="s">
        <v>1753</v>
      </c>
      <c r="C347" s="60" t="s">
        <v>1382</v>
      </c>
      <c r="D347" s="60" t="s">
        <v>725</v>
      </c>
      <c r="E347" s="60" t="s">
        <v>800</v>
      </c>
      <c r="F347" s="75" t="s">
        <v>63</v>
      </c>
      <c r="G347" s="63"/>
      <c r="H347" s="60">
        <v>65500</v>
      </c>
      <c r="I347" s="63"/>
    </row>
    <row r="348" spans="1:9">
      <c r="A348" s="62">
        <v>45594</v>
      </c>
      <c r="B348" s="61" t="s">
        <v>1753</v>
      </c>
      <c r="C348" s="60" t="s">
        <v>1394</v>
      </c>
      <c r="D348" s="60" t="s">
        <v>725</v>
      </c>
      <c r="E348" s="60" t="s">
        <v>800</v>
      </c>
      <c r="F348" s="75" t="s">
        <v>63</v>
      </c>
      <c r="G348" s="63"/>
      <c r="H348" s="60">
        <v>16000</v>
      </c>
      <c r="I348" s="63"/>
    </row>
    <row r="349" spans="1:9">
      <c r="A349" s="61">
        <v>45597</v>
      </c>
      <c r="B349" s="61" t="s">
        <v>1753</v>
      </c>
      <c r="C349" s="60" t="s">
        <v>1403</v>
      </c>
      <c r="D349" s="60" t="s">
        <v>725</v>
      </c>
      <c r="E349" s="60" t="s">
        <v>825</v>
      </c>
      <c r="F349" s="75" t="s">
        <v>66</v>
      </c>
      <c r="G349" s="63"/>
      <c r="H349" s="60">
        <v>40000</v>
      </c>
      <c r="I349" s="63"/>
    </row>
    <row r="350" spans="1:9">
      <c r="A350" s="61">
        <v>45601</v>
      </c>
      <c r="B350" s="61" t="s">
        <v>1753</v>
      </c>
      <c r="C350" s="60" t="s">
        <v>1426</v>
      </c>
      <c r="D350" s="60" t="s">
        <v>725</v>
      </c>
      <c r="E350" s="60" t="s">
        <v>515</v>
      </c>
      <c r="F350" s="75" t="s">
        <v>63</v>
      </c>
      <c r="G350" s="63"/>
      <c r="H350" s="60">
        <v>27000</v>
      </c>
      <c r="I350" s="63"/>
    </row>
    <row r="351" spans="1:9">
      <c r="A351" s="61">
        <v>45601</v>
      </c>
      <c r="B351" s="61" t="s">
        <v>1753</v>
      </c>
      <c r="C351" s="60" t="s">
        <v>1428</v>
      </c>
      <c r="D351" s="60" t="s">
        <v>725</v>
      </c>
      <c r="E351" s="60" t="s">
        <v>515</v>
      </c>
      <c r="F351" s="75" t="s">
        <v>63</v>
      </c>
      <c r="G351" s="63"/>
      <c r="H351" s="60">
        <v>36500</v>
      </c>
      <c r="I351" s="63"/>
    </row>
    <row r="352" spans="1:9">
      <c r="A352" s="61">
        <v>45601</v>
      </c>
      <c r="B352" s="61" t="s">
        <v>1753</v>
      </c>
      <c r="C352" s="60" t="s">
        <v>1436</v>
      </c>
      <c r="D352" s="60" t="s">
        <v>725</v>
      </c>
      <c r="E352" s="60" t="s">
        <v>909</v>
      </c>
      <c r="F352" s="75" t="s">
        <v>63</v>
      </c>
      <c r="G352" s="63"/>
      <c r="H352" s="60">
        <v>130000</v>
      </c>
      <c r="I352" s="63"/>
    </row>
    <row r="353" spans="1:9">
      <c r="A353" s="61">
        <v>45604</v>
      </c>
      <c r="B353" s="61" t="s">
        <v>1753</v>
      </c>
      <c r="C353" s="60" t="s">
        <v>1441</v>
      </c>
      <c r="D353" s="60" t="s">
        <v>725</v>
      </c>
      <c r="E353" s="73" t="s">
        <v>182</v>
      </c>
      <c r="F353" s="75" t="s">
        <v>66</v>
      </c>
      <c r="G353" s="63"/>
      <c r="H353" s="60">
        <v>40000</v>
      </c>
      <c r="I353" s="63"/>
    </row>
    <row r="354" spans="1:9">
      <c r="A354" s="61">
        <v>45605</v>
      </c>
      <c r="B354" s="61" t="s">
        <v>1753</v>
      </c>
      <c r="C354" s="60" t="s">
        <v>1443</v>
      </c>
      <c r="D354" s="60" t="s">
        <v>725</v>
      </c>
      <c r="E354" s="60" t="s">
        <v>501</v>
      </c>
      <c r="F354" s="75" t="s">
        <v>63</v>
      </c>
      <c r="G354" s="63"/>
      <c r="H354" s="60">
        <v>20400</v>
      </c>
      <c r="I354" s="63"/>
    </row>
    <row r="355" spans="1:9">
      <c r="A355" s="61">
        <v>45605</v>
      </c>
      <c r="B355" s="61" t="s">
        <v>1753</v>
      </c>
      <c r="C355" s="60" t="s">
        <v>1448</v>
      </c>
      <c r="D355" s="60" t="s">
        <v>725</v>
      </c>
      <c r="E355" s="73" t="s">
        <v>182</v>
      </c>
      <c r="F355" s="75" t="s">
        <v>63</v>
      </c>
      <c r="G355" s="63"/>
      <c r="H355" s="60">
        <v>19500</v>
      </c>
      <c r="I355" s="63"/>
    </row>
    <row r="356" spans="1:9">
      <c r="A356" s="61">
        <v>45605</v>
      </c>
      <c r="B356" s="61" t="s">
        <v>1753</v>
      </c>
      <c r="C356" s="60" t="s">
        <v>1450</v>
      </c>
      <c r="D356" s="60" t="s">
        <v>725</v>
      </c>
      <c r="E356" s="60" t="s">
        <v>1032</v>
      </c>
      <c r="F356" s="75" t="s">
        <v>63</v>
      </c>
      <c r="G356" s="63"/>
      <c r="H356" s="60">
        <v>25000</v>
      </c>
      <c r="I356" s="63"/>
    </row>
    <row r="357" spans="1:9">
      <c r="A357" s="61">
        <v>45605</v>
      </c>
      <c r="B357" s="61" t="s">
        <v>1753</v>
      </c>
      <c r="C357" s="60" t="s">
        <v>1452</v>
      </c>
      <c r="D357" s="60" t="s">
        <v>725</v>
      </c>
      <c r="E357" s="60" t="s">
        <v>356</v>
      </c>
      <c r="F357" s="75" t="s">
        <v>63</v>
      </c>
      <c r="G357" s="63"/>
      <c r="H357" s="60">
        <v>35000</v>
      </c>
      <c r="I357" s="63"/>
    </row>
    <row r="358" spans="1:9">
      <c r="A358" s="61">
        <v>45605</v>
      </c>
      <c r="B358" s="61" t="s">
        <v>1753</v>
      </c>
      <c r="C358" s="60" t="s">
        <v>1454</v>
      </c>
      <c r="D358" s="60" t="s">
        <v>725</v>
      </c>
      <c r="E358" s="73" t="s">
        <v>182</v>
      </c>
      <c r="F358" s="75" t="s">
        <v>63</v>
      </c>
      <c r="G358" s="63"/>
      <c r="H358" s="60">
        <v>15000</v>
      </c>
      <c r="I358" s="63"/>
    </row>
    <row r="359" spans="1:9">
      <c r="A359" s="61">
        <v>45605</v>
      </c>
      <c r="B359" s="61" t="s">
        <v>1753</v>
      </c>
      <c r="C359" s="60" t="s">
        <v>1459</v>
      </c>
      <c r="D359" s="60" t="s">
        <v>725</v>
      </c>
      <c r="E359" s="60" t="s">
        <v>800</v>
      </c>
      <c r="F359" s="75" t="s">
        <v>63</v>
      </c>
      <c r="G359" s="63"/>
      <c r="H359" s="60">
        <v>110000</v>
      </c>
      <c r="I359" s="63"/>
    </row>
    <row r="360" spans="1:9">
      <c r="A360" s="61">
        <v>45605</v>
      </c>
      <c r="B360" s="61" t="s">
        <v>1753</v>
      </c>
      <c r="C360" s="60" t="s">
        <v>1463</v>
      </c>
      <c r="D360" s="60" t="s">
        <v>725</v>
      </c>
      <c r="E360" s="60" t="s">
        <v>356</v>
      </c>
      <c r="F360" s="75" t="s">
        <v>63</v>
      </c>
      <c r="G360" s="63"/>
      <c r="H360" s="60">
        <v>46000</v>
      </c>
      <c r="I360" s="63"/>
    </row>
    <row r="361" spans="1:9">
      <c r="A361" s="62">
        <v>45606</v>
      </c>
      <c r="B361" s="61" t="s">
        <v>1753</v>
      </c>
      <c r="C361" s="60" t="s">
        <v>1470</v>
      </c>
      <c r="D361" s="60" t="s">
        <v>725</v>
      </c>
      <c r="E361" s="60" t="s">
        <v>543</v>
      </c>
      <c r="F361" s="75" t="s">
        <v>63</v>
      </c>
      <c r="G361" s="63"/>
      <c r="H361" s="60">
        <v>26000</v>
      </c>
      <c r="I361" s="63"/>
    </row>
    <row r="362" spans="1:9">
      <c r="A362" s="62">
        <v>45608</v>
      </c>
      <c r="B362" s="61" t="s">
        <v>1753</v>
      </c>
      <c r="C362" s="60" t="s">
        <v>1474</v>
      </c>
      <c r="D362" s="60" t="s">
        <v>725</v>
      </c>
      <c r="E362" s="60" t="s">
        <v>867</v>
      </c>
      <c r="F362" s="75" t="s">
        <v>58</v>
      </c>
      <c r="G362" s="63"/>
      <c r="H362" s="60">
        <v>33000</v>
      </c>
      <c r="I362" s="63"/>
    </row>
    <row r="363" spans="1:9">
      <c r="A363" s="62">
        <v>45610</v>
      </c>
      <c r="B363" s="61" t="s">
        <v>1753</v>
      </c>
      <c r="C363" s="60" t="s">
        <v>1485</v>
      </c>
      <c r="D363" s="60" t="s">
        <v>725</v>
      </c>
      <c r="E363" s="60" t="s">
        <v>990</v>
      </c>
      <c r="F363" s="75" t="s">
        <v>63</v>
      </c>
      <c r="G363" s="63"/>
      <c r="H363" s="60">
        <v>25000</v>
      </c>
      <c r="I363" s="63"/>
    </row>
    <row r="364" spans="1:9">
      <c r="A364" s="62">
        <v>45611</v>
      </c>
      <c r="B364" s="61" t="s">
        <v>1753</v>
      </c>
      <c r="C364" s="60" t="s">
        <v>827</v>
      </c>
      <c r="D364" s="60" t="s">
        <v>725</v>
      </c>
      <c r="E364" s="60" t="s">
        <v>828</v>
      </c>
      <c r="F364" s="75" t="s">
        <v>66</v>
      </c>
      <c r="G364" s="63"/>
      <c r="H364" s="60">
        <v>63000</v>
      </c>
      <c r="I364" s="63"/>
    </row>
    <row r="365" spans="1:9">
      <c r="A365" s="62">
        <v>45612</v>
      </c>
      <c r="B365" s="61" t="s">
        <v>1753</v>
      </c>
      <c r="C365" s="60" t="s">
        <v>1498</v>
      </c>
      <c r="D365" s="60" t="s">
        <v>725</v>
      </c>
      <c r="E365" s="60" t="s">
        <v>501</v>
      </c>
      <c r="F365" s="75" t="s">
        <v>63</v>
      </c>
      <c r="G365" s="63"/>
      <c r="H365" s="60">
        <v>51000</v>
      </c>
      <c r="I365" s="63"/>
    </row>
    <row r="366" spans="1:9">
      <c r="A366" s="62">
        <v>45615</v>
      </c>
      <c r="B366" s="61" t="s">
        <v>1753</v>
      </c>
      <c r="C366" s="60" t="s">
        <v>1503</v>
      </c>
      <c r="D366" s="60" t="s">
        <v>725</v>
      </c>
      <c r="E366" s="60" t="s">
        <v>545</v>
      </c>
      <c r="F366" s="75" t="s">
        <v>58</v>
      </c>
      <c r="G366" s="63"/>
      <c r="H366" s="60">
        <v>37500</v>
      </c>
      <c r="I366" s="63"/>
    </row>
    <row r="367" spans="1:9">
      <c r="A367" s="62">
        <v>45618</v>
      </c>
      <c r="B367" s="61" t="s">
        <v>1753</v>
      </c>
      <c r="C367" s="60" t="s">
        <v>1514</v>
      </c>
      <c r="D367" s="60" t="s">
        <v>725</v>
      </c>
      <c r="E367" s="60" t="s">
        <v>867</v>
      </c>
      <c r="F367" s="75" t="s">
        <v>63</v>
      </c>
      <c r="G367" s="63"/>
      <c r="H367" s="60">
        <v>15000</v>
      </c>
      <c r="I367" s="63"/>
    </row>
    <row r="368" spans="1:9">
      <c r="A368" s="62">
        <v>45619</v>
      </c>
      <c r="B368" s="61" t="s">
        <v>1753</v>
      </c>
      <c r="C368" s="60" t="s">
        <v>1518</v>
      </c>
      <c r="D368" s="60" t="s">
        <v>725</v>
      </c>
      <c r="E368" s="60" t="s">
        <v>1234</v>
      </c>
      <c r="F368" s="75" t="s">
        <v>63</v>
      </c>
      <c r="G368" s="63"/>
      <c r="H368" s="60">
        <v>105000</v>
      </c>
      <c r="I368" s="63"/>
    </row>
    <row r="369" spans="1:9">
      <c r="A369" s="62">
        <v>45621</v>
      </c>
      <c r="B369" s="61" t="s">
        <v>1753</v>
      </c>
      <c r="C369" s="60" t="s">
        <v>1527</v>
      </c>
      <c r="D369" s="60" t="s">
        <v>725</v>
      </c>
      <c r="E369" s="60" t="s">
        <v>1528</v>
      </c>
      <c r="F369" s="75" t="s">
        <v>58</v>
      </c>
      <c r="G369" s="63"/>
      <c r="H369" s="60">
        <v>155000</v>
      </c>
      <c r="I369" s="63"/>
    </row>
    <row r="370" spans="1:9">
      <c r="A370" s="62">
        <v>45623</v>
      </c>
      <c r="B370" s="61" t="s">
        <v>1753</v>
      </c>
      <c r="C370" s="60" t="s">
        <v>1530</v>
      </c>
      <c r="D370" s="60" t="s">
        <v>725</v>
      </c>
      <c r="E370" s="60" t="s">
        <v>1049</v>
      </c>
      <c r="F370" s="75" t="s">
        <v>63</v>
      </c>
      <c r="G370" s="63"/>
      <c r="H370" s="60">
        <v>18000</v>
      </c>
      <c r="I370" s="63"/>
    </row>
    <row r="371" spans="1:9">
      <c r="A371" s="61">
        <v>45627</v>
      </c>
      <c r="B371" s="61" t="s">
        <v>1753</v>
      </c>
      <c r="C371" s="60" t="s">
        <v>1544</v>
      </c>
      <c r="D371" s="60" t="s">
        <v>725</v>
      </c>
      <c r="E371" s="73" t="s">
        <v>182</v>
      </c>
      <c r="F371" s="75" t="s">
        <v>63</v>
      </c>
      <c r="G371" s="63"/>
      <c r="H371" s="60">
        <v>80000</v>
      </c>
      <c r="I371" s="63"/>
    </row>
    <row r="372" spans="1:9">
      <c r="A372" s="61">
        <v>45627</v>
      </c>
      <c r="B372" s="61" t="s">
        <v>1753</v>
      </c>
      <c r="C372" s="60" t="s">
        <v>1560</v>
      </c>
      <c r="D372" s="60" t="s">
        <v>725</v>
      </c>
      <c r="E372" s="60" t="s">
        <v>515</v>
      </c>
      <c r="F372" s="75" t="s">
        <v>63</v>
      </c>
      <c r="G372" s="63"/>
      <c r="H372" s="60">
        <v>100000</v>
      </c>
      <c r="I372" s="63"/>
    </row>
    <row r="373" spans="1:9">
      <c r="A373" s="61">
        <v>45627</v>
      </c>
      <c r="B373" s="61" t="s">
        <v>1753</v>
      </c>
      <c r="C373" s="60" t="s">
        <v>1564</v>
      </c>
      <c r="D373" s="60" t="s">
        <v>725</v>
      </c>
      <c r="E373" s="60" t="s">
        <v>441</v>
      </c>
      <c r="F373" s="75" t="s">
        <v>63</v>
      </c>
      <c r="G373" s="63"/>
      <c r="H373" s="60">
        <v>41000</v>
      </c>
      <c r="I373" s="63"/>
    </row>
    <row r="374" spans="1:9">
      <c r="A374" s="61">
        <v>45631</v>
      </c>
      <c r="B374" s="61" t="s">
        <v>1753</v>
      </c>
      <c r="C374" s="60" t="s">
        <v>1573</v>
      </c>
      <c r="D374" s="60" t="s">
        <v>725</v>
      </c>
      <c r="E374" s="73" t="s">
        <v>182</v>
      </c>
      <c r="F374" s="75" t="s">
        <v>63</v>
      </c>
      <c r="G374" s="63"/>
      <c r="H374" s="60">
        <v>23000</v>
      </c>
      <c r="I374" s="63"/>
    </row>
    <row r="375" spans="1:9">
      <c r="A375" s="61">
        <v>45631</v>
      </c>
      <c r="B375" s="61" t="s">
        <v>1753</v>
      </c>
      <c r="C375" s="60" t="s">
        <v>1575</v>
      </c>
      <c r="D375" s="60" t="s">
        <v>725</v>
      </c>
      <c r="E375" s="60" t="s">
        <v>501</v>
      </c>
      <c r="F375" s="75" t="s">
        <v>66</v>
      </c>
      <c r="G375" s="63"/>
      <c r="H375" s="60">
        <v>39500</v>
      </c>
      <c r="I375" s="63"/>
    </row>
    <row r="376" spans="1:9">
      <c r="A376" s="61">
        <v>45631</v>
      </c>
      <c r="B376" s="61" t="s">
        <v>1753</v>
      </c>
      <c r="C376" s="60" t="s">
        <v>1580</v>
      </c>
      <c r="D376" s="60" t="s">
        <v>725</v>
      </c>
      <c r="E376" s="60" t="s">
        <v>990</v>
      </c>
      <c r="F376" s="75" t="s">
        <v>63</v>
      </c>
      <c r="G376" s="63"/>
      <c r="H376" s="60">
        <v>14100</v>
      </c>
      <c r="I376" s="63"/>
    </row>
    <row r="377" spans="1:9">
      <c r="A377" s="61">
        <v>45633</v>
      </c>
      <c r="B377" s="61" t="s">
        <v>1753</v>
      </c>
      <c r="C377" s="60" t="s">
        <v>1584</v>
      </c>
      <c r="D377" s="60" t="s">
        <v>725</v>
      </c>
      <c r="E377" s="60" t="s">
        <v>515</v>
      </c>
      <c r="F377" s="75" t="s">
        <v>63</v>
      </c>
      <c r="G377" s="63"/>
      <c r="H377" s="60">
        <v>28000</v>
      </c>
      <c r="I377" s="63"/>
    </row>
    <row r="378" spans="1:9">
      <c r="A378" s="61">
        <v>45633</v>
      </c>
      <c r="B378" s="61" t="s">
        <v>1753</v>
      </c>
      <c r="C378" s="60" t="s">
        <v>1595</v>
      </c>
      <c r="D378" s="60" t="s">
        <v>725</v>
      </c>
      <c r="E378" s="60" t="s">
        <v>1032</v>
      </c>
      <c r="F378" s="75" t="s">
        <v>63</v>
      </c>
      <c r="G378" s="63"/>
      <c r="H378" s="60">
        <v>20500</v>
      </c>
      <c r="I378" s="63"/>
    </row>
    <row r="379" spans="1:9">
      <c r="A379" s="61">
        <v>45634</v>
      </c>
      <c r="B379" s="61" t="s">
        <v>1753</v>
      </c>
      <c r="C379" s="60" t="s">
        <v>1599</v>
      </c>
      <c r="D379" s="60" t="s">
        <v>725</v>
      </c>
      <c r="E379" s="60" t="s">
        <v>609</v>
      </c>
      <c r="F379" s="75" t="s">
        <v>63</v>
      </c>
      <c r="G379" s="63"/>
      <c r="H379" s="60">
        <v>52000</v>
      </c>
      <c r="I379" s="63"/>
    </row>
    <row r="380" spans="1:9">
      <c r="A380" s="61">
        <v>45635</v>
      </c>
      <c r="B380" s="61" t="s">
        <v>1753</v>
      </c>
      <c r="C380" s="60" t="s">
        <v>1601</v>
      </c>
      <c r="D380" s="60" t="s">
        <v>725</v>
      </c>
      <c r="E380" s="60" t="s">
        <v>515</v>
      </c>
      <c r="F380" s="75" t="s">
        <v>58</v>
      </c>
      <c r="G380" s="63"/>
      <c r="H380" s="60">
        <v>23000</v>
      </c>
      <c r="I380" s="63"/>
    </row>
    <row r="381" spans="1:9">
      <c r="A381" s="62">
        <v>45637</v>
      </c>
      <c r="B381" s="61" t="s">
        <v>1753</v>
      </c>
      <c r="C381" s="60" t="s">
        <v>1605</v>
      </c>
      <c r="D381" s="60" t="s">
        <v>725</v>
      </c>
      <c r="E381" s="60" t="s">
        <v>1027</v>
      </c>
      <c r="F381" s="75" t="s">
        <v>58</v>
      </c>
      <c r="G381" s="63"/>
      <c r="H381" s="60">
        <v>75000</v>
      </c>
      <c r="I381" s="63"/>
    </row>
    <row r="382" spans="1:9">
      <c r="A382" s="62">
        <v>45639</v>
      </c>
      <c r="B382" s="61" t="s">
        <v>1753</v>
      </c>
      <c r="C382" s="60" t="s">
        <v>1610</v>
      </c>
      <c r="D382" s="60" t="s">
        <v>725</v>
      </c>
      <c r="E382" s="60" t="s">
        <v>356</v>
      </c>
      <c r="F382" s="75" t="s">
        <v>63</v>
      </c>
      <c r="G382" s="63"/>
      <c r="H382" s="60">
        <v>34500</v>
      </c>
      <c r="I382" s="63"/>
    </row>
    <row r="383" spans="1:9">
      <c r="A383" s="62">
        <v>45640</v>
      </c>
      <c r="B383" s="61" t="s">
        <v>1753</v>
      </c>
      <c r="C383" s="60" t="s">
        <v>1614</v>
      </c>
      <c r="D383" s="60" t="s">
        <v>725</v>
      </c>
      <c r="E383" s="60" t="s">
        <v>1032</v>
      </c>
      <c r="F383" s="75" t="s">
        <v>63</v>
      </c>
      <c r="G383" s="63"/>
      <c r="H383" s="60">
        <v>20000</v>
      </c>
      <c r="I383" s="63"/>
    </row>
    <row r="384" spans="1:9">
      <c r="A384" s="62">
        <v>45642</v>
      </c>
      <c r="B384" s="61" t="s">
        <v>1753</v>
      </c>
      <c r="C384" s="60" t="s">
        <v>1626</v>
      </c>
      <c r="D384" s="60" t="s">
        <v>725</v>
      </c>
      <c r="E384" s="60" t="s">
        <v>867</v>
      </c>
      <c r="F384" s="75" t="s">
        <v>63</v>
      </c>
      <c r="G384" s="63"/>
      <c r="H384" s="60">
        <v>16500</v>
      </c>
      <c r="I384" s="63"/>
    </row>
    <row r="385" spans="1:9">
      <c r="A385" s="62">
        <v>45642</v>
      </c>
      <c r="B385" s="61" t="s">
        <v>1753</v>
      </c>
      <c r="C385" s="60" t="s">
        <v>1630</v>
      </c>
      <c r="D385" s="60" t="s">
        <v>725</v>
      </c>
      <c r="E385" s="73" t="s">
        <v>182</v>
      </c>
      <c r="F385" s="75" t="s">
        <v>63</v>
      </c>
      <c r="G385" s="63"/>
      <c r="H385" s="60">
        <v>26000</v>
      </c>
      <c r="I385" s="63"/>
    </row>
    <row r="386" spans="1:9">
      <c r="A386" s="62">
        <v>45643</v>
      </c>
      <c r="B386" s="61" t="s">
        <v>1753</v>
      </c>
      <c r="C386" s="60" t="s">
        <v>1636</v>
      </c>
      <c r="D386" s="60" t="s">
        <v>725</v>
      </c>
      <c r="E386" s="60" t="s">
        <v>867</v>
      </c>
      <c r="F386" s="75" t="s">
        <v>63</v>
      </c>
      <c r="G386" s="63"/>
      <c r="H386" s="60">
        <v>13500</v>
      </c>
      <c r="I386" s="63"/>
    </row>
    <row r="387" spans="1:9">
      <c r="A387" s="62">
        <v>45643</v>
      </c>
      <c r="B387" s="61" t="s">
        <v>1753</v>
      </c>
      <c r="C387" s="60" t="s">
        <v>1640</v>
      </c>
      <c r="D387" s="60" t="s">
        <v>725</v>
      </c>
      <c r="E387" s="60" t="s">
        <v>1641</v>
      </c>
      <c r="F387" s="75" t="s">
        <v>63</v>
      </c>
      <c r="G387" s="63"/>
      <c r="H387" s="60">
        <v>90000</v>
      </c>
      <c r="I387" s="63"/>
    </row>
    <row r="388" spans="1:9">
      <c r="A388" s="62">
        <v>45643</v>
      </c>
      <c r="B388" s="61" t="s">
        <v>1753</v>
      </c>
      <c r="C388" s="60" t="s">
        <v>1643</v>
      </c>
      <c r="D388" s="60" t="s">
        <v>725</v>
      </c>
      <c r="E388" s="60" t="s">
        <v>501</v>
      </c>
      <c r="F388" s="75" t="s">
        <v>63</v>
      </c>
      <c r="G388" s="63"/>
      <c r="H388" s="60">
        <v>28000</v>
      </c>
      <c r="I388" s="63"/>
    </row>
    <row r="389" spans="1:9">
      <c r="A389" s="62">
        <v>45645</v>
      </c>
      <c r="B389" s="61" t="s">
        <v>1753</v>
      </c>
      <c r="C389" s="60" t="s">
        <v>1653</v>
      </c>
      <c r="D389" s="60" t="s">
        <v>725</v>
      </c>
      <c r="E389" s="60" t="s">
        <v>515</v>
      </c>
      <c r="F389" s="75" t="s">
        <v>63</v>
      </c>
      <c r="G389" s="63"/>
      <c r="H389" s="60">
        <v>30500</v>
      </c>
      <c r="I389" s="63"/>
    </row>
    <row r="390" spans="1:9">
      <c r="A390" s="62">
        <v>45645</v>
      </c>
      <c r="B390" s="61" t="s">
        <v>1753</v>
      </c>
      <c r="C390" s="60" t="s">
        <v>1655</v>
      </c>
      <c r="D390" s="60" t="s">
        <v>725</v>
      </c>
      <c r="E390" s="73" t="s">
        <v>182</v>
      </c>
      <c r="F390" s="75" t="s">
        <v>63</v>
      </c>
      <c r="G390" s="63"/>
      <c r="H390" s="60">
        <v>23000</v>
      </c>
      <c r="I390" s="63"/>
    </row>
    <row r="391" spans="1:9">
      <c r="A391" s="62">
        <v>45645</v>
      </c>
      <c r="B391" s="61" t="s">
        <v>1753</v>
      </c>
      <c r="C391" s="60" t="s">
        <v>1657</v>
      </c>
      <c r="D391" s="60" t="s">
        <v>725</v>
      </c>
      <c r="E391" s="60" t="s">
        <v>800</v>
      </c>
      <c r="F391" s="75" t="s">
        <v>63</v>
      </c>
      <c r="G391" s="63"/>
      <c r="H391" s="60">
        <v>63000</v>
      </c>
      <c r="I391" s="63"/>
    </row>
    <row r="392" spans="1:9">
      <c r="A392" s="62">
        <v>45648</v>
      </c>
      <c r="B392" s="61" t="s">
        <v>1753</v>
      </c>
      <c r="C392" s="60" t="s">
        <v>1661</v>
      </c>
      <c r="D392" s="60" t="s">
        <v>725</v>
      </c>
      <c r="E392" s="60" t="s">
        <v>867</v>
      </c>
      <c r="F392" s="75" t="s">
        <v>58</v>
      </c>
      <c r="G392" s="63"/>
      <c r="H392" s="60">
        <v>77000</v>
      </c>
      <c r="I392" s="63"/>
    </row>
    <row r="393" spans="1:9">
      <c r="A393" s="62">
        <v>45648</v>
      </c>
      <c r="B393" s="61" t="s">
        <v>1753</v>
      </c>
      <c r="C393" s="60" t="s">
        <v>1663</v>
      </c>
      <c r="D393" s="60" t="s">
        <v>725</v>
      </c>
      <c r="E393" s="73" t="s">
        <v>182</v>
      </c>
      <c r="F393" s="75" t="s">
        <v>63</v>
      </c>
      <c r="G393" s="63"/>
      <c r="H393" s="60">
        <v>28000</v>
      </c>
      <c r="I393" s="63"/>
    </row>
    <row r="394" spans="1:9">
      <c r="A394" s="62">
        <v>45649</v>
      </c>
      <c r="B394" s="61" t="s">
        <v>1753</v>
      </c>
      <c r="C394" s="60" t="s">
        <v>1665</v>
      </c>
      <c r="D394" s="60" t="s">
        <v>725</v>
      </c>
      <c r="E394" s="73" t="s">
        <v>182</v>
      </c>
      <c r="F394" s="75" t="s">
        <v>66</v>
      </c>
      <c r="G394" s="63"/>
      <c r="H394" s="60">
        <v>75000</v>
      </c>
      <c r="I394" s="63"/>
    </row>
    <row r="395" spans="1:9">
      <c r="A395" s="62">
        <v>45649</v>
      </c>
      <c r="B395" s="61" t="s">
        <v>1753</v>
      </c>
      <c r="C395" s="60" t="s">
        <v>1667</v>
      </c>
      <c r="D395" s="60" t="s">
        <v>725</v>
      </c>
      <c r="E395" s="60" t="s">
        <v>1668</v>
      </c>
      <c r="F395" s="75" t="s">
        <v>63</v>
      </c>
      <c r="G395" s="63"/>
      <c r="H395" s="60">
        <v>41000</v>
      </c>
      <c r="I395" s="63"/>
    </row>
    <row r="396" spans="1:9">
      <c r="A396" s="62">
        <v>45652</v>
      </c>
      <c r="B396" s="61" t="s">
        <v>1753</v>
      </c>
      <c r="C396" s="60" t="s">
        <v>1670</v>
      </c>
      <c r="D396" s="60" t="s">
        <v>725</v>
      </c>
      <c r="E396" s="60" t="s">
        <v>1124</v>
      </c>
      <c r="F396" s="75" t="s">
        <v>58</v>
      </c>
      <c r="G396" s="63"/>
      <c r="H396" s="60">
        <v>18000</v>
      </c>
      <c r="I396" s="63"/>
    </row>
    <row r="397" spans="1:9">
      <c r="A397" s="62">
        <v>45654</v>
      </c>
      <c r="B397" s="61" t="s">
        <v>1753</v>
      </c>
      <c r="C397" s="60" t="s">
        <v>1677</v>
      </c>
      <c r="D397" s="60" t="s">
        <v>725</v>
      </c>
      <c r="E397" s="60" t="s">
        <v>800</v>
      </c>
      <c r="F397" s="75" t="s">
        <v>63</v>
      </c>
      <c r="G397" s="63"/>
      <c r="H397" s="60">
        <v>36100</v>
      </c>
      <c r="I397" s="63"/>
    </row>
    <row r="398" spans="1:9">
      <c r="A398" s="62">
        <v>45655</v>
      </c>
      <c r="B398" s="61" t="s">
        <v>1753</v>
      </c>
      <c r="C398" s="60" t="s">
        <v>1682</v>
      </c>
      <c r="D398" s="60" t="s">
        <v>725</v>
      </c>
      <c r="E398" s="60" t="s">
        <v>1206</v>
      </c>
      <c r="F398" s="75" t="s">
        <v>63</v>
      </c>
      <c r="G398" s="63"/>
      <c r="H398" s="60">
        <v>52000</v>
      </c>
      <c r="I398" s="63"/>
    </row>
    <row r="399" spans="1:9">
      <c r="A399" s="62">
        <v>45656</v>
      </c>
      <c r="B399" s="61" t="s">
        <v>1753</v>
      </c>
      <c r="C399" s="60" t="s">
        <v>1687</v>
      </c>
      <c r="D399" s="60" t="s">
        <v>725</v>
      </c>
      <c r="E399" s="60" t="s">
        <v>524</v>
      </c>
      <c r="F399" s="75" t="s">
        <v>63</v>
      </c>
      <c r="G399" s="63"/>
      <c r="H399" s="60">
        <v>50000</v>
      </c>
      <c r="I399" s="63"/>
    </row>
    <row r="400" spans="1:9">
      <c r="A400" s="62">
        <v>45656</v>
      </c>
      <c r="B400" s="61" t="s">
        <v>1753</v>
      </c>
      <c r="C400" s="60" t="s">
        <v>1689</v>
      </c>
      <c r="D400" s="60" t="s">
        <v>725</v>
      </c>
      <c r="E400" s="60" t="s">
        <v>515</v>
      </c>
      <c r="F400" s="75" t="s">
        <v>63</v>
      </c>
      <c r="G400" s="63"/>
      <c r="H400" s="60">
        <v>28500</v>
      </c>
      <c r="I400" s="63"/>
    </row>
    <row r="401" spans="1:9">
      <c r="A401" s="62">
        <v>45656</v>
      </c>
      <c r="B401" s="61" t="s">
        <v>1753</v>
      </c>
      <c r="C401" s="60" t="s">
        <v>1691</v>
      </c>
      <c r="D401" s="60" t="s">
        <v>725</v>
      </c>
      <c r="E401" s="73" t="s">
        <v>182</v>
      </c>
      <c r="F401" s="75" t="s">
        <v>63</v>
      </c>
      <c r="G401" s="63"/>
      <c r="H401" s="60">
        <v>22000</v>
      </c>
      <c r="I401" s="63"/>
    </row>
    <row r="402" spans="1:9">
      <c r="A402" s="62">
        <v>45656</v>
      </c>
      <c r="B402" s="61" t="s">
        <v>1753</v>
      </c>
      <c r="C402" s="60" t="s">
        <v>1696</v>
      </c>
      <c r="D402" s="60" t="s">
        <v>725</v>
      </c>
      <c r="E402" s="60" t="s">
        <v>825</v>
      </c>
      <c r="F402" s="75" t="s">
        <v>66</v>
      </c>
      <c r="G402" s="63"/>
      <c r="H402" s="60">
        <v>37500</v>
      </c>
      <c r="I402" s="63"/>
    </row>
    <row r="403" spans="1:9">
      <c r="A403" s="62">
        <v>45656</v>
      </c>
      <c r="B403" s="61" t="s">
        <v>1753</v>
      </c>
      <c r="C403" s="60" t="s">
        <v>1698</v>
      </c>
      <c r="D403" s="60" t="s">
        <v>725</v>
      </c>
      <c r="E403" s="73" t="s">
        <v>182</v>
      </c>
      <c r="F403" s="75" t="s">
        <v>63</v>
      </c>
      <c r="G403" s="63"/>
      <c r="H403" s="60">
        <v>18000</v>
      </c>
      <c r="I403" s="63"/>
    </row>
    <row r="404" spans="1:9">
      <c r="A404" s="62">
        <v>45657</v>
      </c>
      <c r="B404" s="61" t="s">
        <v>1753</v>
      </c>
      <c r="C404" s="58" t="s">
        <v>1702</v>
      </c>
      <c r="D404" s="58" t="s">
        <v>725</v>
      </c>
      <c r="E404" s="58" t="s">
        <v>501</v>
      </c>
      <c r="F404" s="75" t="s">
        <v>63</v>
      </c>
      <c r="G404" s="63"/>
      <c r="H404" s="58">
        <v>36000</v>
      </c>
      <c r="I404" s="63"/>
    </row>
    <row r="405" spans="1:9">
      <c r="A405" s="57">
        <v>45383</v>
      </c>
      <c r="B405" s="82" t="s">
        <v>1751</v>
      </c>
      <c r="C405" s="58" t="s">
        <v>61</v>
      </c>
      <c r="D405" s="81" t="s">
        <v>1744</v>
      </c>
      <c r="E405" s="58" t="s">
        <v>62</v>
      </c>
      <c r="F405" s="58" t="s">
        <v>63</v>
      </c>
      <c r="G405" s="58" t="s">
        <v>59</v>
      </c>
      <c r="H405" s="58">
        <v>27000</v>
      </c>
      <c r="I405" s="58" t="s">
        <v>64</v>
      </c>
    </row>
    <row r="406" spans="1:9">
      <c r="A406" s="57">
        <v>45383</v>
      </c>
      <c r="B406" s="82" t="s">
        <v>1751</v>
      </c>
      <c r="C406" s="58" t="s">
        <v>65</v>
      </c>
      <c r="D406" s="81" t="s">
        <v>1744</v>
      </c>
      <c r="E406" s="58" t="s">
        <v>62</v>
      </c>
      <c r="F406" s="58" t="s">
        <v>66</v>
      </c>
      <c r="G406" s="58" t="s">
        <v>59</v>
      </c>
      <c r="H406" s="58">
        <v>38000</v>
      </c>
      <c r="I406" s="58" t="s">
        <v>67</v>
      </c>
    </row>
    <row r="407" spans="1:9">
      <c r="A407" s="57">
        <v>45458</v>
      </c>
      <c r="B407" s="82" t="s">
        <v>1751</v>
      </c>
      <c r="C407" s="58" t="s">
        <v>442</v>
      </c>
      <c r="D407" s="81" t="s">
        <v>1744</v>
      </c>
      <c r="E407" s="58" t="s">
        <v>62</v>
      </c>
      <c r="F407" s="58" t="s">
        <v>63</v>
      </c>
      <c r="G407" s="58" t="s">
        <v>59</v>
      </c>
      <c r="H407" s="58">
        <v>36000</v>
      </c>
      <c r="I407" s="58" t="s">
        <v>443</v>
      </c>
    </row>
    <row r="408" spans="1:9">
      <c r="A408" s="57">
        <v>45464</v>
      </c>
      <c r="B408" s="82" t="s">
        <v>1751</v>
      </c>
      <c r="C408" s="58" t="s">
        <v>468</v>
      </c>
      <c r="D408" s="81" t="s">
        <v>1744</v>
      </c>
      <c r="E408" s="58" t="s">
        <v>469</v>
      </c>
      <c r="F408" s="58" t="s">
        <v>63</v>
      </c>
      <c r="G408" s="58" t="s">
        <v>192</v>
      </c>
      <c r="H408" s="58">
        <v>70000</v>
      </c>
      <c r="I408" s="58" t="s">
        <v>470</v>
      </c>
    </row>
    <row r="409" spans="1:9">
      <c r="A409" s="57">
        <v>45470</v>
      </c>
      <c r="B409" s="82" t="s">
        <v>1751</v>
      </c>
      <c r="C409" s="58" t="s">
        <v>502</v>
      </c>
      <c r="D409" s="81" t="s">
        <v>1744</v>
      </c>
      <c r="E409" s="58" t="s">
        <v>62</v>
      </c>
      <c r="F409" s="58" t="s">
        <v>63</v>
      </c>
      <c r="G409" s="58" t="s">
        <v>59</v>
      </c>
      <c r="H409" s="58">
        <v>23000</v>
      </c>
      <c r="I409" s="58" t="s">
        <v>503</v>
      </c>
    </row>
    <row r="410" spans="1:9">
      <c r="A410" s="57">
        <v>45466</v>
      </c>
      <c r="B410" s="82" t="s">
        <v>1751</v>
      </c>
      <c r="C410" s="58" t="s">
        <v>480</v>
      </c>
      <c r="D410" s="81" t="s">
        <v>1744</v>
      </c>
      <c r="E410" s="58" t="s">
        <v>481</v>
      </c>
      <c r="F410" s="58" t="s">
        <v>63</v>
      </c>
      <c r="G410" s="58" t="s">
        <v>59</v>
      </c>
      <c r="H410" s="58">
        <v>103000</v>
      </c>
      <c r="I410" s="58" t="s">
        <v>482</v>
      </c>
    </row>
    <row r="411" spans="1:9">
      <c r="A411" s="57">
        <v>45439</v>
      </c>
      <c r="B411" s="82" t="s">
        <v>1751</v>
      </c>
      <c r="C411" s="58" t="s">
        <v>355</v>
      </c>
      <c r="D411" s="81" t="s">
        <v>1744</v>
      </c>
      <c r="E411" s="58" t="s">
        <v>356</v>
      </c>
      <c r="F411" s="58" t="s">
        <v>66</v>
      </c>
      <c r="G411" s="58"/>
      <c r="H411" s="58">
        <v>51000</v>
      </c>
      <c r="I411" s="58"/>
    </row>
    <row r="412" spans="1:9">
      <c r="A412" s="57">
        <v>45422</v>
      </c>
      <c r="B412" s="82" t="s">
        <v>1751</v>
      </c>
      <c r="C412" s="58" t="s">
        <v>237</v>
      </c>
      <c r="D412" s="81" t="s">
        <v>1744</v>
      </c>
      <c r="E412" s="58" t="s">
        <v>238</v>
      </c>
      <c r="F412" s="58" t="s">
        <v>63</v>
      </c>
      <c r="G412" s="58" t="s">
        <v>59</v>
      </c>
      <c r="H412" s="58">
        <v>58000</v>
      </c>
      <c r="I412" s="58" t="s">
        <v>239</v>
      </c>
    </row>
    <row r="413" spans="1:9">
      <c r="A413" s="57">
        <v>45449</v>
      </c>
      <c r="B413" s="82" t="s">
        <v>1751</v>
      </c>
      <c r="C413" s="58" t="s">
        <v>396</v>
      </c>
      <c r="D413" s="58" t="s">
        <v>397</v>
      </c>
      <c r="E413" s="58"/>
      <c r="F413" s="58" t="s">
        <v>58</v>
      </c>
      <c r="G413" s="58"/>
      <c r="H413" s="58">
        <v>185000</v>
      </c>
      <c r="I413" s="58" t="s">
        <v>398</v>
      </c>
    </row>
    <row r="414" spans="1:9">
      <c r="A414" s="57">
        <v>45455</v>
      </c>
      <c r="B414" s="82" t="s">
        <v>1751</v>
      </c>
      <c r="C414" s="58" t="s">
        <v>425</v>
      </c>
      <c r="D414" s="58" t="s">
        <v>426</v>
      </c>
      <c r="E414" s="58"/>
      <c r="F414" s="58" t="s">
        <v>63</v>
      </c>
      <c r="G414" s="58" t="s">
        <v>192</v>
      </c>
      <c r="H414" s="58">
        <v>159500</v>
      </c>
      <c r="I414" s="58" t="s">
        <v>427</v>
      </c>
    </row>
    <row r="415" spans="1:9">
      <c r="A415" s="57">
        <v>45473</v>
      </c>
      <c r="B415" s="82" t="s">
        <v>1751</v>
      </c>
      <c r="C415" s="58" t="s">
        <v>525</v>
      </c>
      <c r="D415" s="58" t="s">
        <v>526</v>
      </c>
      <c r="E415" s="58"/>
      <c r="F415" s="58" t="s">
        <v>66</v>
      </c>
      <c r="G415" s="58"/>
      <c r="H415" s="58">
        <v>22000</v>
      </c>
      <c r="I415" s="58"/>
    </row>
    <row r="416" spans="1:9">
      <c r="A416" s="57">
        <v>45506</v>
      </c>
      <c r="B416" s="82" t="s">
        <v>1752</v>
      </c>
      <c r="C416" s="60" t="s">
        <v>716</v>
      </c>
      <c r="D416" s="58" t="s">
        <v>717</v>
      </c>
      <c r="E416" s="60" t="s">
        <v>719</v>
      </c>
      <c r="F416" s="75" t="s">
        <v>485</v>
      </c>
      <c r="G416" s="63"/>
      <c r="H416" s="60">
        <v>152000</v>
      </c>
      <c r="I416" s="63"/>
    </row>
    <row r="417" spans="1:9">
      <c r="A417" s="61">
        <v>45538</v>
      </c>
      <c r="B417" s="82" t="s">
        <v>1752</v>
      </c>
      <c r="C417" s="60" t="s">
        <v>999</v>
      </c>
      <c r="D417" s="60" t="s">
        <v>717</v>
      </c>
      <c r="E417" s="60" t="s">
        <v>1000</v>
      </c>
      <c r="F417" s="75" t="s">
        <v>63</v>
      </c>
      <c r="G417" s="63"/>
      <c r="H417" s="60">
        <v>28800</v>
      </c>
      <c r="I417" s="63"/>
    </row>
    <row r="418" spans="1:9">
      <c r="A418" s="61">
        <v>45562</v>
      </c>
      <c r="B418" s="82" t="s">
        <v>1752</v>
      </c>
      <c r="C418" s="60" t="s">
        <v>1162</v>
      </c>
      <c r="D418" s="60" t="s">
        <v>717</v>
      </c>
      <c r="E418" s="60" t="s">
        <v>1163</v>
      </c>
      <c r="F418" s="75" t="s">
        <v>66</v>
      </c>
      <c r="G418" s="63"/>
      <c r="H418" s="60">
        <v>22000</v>
      </c>
      <c r="I418" s="63"/>
    </row>
    <row r="419" spans="1:9">
      <c r="A419" s="57">
        <v>45408</v>
      </c>
      <c r="B419" s="82" t="s">
        <v>1751</v>
      </c>
      <c r="C419" s="63" t="s">
        <v>141</v>
      </c>
      <c r="D419" s="58" t="s">
        <v>142</v>
      </c>
      <c r="E419" s="58"/>
      <c r="F419" s="58" t="s">
        <v>63</v>
      </c>
      <c r="G419" s="58" t="s">
        <v>143</v>
      </c>
      <c r="H419" s="65">
        <v>14000</v>
      </c>
      <c r="I419" s="63" t="s">
        <v>144</v>
      </c>
    </row>
    <row r="420" spans="1:9">
      <c r="A420" s="57">
        <v>45389</v>
      </c>
      <c r="B420" s="82" t="s">
        <v>1751</v>
      </c>
      <c r="C420" s="58" t="s">
        <v>151</v>
      </c>
      <c r="D420" s="58" t="s">
        <v>152</v>
      </c>
      <c r="E420" s="58"/>
      <c r="F420" s="58" t="s">
        <v>63</v>
      </c>
      <c r="G420" s="58"/>
      <c r="H420" s="58">
        <v>45000</v>
      </c>
      <c r="I420" s="58" t="s">
        <v>153</v>
      </c>
    </row>
    <row r="421" spans="1:9">
      <c r="A421" s="57">
        <v>45422</v>
      </c>
      <c r="B421" s="82" t="s">
        <v>1751</v>
      </c>
      <c r="C421" s="58" t="s">
        <v>233</v>
      </c>
      <c r="D421" s="58" t="s">
        <v>152</v>
      </c>
      <c r="E421" s="58"/>
      <c r="F421" s="58" t="s">
        <v>63</v>
      </c>
      <c r="G421" s="58" t="s">
        <v>59</v>
      </c>
      <c r="H421" s="58">
        <v>110000</v>
      </c>
      <c r="I421" s="58" t="s">
        <v>234</v>
      </c>
    </row>
    <row r="422" spans="1:9">
      <c r="A422" s="57">
        <v>45437</v>
      </c>
      <c r="B422" s="82" t="s">
        <v>1751</v>
      </c>
      <c r="C422" s="58" t="s">
        <v>338</v>
      </c>
      <c r="D422" s="58" t="s">
        <v>152</v>
      </c>
      <c r="E422" s="58"/>
      <c r="F422" s="58" t="s">
        <v>63</v>
      </c>
      <c r="G422" s="58"/>
      <c r="H422" s="58">
        <v>108000</v>
      </c>
      <c r="I422" s="58" t="s">
        <v>339</v>
      </c>
    </row>
    <row r="423" spans="1:9">
      <c r="A423" s="57">
        <v>45445</v>
      </c>
      <c r="B423" s="82" t="s">
        <v>1751</v>
      </c>
      <c r="C423" s="58" t="s">
        <v>374</v>
      </c>
      <c r="D423" s="58" t="s">
        <v>152</v>
      </c>
      <c r="E423" s="58"/>
      <c r="F423" s="58" t="s">
        <v>63</v>
      </c>
      <c r="G423" s="58" t="s">
        <v>59</v>
      </c>
      <c r="H423" s="58">
        <v>23000</v>
      </c>
      <c r="I423" s="58" t="s">
        <v>375</v>
      </c>
    </row>
    <row r="424" spans="1:9">
      <c r="A424" s="57">
        <v>45453</v>
      </c>
      <c r="B424" s="82" t="s">
        <v>1751</v>
      </c>
      <c r="C424" s="58" t="s">
        <v>413</v>
      </c>
      <c r="D424" s="58" t="s">
        <v>152</v>
      </c>
      <c r="E424" s="58"/>
      <c r="F424" s="58" t="s">
        <v>63</v>
      </c>
      <c r="G424" s="58" t="s">
        <v>192</v>
      </c>
      <c r="H424" s="58">
        <v>51000</v>
      </c>
      <c r="I424" s="58" t="s">
        <v>414</v>
      </c>
    </row>
    <row r="425" spans="1:9">
      <c r="A425" s="57">
        <v>45480</v>
      </c>
      <c r="B425" s="82" t="s">
        <v>1752</v>
      </c>
      <c r="C425" s="58" t="s">
        <v>567</v>
      </c>
      <c r="D425" s="58" t="s">
        <v>152</v>
      </c>
      <c r="E425" s="58"/>
      <c r="F425" s="58" t="s">
        <v>58</v>
      </c>
      <c r="G425" s="58"/>
      <c r="H425" s="58">
        <v>27000</v>
      </c>
      <c r="I425" s="58" t="s">
        <v>568</v>
      </c>
    </row>
    <row r="426" spans="1:9">
      <c r="A426" s="57">
        <v>45488</v>
      </c>
      <c r="B426" s="82" t="s">
        <v>1752</v>
      </c>
      <c r="C426" s="58" t="s">
        <v>622</v>
      </c>
      <c r="D426" s="58" t="s">
        <v>152</v>
      </c>
      <c r="E426" s="58"/>
      <c r="F426" s="58" t="s">
        <v>58</v>
      </c>
      <c r="G426" s="58"/>
      <c r="H426" s="58">
        <v>30000</v>
      </c>
      <c r="I426" s="58" t="s">
        <v>623</v>
      </c>
    </row>
    <row r="427" spans="1:9">
      <c r="A427" s="57">
        <v>45494</v>
      </c>
      <c r="B427" s="82" t="s">
        <v>1752</v>
      </c>
      <c r="C427" s="58" t="s">
        <v>654</v>
      </c>
      <c r="D427" s="58" t="s">
        <v>152</v>
      </c>
      <c r="E427" s="58"/>
      <c r="F427" s="58" t="s">
        <v>63</v>
      </c>
      <c r="G427" s="58"/>
      <c r="H427" s="58">
        <v>21000</v>
      </c>
      <c r="I427" s="58" t="s">
        <v>655</v>
      </c>
    </row>
    <row r="428" spans="1:9">
      <c r="A428" s="57">
        <v>45495</v>
      </c>
      <c r="B428" s="82" t="s">
        <v>1752</v>
      </c>
      <c r="C428" s="58" t="s">
        <v>664</v>
      </c>
      <c r="D428" s="58" t="s">
        <v>152</v>
      </c>
      <c r="E428" s="58"/>
      <c r="F428" s="58" t="s">
        <v>63</v>
      </c>
      <c r="G428" s="58"/>
      <c r="H428" s="58">
        <v>15000</v>
      </c>
      <c r="I428" s="58" t="s">
        <v>665</v>
      </c>
    </row>
    <row r="429" spans="1:9">
      <c r="A429" s="57">
        <v>45496</v>
      </c>
      <c r="B429" s="82" t="s">
        <v>1752</v>
      </c>
      <c r="C429" s="58" t="s">
        <v>668</v>
      </c>
      <c r="D429" s="58" t="s">
        <v>152</v>
      </c>
      <c r="E429" s="58"/>
      <c r="F429" s="58" t="s">
        <v>63</v>
      </c>
      <c r="G429" s="58" t="s">
        <v>59</v>
      </c>
      <c r="H429" s="58">
        <v>24000</v>
      </c>
      <c r="I429" s="58" t="s">
        <v>669</v>
      </c>
    </row>
    <row r="430" spans="1:9">
      <c r="A430" s="57">
        <v>45418</v>
      </c>
      <c r="B430" s="82" t="s">
        <v>1751</v>
      </c>
      <c r="C430" s="58" t="s">
        <v>223</v>
      </c>
      <c r="D430" s="58" t="s">
        <v>224</v>
      </c>
      <c r="E430" s="58"/>
      <c r="F430" s="58" t="s">
        <v>66</v>
      </c>
      <c r="G430" s="58"/>
      <c r="H430" s="58">
        <v>31300</v>
      </c>
      <c r="I430" s="58"/>
    </row>
    <row r="431" spans="1:9">
      <c r="A431" s="57">
        <v>45415</v>
      </c>
      <c r="B431" s="82" t="s">
        <v>1751</v>
      </c>
      <c r="C431" s="58" t="s">
        <v>204</v>
      </c>
      <c r="D431" s="58" t="s">
        <v>205</v>
      </c>
      <c r="E431" s="58"/>
      <c r="F431" s="58" t="s">
        <v>66</v>
      </c>
      <c r="G431" s="58"/>
      <c r="H431" s="58">
        <v>40000</v>
      </c>
      <c r="I431" s="58"/>
    </row>
    <row r="432" spans="1:9">
      <c r="A432" s="57">
        <v>45476</v>
      </c>
      <c r="B432" s="82" t="s">
        <v>1752</v>
      </c>
      <c r="C432" s="58" t="s">
        <v>558</v>
      </c>
      <c r="D432" s="58" t="s">
        <v>205</v>
      </c>
      <c r="E432" s="58"/>
      <c r="F432" s="58" t="s">
        <v>485</v>
      </c>
      <c r="G432" s="58"/>
      <c r="H432" s="58">
        <v>72000</v>
      </c>
      <c r="I432" s="58"/>
    </row>
    <row r="433" spans="1:9">
      <c r="A433" s="57">
        <v>45479</v>
      </c>
      <c r="B433" s="82" t="s">
        <v>1752</v>
      </c>
      <c r="C433" s="58" t="s">
        <v>566</v>
      </c>
      <c r="D433" s="58" t="s">
        <v>205</v>
      </c>
      <c r="E433" s="58"/>
      <c r="F433" s="58" t="s">
        <v>485</v>
      </c>
      <c r="G433" s="58"/>
      <c r="H433" s="58">
        <v>45000</v>
      </c>
      <c r="I433" s="58"/>
    </row>
    <row r="434" spans="1:9">
      <c r="A434" s="57">
        <v>45481</v>
      </c>
      <c r="B434" s="82" t="s">
        <v>1752</v>
      </c>
      <c r="C434" s="58" t="s">
        <v>582</v>
      </c>
      <c r="D434" s="58" t="s">
        <v>205</v>
      </c>
      <c r="E434" s="58"/>
      <c r="F434" s="58" t="s">
        <v>66</v>
      </c>
      <c r="G434" s="58"/>
      <c r="H434" s="58">
        <v>32000</v>
      </c>
      <c r="I434" s="58"/>
    </row>
    <row r="435" spans="1:9">
      <c r="A435" s="57">
        <v>45439</v>
      </c>
      <c r="B435" s="82" t="s">
        <v>1751</v>
      </c>
      <c r="C435" s="58" t="s">
        <v>348</v>
      </c>
      <c r="D435" s="58" t="s">
        <v>349</v>
      </c>
      <c r="E435" s="58"/>
      <c r="F435" s="58" t="s">
        <v>63</v>
      </c>
      <c r="G435" s="58" t="s">
        <v>59</v>
      </c>
      <c r="H435" s="58">
        <v>88000</v>
      </c>
      <c r="I435" s="58" t="s">
        <v>350</v>
      </c>
    </row>
    <row r="436" spans="1:9">
      <c r="A436" s="57">
        <v>45474</v>
      </c>
      <c r="B436" s="82" t="s">
        <v>1752</v>
      </c>
      <c r="C436" s="58" t="s">
        <v>530</v>
      </c>
      <c r="D436" s="58" t="s">
        <v>349</v>
      </c>
      <c r="E436" s="58"/>
      <c r="F436" s="58" t="s">
        <v>63</v>
      </c>
      <c r="G436" s="58" t="s">
        <v>59</v>
      </c>
      <c r="H436" s="58">
        <v>65000</v>
      </c>
      <c r="I436" s="58" t="s">
        <v>531</v>
      </c>
    </row>
    <row r="437" spans="1:9">
      <c r="A437" s="57">
        <v>45427</v>
      </c>
      <c r="B437" s="82" t="s">
        <v>1751</v>
      </c>
      <c r="C437" s="58" t="s">
        <v>277</v>
      </c>
      <c r="D437" s="58" t="s">
        <v>278</v>
      </c>
      <c r="E437" s="58"/>
      <c r="F437" s="58" t="s">
        <v>63</v>
      </c>
      <c r="G437" s="58" t="s">
        <v>192</v>
      </c>
      <c r="H437" s="58">
        <v>130000</v>
      </c>
      <c r="I437" s="58" t="s">
        <v>279</v>
      </c>
    </row>
    <row r="438" spans="1:9">
      <c r="A438" s="57">
        <v>45437</v>
      </c>
      <c r="B438" s="82" t="s">
        <v>1751</v>
      </c>
      <c r="C438" s="58" t="s">
        <v>328</v>
      </c>
      <c r="D438" s="58" t="s">
        <v>278</v>
      </c>
      <c r="E438" s="58"/>
      <c r="F438" s="58" t="s">
        <v>63</v>
      </c>
      <c r="G438" s="58" t="s">
        <v>192</v>
      </c>
      <c r="H438" s="58">
        <v>17000</v>
      </c>
      <c r="I438" s="58" t="s">
        <v>329</v>
      </c>
    </row>
    <row r="439" spans="1:9">
      <c r="A439" s="57">
        <v>45517</v>
      </c>
      <c r="B439" s="82" t="s">
        <v>1752</v>
      </c>
      <c r="C439" s="60" t="s">
        <v>797</v>
      </c>
      <c r="D439" s="58" t="s">
        <v>278</v>
      </c>
      <c r="E439" s="60" t="s">
        <v>581</v>
      </c>
      <c r="F439" s="75" t="s">
        <v>63</v>
      </c>
      <c r="G439" s="63"/>
      <c r="H439" s="60">
        <v>33000</v>
      </c>
      <c r="I439" s="63"/>
    </row>
    <row r="440" spans="1:9">
      <c r="A440" s="61">
        <v>45538</v>
      </c>
      <c r="B440" s="82" t="s">
        <v>1752</v>
      </c>
      <c r="C440" s="60" t="s">
        <v>983</v>
      </c>
      <c r="D440" s="60" t="s">
        <v>278</v>
      </c>
      <c r="E440" s="60" t="s">
        <v>581</v>
      </c>
      <c r="F440" s="75" t="s">
        <v>276</v>
      </c>
      <c r="G440" s="63"/>
      <c r="H440" s="60">
        <v>40000</v>
      </c>
      <c r="I440" s="63"/>
    </row>
    <row r="441" spans="1:9">
      <c r="A441" s="61">
        <v>45554</v>
      </c>
      <c r="B441" s="82" t="s">
        <v>1752</v>
      </c>
      <c r="C441" s="60" t="s">
        <v>1112</v>
      </c>
      <c r="D441" s="60" t="s">
        <v>278</v>
      </c>
      <c r="E441" s="60" t="s">
        <v>1113</v>
      </c>
      <c r="F441" s="75" t="s">
        <v>66</v>
      </c>
      <c r="G441" s="63"/>
      <c r="H441" s="60">
        <v>44000</v>
      </c>
      <c r="I441" s="63"/>
    </row>
    <row r="442" spans="1:9">
      <c r="A442" s="61">
        <v>45559</v>
      </c>
      <c r="B442" s="82" t="s">
        <v>1752</v>
      </c>
      <c r="C442" s="60" t="s">
        <v>1145</v>
      </c>
      <c r="D442" s="60" t="s">
        <v>278</v>
      </c>
      <c r="E442" s="60" t="s">
        <v>1113</v>
      </c>
      <c r="F442" s="75" t="s">
        <v>66</v>
      </c>
      <c r="G442" s="63"/>
      <c r="H442" s="60">
        <v>51000</v>
      </c>
      <c r="I442" s="63"/>
    </row>
    <row r="443" spans="1:9">
      <c r="A443" s="61">
        <v>45599</v>
      </c>
      <c r="B443" s="61" t="s">
        <v>1753</v>
      </c>
      <c r="C443" s="60" t="s">
        <v>1413</v>
      </c>
      <c r="D443" s="60" t="s">
        <v>278</v>
      </c>
      <c r="E443" s="60" t="s">
        <v>686</v>
      </c>
      <c r="F443" s="75" t="s">
        <v>66</v>
      </c>
      <c r="G443" s="63"/>
      <c r="H443" s="60">
        <v>130000</v>
      </c>
      <c r="I443" s="63"/>
    </row>
    <row r="444" spans="1:9">
      <c r="A444" s="62">
        <v>45608</v>
      </c>
      <c r="B444" s="61" t="s">
        <v>1753</v>
      </c>
      <c r="C444" s="60" t="s">
        <v>1478</v>
      </c>
      <c r="D444" s="60" t="s">
        <v>278</v>
      </c>
      <c r="E444" s="60" t="s">
        <v>581</v>
      </c>
      <c r="F444" s="75" t="s">
        <v>63</v>
      </c>
      <c r="G444" s="63"/>
      <c r="H444" s="60">
        <v>50000</v>
      </c>
      <c r="I444" s="63"/>
    </row>
    <row r="445" spans="1:9">
      <c r="A445" s="62">
        <v>45642</v>
      </c>
      <c r="B445" s="61" t="s">
        <v>1753</v>
      </c>
      <c r="C445" s="60" t="s">
        <v>1628</v>
      </c>
      <c r="D445" s="60" t="s">
        <v>278</v>
      </c>
      <c r="E445" s="60" t="s">
        <v>1113</v>
      </c>
      <c r="F445" s="75" t="s">
        <v>63</v>
      </c>
      <c r="G445" s="63"/>
      <c r="H445" s="60">
        <v>36000</v>
      </c>
      <c r="I445" s="63"/>
    </row>
    <row r="446" spans="1:9">
      <c r="A446" s="57">
        <v>45479</v>
      </c>
      <c r="B446" s="82" t="s">
        <v>1752</v>
      </c>
      <c r="C446" s="58" t="s">
        <v>563</v>
      </c>
      <c r="D446" s="58" t="s">
        <v>564</v>
      </c>
      <c r="E446" s="58"/>
      <c r="F446" s="58" t="s">
        <v>63</v>
      </c>
      <c r="G446" s="58" t="s">
        <v>192</v>
      </c>
      <c r="H446" s="58">
        <v>25000</v>
      </c>
      <c r="I446" s="58" t="s">
        <v>565</v>
      </c>
    </row>
    <row r="447" spans="1:9">
      <c r="A447" s="57">
        <v>45417</v>
      </c>
      <c r="B447" s="82" t="s">
        <v>1751</v>
      </c>
      <c r="C447" s="58" t="s">
        <v>211</v>
      </c>
      <c r="D447" s="58" t="s">
        <v>212</v>
      </c>
      <c r="E447" s="58"/>
      <c r="F447" s="58" t="s">
        <v>63</v>
      </c>
      <c r="G447" s="58" t="s">
        <v>59</v>
      </c>
      <c r="H447" s="58">
        <v>32500</v>
      </c>
      <c r="I447" s="58" t="s">
        <v>213</v>
      </c>
    </row>
    <row r="448" spans="1:9">
      <c r="A448" s="57">
        <v>45433</v>
      </c>
      <c r="B448" s="82" t="s">
        <v>1751</v>
      </c>
      <c r="C448" s="58" t="s">
        <v>310</v>
      </c>
      <c r="D448" s="58" t="s">
        <v>212</v>
      </c>
      <c r="E448" s="58"/>
      <c r="F448" s="58" t="s">
        <v>63</v>
      </c>
      <c r="G448" s="58" t="s">
        <v>59</v>
      </c>
      <c r="H448" s="58">
        <v>19700</v>
      </c>
      <c r="I448" s="58" t="s">
        <v>311</v>
      </c>
    </row>
    <row r="449" spans="1:9">
      <c r="A449" s="57">
        <v>45390</v>
      </c>
      <c r="B449" s="82" t="s">
        <v>1751</v>
      </c>
      <c r="C449" s="58" t="s">
        <v>86</v>
      </c>
      <c r="D449" s="58" t="s">
        <v>87</v>
      </c>
      <c r="E449" s="58"/>
      <c r="F449" s="58" t="s">
        <v>66</v>
      </c>
      <c r="G449" s="58" t="s">
        <v>59</v>
      </c>
      <c r="H449" s="58">
        <v>25000</v>
      </c>
      <c r="I449" s="58" t="s">
        <v>88</v>
      </c>
    </row>
    <row r="450" spans="1:9">
      <c r="A450" s="57">
        <v>45463</v>
      </c>
      <c r="B450" s="82" t="s">
        <v>1751</v>
      </c>
      <c r="C450" s="58" t="s">
        <v>456</v>
      </c>
      <c r="D450" s="58" t="s">
        <v>87</v>
      </c>
      <c r="E450" s="58"/>
      <c r="F450" s="58" t="s">
        <v>58</v>
      </c>
      <c r="G450" s="58"/>
      <c r="H450" s="58">
        <v>60000</v>
      </c>
      <c r="I450" s="58" t="s">
        <v>457</v>
      </c>
    </row>
    <row r="451" spans="1:9">
      <c r="A451" s="61">
        <v>45547</v>
      </c>
      <c r="B451" s="82" t="s">
        <v>1752</v>
      </c>
      <c r="C451" s="60" t="s">
        <v>1066</v>
      </c>
      <c r="D451" s="60" t="s">
        <v>1067</v>
      </c>
      <c r="E451" s="60" t="s">
        <v>1068</v>
      </c>
      <c r="F451" s="75" t="s">
        <v>63</v>
      </c>
      <c r="G451" s="63"/>
      <c r="H451" s="60">
        <v>38000</v>
      </c>
      <c r="I451" s="63"/>
    </row>
    <row r="452" spans="1:9">
      <c r="A452" s="57">
        <v>45437</v>
      </c>
      <c r="B452" s="82" t="s">
        <v>1751</v>
      </c>
      <c r="C452" s="58" t="s">
        <v>330</v>
      </c>
      <c r="D452" s="58" t="s">
        <v>331</v>
      </c>
      <c r="E452" s="58"/>
      <c r="F452" s="58" t="s">
        <v>63</v>
      </c>
      <c r="G452" s="58" t="s">
        <v>192</v>
      </c>
      <c r="H452" s="58">
        <v>30000</v>
      </c>
      <c r="I452" s="58" t="s">
        <v>332</v>
      </c>
    </row>
    <row r="453" spans="1:9">
      <c r="A453" s="57">
        <v>45463</v>
      </c>
      <c r="B453" s="82" t="s">
        <v>1751</v>
      </c>
      <c r="C453" s="58" t="s">
        <v>458</v>
      </c>
      <c r="D453" s="58" t="s">
        <v>459</v>
      </c>
      <c r="E453" s="58"/>
      <c r="F453" s="58" t="s">
        <v>58</v>
      </c>
      <c r="G453" s="58"/>
      <c r="H453" s="58">
        <v>30000</v>
      </c>
      <c r="I453" s="58" t="s">
        <v>460</v>
      </c>
    </row>
    <row r="454" spans="1:9">
      <c r="A454" s="57">
        <v>45428</v>
      </c>
      <c r="B454" s="82" t="s">
        <v>1751</v>
      </c>
      <c r="C454" s="58" t="s">
        <v>293</v>
      </c>
      <c r="D454" s="58" t="s">
        <v>294</v>
      </c>
      <c r="E454" s="58"/>
      <c r="F454" s="58" t="s">
        <v>66</v>
      </c>
      <c r="G454" s="58"/>
      <c r="H454" s="58">
        <v>38000</v>
      </c>
      <c r="I454" s="58"/>
    </row>
    <row r="455" spans="1:9">
      <c r="A455" s="57">
        <v>45466</v>
      </c>
      <c r="B455" s="82" t="s">
        <v>1751</v>
      </c>
      <c r="C455" s="58" t="s">
        <v>486</v>
      </c>
      <c r="D455" s="58" t="s">
        <v>294</v>
      </c>
      <c r="E455" s="58"/>
      <c r="F455" s="58" t="s">
        <v>342</v>
      </c>
      <c r="G455" s="58"/>
      <c r="H455" s="58">
        <v>14000</v>
      </c>
      <c r="I455" s="58"/>
    </row>
    <row r="456" spans="1:9">
      <c r="A456" s="57">
        <v>45406</v>
      </c>
      <c r="B456" s="82" t="s">
        <v>1751</v>
      </c>
      <c r="C456" s="73" t="s">
        <v>175</v>
      </c>
      <c r="D456" s="72" t="s">
        <v>176</v>
      </c>
      <c r="E456" s="72"/>
      <c r="F456" s="58" t="s">
        <v>63</v>
      </c>
      <c r="G456" s="58"/>
      <c r="H456" s="73">
        <v>15400</v>
      </c>
      <c r="I456" s="63" t="s">
        <v>177</v>
      </c>
    </row>
    <row r="457" spans="1:9">
      <c r="A457" s="57">
        <v>45433</v>
      </c>
      <c r="B457" s="82" t="s">
        <v>1751</v>
      </c>
      <c r="C457" s="58" t="s">
        <v>307</v>
      </c>
      <c r="D457" s="58" t="s">
        <v>308</v>
      </c>
      <c r="E457" s="58"/>
      <c r="F457" s="58" t="s">
        <v>63</v>
      </c>
      <c r="G457" s="58" t="s">
        <v>59</v>
      </c>
      <c r="H457" s="58">
        <v>9000</v>
      </c>
      <c r="I457" s="58" t="s">
        <v>309</v>
      </c>
    </row>
    <row r="458" spans="1:9">
      <c r="A458" s="57">
        <v>45447</v>
      </c>
      <c r="B458" s="82" t="s">
        <v>1751</v>
      </c>
      <c r="C458" s="58" t="s">
        <v>382</v>
      </c>
      <c r="D458" s="58" t="s">
        <v>383</v>
      </c>
      <c r="E458" s="58"/>
      <c r="F458" s="58" t="s">
        <v>58</v>
      </c>
      <c r="G458" s="58"/>
      <c r="H458" s="58">
        <v>50500</v>
      </c>
      <c r="I458" s="58" t="s">
        <v>384</v>
      </c>
    </row>
    <row r="459" spans="1:9">
      <c r="A459" s="57">
        <v>45448</v>
      </c>
      <c r="B459" s="82" t="s">
        <v>1751</v>
      </c>
      <c r="C459" s="58" t="s">
        <v>387</v>
      </c>
      <c r="D459" s="58" t="s">
        <v>383</v>
      </c>
      <c r="E459" s="58"/>
      <c r="F459" s="58" t="s">
        <v>58</v>
      </c>
      <c r="G459" s="58"/>
      <c r="H459" s="58">
        <v>90000</v>
      </c>
      <c r="I459" s="58" t="s">
        <v>388</v>
      </c>
    </row>
    <row r="460" spans="1:9">
      <c r="A460" s="57">
        <v>45451</v>
      </c>
      <c r="B460" s="82" t="s">
        <v>1751</v>
      </c>
      <c r="C460" s="58" t="s">
        <v>403</v>
      </c>
      <c r="D460" s="58" t="s">
        <v>404</v>
      </c>
      <c r="E460" s="58"/>
      <c r="F460" s="58" t="s">
        <v>58</v>
      </c>
      <c r="G460" s="58"/>
      <c r="H460" s="58">
        <v>26500</v>
      </c>
      <c r="I460" s="58" t="s">
        <v>405</v>
      </c>
    </row>
    <row r="461" spans="1:9">
      <c r="A461" s="57">
        <v>45502</v>
      </c>
      <c r="B461" s="82" t="s">
        <v>1752</v>
      </c>
      <c r="C461" s="58" t="s">
        <v>698</v>
      </c>
      <c r="D461" s="58" t="s">
        <v>699</v>
      </c>
      <c r="E461" s="58"/>
      <c r="F461" s="58" t="s">
        <v>58</v>
      </c>
      <c r="G461" s="58"/>
      <c r="H461" s="58">
        <v>25000</v>
      </c>
      <c r="I461" s="58" t="s">
        <v>700</v>
      </c>
    </row>
    <row r="462" spans="1:9">
      <c r="A462" s="57">
        <v>45388</v>
      </c>
      <c r="B462" s="82" t="s">
        <v>1751</v>
      </c>
      <c r="C462" s="58" t="s">
        <v>77</v>
      </c>
      <c r="D462" s="58" t="s">
        <v>78</v>
      </c>
      <c r="E462" s="58"/>
      <c r="F462" s="58" t="s">
        <v>63</v>
      </c>
      <c r="G462" s="58" t="s">
        <v>59</v>
      </c>
      <c r="H462" s="58">
        <v>91000</v>
      </c>
      <c r="I462" s="58" t="s">
        <v>79</v>
      </c>
    </row>
    <row r="463" spans="1:9">
      <c r="A463" s="57">
        <v>45455</v>
      </c>
      <c r="B463" s="82" t="s">
        <v>1751</v>
      </c>
      <c r="C463" s="58" t="s">
        <v>432</v>
      </c>
      <c r="D463" s="58" t="s">
        <v>433</v>
      </c>
      <c r="E463" s="58"/>
      <c r="F463" s="58" t="s">
        <v>66</v>
      </c>
      <c r="G463" s="58"/>
      <c r="H463" s="58">
        <v>27000</v>
      </c>
      <c r="I463" s="58"/>
    </row>
    <row r="464" spans="1:9">
      <c r="A464" s="57">
        <v>45514</v>
      </c>
      <c r="B464" s="82" t="s">
        <v>1752</v>
      </c>
      <c r="C464" s="60" t="s">
        <v>772</v>
      </c>
      <c r="D464" s="58" t="s">
        <v>773</v>
      </c>
      <c r="E464" s="60" t="s">
        <v>774</v>
      </c>
      <c r="F464" s="75" t="s">
        <v>63</v>
      </c>
      <c r="G464" s="63"/>
      <c r="H464" s="60">
        <v>26000</v>
      </c>
      <c r="I464" s="63"/>
    </row>
    <row r="465" spans="1:9">
      <c r="A465" s="57">
        <v>45518</v>
      </c>
      <c r="B465" s="82" t="s">
        <v>1752</v>
      </c>
      <c r="C465" s="60" t="s">
        <v>821</v>
      </c>
      <c r="D465" s="58" t="s">
        <v>773</v>
      </c>
      <c r="E465" s="60" t="s">
        <v>822</v>
      </c>
      <c r="F465" s="75" t="s">
        <v>63</v>
      </c>
      <c r="G465" s="63"/>
      <c r="H465" s="60">
        <v>50000</v>
      </c>
      <c r="I465" s="63"/>
    </row>
    <row r="466" spans="1:9">
      <c r="A466" s="61">
        <v>45536</v>
      </c>
      <c r="B466" s="82" t="s">
        <v>1752</v>
      </c>
      <c r="C466" s="60" t="s">
        <v>973</v>
      </c>
      <c r="D466" s="60" t="s">
        <v>773</v>
      </c>
      <c r="E466" s="60" t="s">
        <v>974</v>
      </c>
      <c r="F466" s="75" t="s">
        <v>63</v>
      </c>
      <c r="G466" s="63"/>
      <c r="H466" s="60">
        <v>65000</v>
      </c>
      <c r="I466" s="63"/>
    </row>
    <row r="467" spans="1:9">
      <c r="A467" s="61">
        <v>45569</v>
      </c>
      <c r="B467" s="61" t="s">
        <v>1753</v>
      </c>
      <c r="C467" s="60" t="s">
        <v>1184</v>
      </c>
      <c r="D467" s="60" t="s">
        <v>773</v>
      </c>
      <c r="E467" s="60" t="s">
        <v>774</v>
      </c>
      <c r="F467" s="75" t="s">
        <v>58</v>
      </c>
      <c r="G467" s="63"/>
      <c r="H467" s="60">
        <v>91300</v>
      </c>
      <c r="I467" s="63"/>
    </row>
    <row r="468" spans="1:9">
      <c r="A468" s="61">
        <v>45573</v>
      </c>
      <c r="B468" s="61" t="s">
        <v>1753</v>
      </c>
      <c r="C468" s="60" t="s">
        <v>1203</v>
      </c>
      <c r="D468" s="60" t="s">
        <v>773</v>
      </c>
      <c r="E468" s="60" t="s">
        <v>774</v>
      </c>
      <c r="F468" s="75" t="s">
        <v>63</v>
      </c>
      <c r="G468" s="63"/>
      <c r="H468" s="60">
        <v>26500</v>
      </c>
      <c r="I468" s="63"/>
    </row>
    <row r="469" spans="1:9">
      <c r="A469" s="62">
        <v>45592</v>
      </c>
      <c r="B469" s="61" t="s">
        <v>1753</v>
      </c>
      <c r="C469" s="60" t="s">
        <v>1391</v>
      </c>
      <c r="D469" s="60" t="s">
        <v>773</v>
      </c>
      <c r="E469" s="60" t="s">
        <v>1392</v>
      </c>
      <c r="F469" s="75" t="s">
        <v>66</v>
      </c>
      <c r="G469" s="63"/>
      <c r="H469" s="60">
        <v>78500</v>
      </c>
      <c r="I469" s="63"/>
    </row>
    <row r="470" spans="1:9">
      <c r="A470" s="62">
        <v>45596</v>
      </c>
      <c r="B470" s="61" t="s">
        <v>1753</v>
      </c>
      <c r="C470" s="60" t="s">
        <v>1401</v>
      </c>
      <c r="D470" s="60" t="s">
        <v>773</v>
      </c>
      <c r="E470" s="60" t="s">
        <v>1392</v>
      </c>
      <c r="F470" s="75" t="s">
        <v>63</v>
      </c>
      <c r="G470" s="63"/>
      <c r="H470" s="60">
        <v>39000</v>
      </c>
      <c r="I470" s="63"/>
    </row>
    <row r="471" spans="1:9">
      <c r="A471" s="61">
        <v>45599</v>
      </c>
      <c r="B471" s="61" t="s">
        <v>1753</v>
      </c>
      <c r="C471" s="60" t="s">
        <v>1410</v>
      </c>
      <c r="D471" s="60" t="s">
        <v>773</v>
      </c>
      <c r="E471" s="60" t="s">
        <v>1411</v>
      </c>
      <c r="F471" s="75" t="s">
        <v>58</v>
      </c>
      <c r="G471" s="63"/>
      <c r="H471" s="60">
        <v>26000</v>
      </c>
      <c r="I471" s="63"/>
    </row>
    <row r="472" spans="1:9">
      <c r="A472" s="61">
        <v>45627</v>
      </c>
      <c r="B472" s="61" t="s">
        <v>1753</v>
      </c>
      <c r="C472" s="60" t="s">
        <v>1556</v>
      </c>
      <c r="D472" s="60" t="s">
        <v>773</v>
      </c>
      <c r="E472" s="60" t="s">
        <v>974</v>
      </c>
      <c r="F472" s="75" t="s">
        <v>63</v>
      </c>
      <c r="G472" s="63"/>
      <c r="H472" s="60">
        <v>5000</v>
      </c>
      <c r="I472" s="63"/>
    </row>
    <row r="473" spans="1:9">
      <c r="A473" s="61">
        <v>45627</v>
      </c>
      <c r="B473" s="61" t="s">
        <v>1753</v>
      </c>
      <c r="C473" s="60" t="s">
        <v>1562</v>
      </c>
      <c r="D473" s="60" t="s">
        <v>773</v>
      </c>
      <c r="E473" s="60" t="s">
        <v>1411</v>
      </c>
      <c r="F473" s="75" t="s">
        <v>63</v>
      </c>
      <c r="G473" s="63"/>
      <c r="H473" s="60">
        <v>20000</v>
      </c>
      <c r="I473" s="63"/>
    </row>
    <row r="474" spans="1:9">
      <c r="A474" s="62">
        <v>45640</v>
      </c>
      <c r="B474" s="61" t="s">
        <v>1753</v>
      </c>
      <c r="C474" s="60" t="s">
        <v>1616</v>
      </c>
      <c r="D474" s="60" t="s">
        <v>773</v>
      </c>
      <c r="E474" s="60" t="s">
        <v>1617</v>
      </c>
      <c r="F474" s="75" t="s">
        <v>63</v>
      </c>
      <c r="G474" s="63"/>
      <c r="H474" s="60">
        <v>34000</v>
      </c>
      <c r="I474" s="63"/>
    </row>
    <row r="475" spans="1:9">
      <c r="A475" s="57">
        <v>45423</v>
      </c>
      <c r="B475" s="82" t="s">
        <v>1751</v>
      </c>
      <c r="C475" s="58" t="s">
        <v>248</v>
      </c>
      <c r="D475" s="58" t="s">
        <v>249</v>
      </c>
      <c r="E475" s="58"/>
      <c r="F475" s="58" t="s">
        <v>63</v>
      </c>
      <c r="G475" s="58"/>
      <c r="H475" s="58">
        <v>36000</v>
      </c>
      <c r="I475" s="58" t="s">
        <v>250</v>
      </c>
    </row>
    <row r="476" spans="1:9">
      <c r="A476" s="57">
        <v>45428</v>
      </c>
      <c r="B476" s="82" t="s">
        <v>1751</v>
      </c>
      <c r="C476" s="58" t="s">
        <v>289</v>
      </c>
      <c r="D476" s="58" t="s">
        <v>249</v>
      </c>
      <c r="E476" s="58"/>
      <c r="F476" s="58" t="s">
        <v>63</v>
      </c>
      <c r="G476" s="58"/>
      <c r="H476" s="58">
        <v>37000</v>
      </c>
      <c r="I476" s="58" t="s">
        <v>290</v>
      </c>
    </row>
    <row r="477" spans="1:9">
      <c r="A477" s="57">
        <v>45480</v>
      </c>
      <c r="B477" s="82" t="s">
        <v>1752</v>
      </c>
      <c r="C477" s="58" t="s">
        <v>575</v>
      </c>
      <c r="D477" s="58" t="s">
        <v>249</v>
      </c>
      <c r="E477" s="58"/>
      <c r="F477" s="58" t="s">
        <v>63</v>
      </c>
      <c r="G477" s="58" t="s">
        <v>192</v>
      </c>
      <c r="H477" s="58">
        <v>13500</v>
      </c>
      <c r="I477" s="58" t="s">
        <v>576</v>
      </c>
    </row>
    <row r="478" spans="1:9">
      <c r="A478" s="57">
        <v>45383</v>
      </c>
      <c r="B478" s="82" t="s">
        <v>1751</v>
      </c>
      <c r="C478" s="58" t="s">
        <v>56</v>
      </c>
      <c r="D478" s="58" t="s">
        <v>57</v>
      </c>
      <c r="E478" s="58"/>
      <c r="F478" s="58" t="s">
        <v>58</v>
      </c>
      <c r="G478" s="58" t="s">
        <v>59</v>
      </c>
      <c r="H478" s="58">
        <v>44500</v>
      </c>
      <c r="I478" s="58" t="s">
        <v>60</v>
      </c>
    </row>
    <row r="479" spans="1:9">
      <c r="A479" s="57">
        <v>45390</v>
      </c>
      <c r="B479" s="82" t="s">
        <v>1751</v>
      </c>
      <c r="C479" s="72" t="s">
        <v>156</v>
      </c>
      <c r="D479" s="72" t="s">
        <v>57</v>
      </c>
      <c r="E479" s="72"/>
      <c r="F479" s="58" t="s">
        <v>63</v>
      </c>
      <c r="G479" s="58"/>
      <c r="H479" s="58">
        <v>13000</v>
      </c>
      <c r="I479" s="63" t="s">
        <v>157</v>
      </c>
    </row>
    <row r="480" spans="1:9">
      <c r="A480" s="57">
        <v>45425</v>
      </c>
      <c r="B480" s="82" t="s">
        <v>1751</v>
      </c>
      <c r="C480" s="58" t="s">
        <v>259</v>
      </c>
      <c r="D480" s="58" t="s">
        <v>260</v>
      </c>
      <c r="E480" s="58"/>
      <c r="F480" s="58" t="s">
        <v>63</v>
      </c>
      <c r="G480" s="58"/>
      <c r="H480" s="58">
        <v>21000</v>
      </c>
      <c r="I480" s="58" t="s">
        <v>261</v>
      </c>
    </row>
    <row r="481" spans="1:9">
      <c r="A481" s="57">
        <v>45467</v>
      </c>
      <c r="B481" s="82" t="s">
        <v>1751</v>
      </c>
      <c r="C481" s="58" t="s">
        <v>493</v>
      </c>
      <c r="D481" s="58" t="s">
        <v>57</v>
      </c>
      <c r="E481" s="58"/>
      <c r="F481" s="58" t="s">
        <v>63</v>
      </c>
      <c r="G481" s="58" t="s">
        <v>59</v>
      </c>
      <c r="H481" s="58">
        <v>42000</v>
      </c>
      <c r="I481" s="58" t="s">
        <v>494</v>
      </c>
    </row>
    <row r="482" spans="1:9">
      <c r="A482" s="57">
        <v>45477</v>
      </c>
      <c r="B482" s="82" t="s">
        <v>1752</v>
      </c>
      <c r="C482" s="58" t="s">
        <v>559</v>
      </c>
      <c r="D482" s="58" t="s">
        <v>57</v>
      </c>
      <c r="E482" s="58"/>
      <c r="F482" s="58" t="s">
        <v>63</v>
      </c>
      <c r="G482" s="58" t="s">
        <v>59</v>
      </c>
      <c r="H482" s="58">
        <v>34300</v>
      </c>
      <c r="I482" s="58" t="s">
        <v>560</v>
      </c>
    </row>
    <row r="483" spans="1:9">
      <c r="A483" s="57">
        <v>45483</v>
      </c>
      <c r="B483" s="82" t="s">
        <v>1752</v>
      </c>
      <c r="C483" s="58" t="s">
        <v>593</v>
      </c>
      <c r="D483" s="58" t="s">
        <v>57</v>
      </c>
      <c r="E483" s="58"/>
      <c r="F483" s="58" t="s">
        <v>63</v>
      </c>
      <c r="G483" s="58" t="s">
        <v>192</v>
      </c>
      <c r="H483" s="58">
        <v>38000</v>
      </c>
      <c r="I483" s="58" t="s">
        <v>594</v>
      </c>
    </row>
    <row r="484" spans="1:9">
      <c r="A484" s="57">
        <v>45493</v>
      </c>
      <c r="B484" s="82" t="s">
        <v>1752</v>
      </c>
      <c r="C484" s="58" t="s">
        <v>642</v>
      </c>
      <c r="D484" s="58" t="s">
        <v>260</v>
      </c>
      <c r="E484" s="58"/>
      <c r="F484" s="58" t="s">
        <v>63</v>
      </c>
      <c r="G484" s="58"/>
      <c r="H484" s="58">
        <v>57000</v>
      </c>
      <c r="I484" s="58" t="s">
        <v>643</v>
      </c>
    </row>
    <row r="485" spans="1:9">
      <c r="A485" s="57">
        <v>45389</v>
      </c>
      <c r="B485" s="82" t="s">
        <v>1751</v>
      </c>
      <c r="C485" s="72" t="s">
        <v>154</v>
      </c>
      <c r="D485" s="80" t="s">
        <v>1748</v>
      </c>
      <c r="E485" s="72" t="s">
        <v>155</v>
      </c>
      <c r="F485" s="58" t="s">
        <v>66</v>
      </c>
      <c r="G485" s="58"/>
      <c r="H485" s="58">
        <v>33000</v>
      </c>
      <c r="I485" s="63"/>
    </row>
    <row r="486" spans="1:9">
      <c r="A486" s="57">
        <v>45465</v>
      </c>
      <c r="B486" s="82" t="s">
        <v>1751</v>
      </c>
      <c r="C486" s="58" t="s">
        <v>471</v>
      </c>
      <c r="D486" s="80" t="s">
        <v>1748</v>
      </c>
      <c r="E486" s="58" t="s">
        <v>155</v>
      </c>
      <c r="F486" s="58" t="s">
        <v>58</v>
      </c>
      <c r="G486" s="58"/>
      <c r="H486" s="58">
        <v>22000</v>
      </c>
      <c r="I486" s="58" t="s">
        <v>472</v>
      </c>
    </row>
    <row r="487" spans="1:9">
      <c r="A487" s="57">
        <v>45465</v>
      </c>
      <c r="B487" s="82" t="s">
        <v>1751</v>
      </c>
      <c r="C487" s="58" t="s">
        <v>473</v>
      </c>
      <c r="D487" s="80" t="s">
        <v>1748</v>
      </c>
      <c r="E487" s="58" t="s">
        <v>155</v>
      </c>
      <c r="F487" s="58" t="s">
        <v>58</v>
      </c>
      <c r="G487" s="58"/>
      <c r="H487" s="58">
        <v>23000</v>
      </c>
      <c r="I487" s="58" t="s">
        <v>474</v>
      </c>
    </row>
    <row r="488" spans="1:9">
      <c r="A488" s="57">
        <v>45496</v>
      </c>
      <c r="B488" s="82" t="s">
        <v>1752</v>
      </c>
      <c r="C488" s="58" t="s">
        <v>678</v>
      </c>
      <c r="D488" s="80" t="s">
        <v>1748</v>
      </c>
      <c r="E488" s="58" t="s">
        <v>155</v>
      </c>
      <c r="F488" s="58" t="s">
        <v>63</v>
      </c>
      <c r="G488" s="58" t="s">
        <v>192</v>
      </c>
      <c r="H488" s="58">
        <v>51000</v>
      </c>
      <c r="I488" s="58"/>
    </row>
    <row r="489" spans="1:9">
      <c r="A489" s="57">
        <v>45391</v>
      </c>
      <c r="B489" s="82" t="s">
        <v>1751</v>
      </c>
      <c r="C489" s="58" t="s">
        <v>98</v>
      </c>
      <c r="D489" s="58" t="s">
        <v>99</v>
      </c>
      <c r="E489" s="58"/>
      <c r="F489" s="58" t="s">
        <v>63</v>
      </c>
      <c r="G489" s="58" t="s">
        <v>59</v>
      </c>
      <c r="H489" s="58">
        <v>21000</v>
      </c>
      <c r="I489" s="58" t="s">
        <v>100</v>
      </c>
    </row>
    <row r="490" spans="1:9">
      <c r="A490" s="57">
        <v>45394</v>
      </c>
      <c r="B490" s="82" t="s">
        <v>1751</v>
      </c>
      <c r="C490" s="58" t="s">
        <v>103</v>
      </c>
      <c r="D490" s="58" t="s">
        <v>104</v>
      </c>
      <c r="E490" s="58"/>
      <c r="F490" s="58" t="s">
        <v>58</v>
      </c>
      <c r="G490" s="58" t="s">
        <v>59</v>
      </c>
      <c r="H490" s="58">
        <v>111000</v>
      </c>
      <c r="I490" s="58" t="s">
        <v>105</v>
      </c>
    </row>
    <row r="491" spans="1:9">
      <c r="A491" s="57">
        <v>45481</v>
      </c>
      <c r="B491" s="82" t="s">
        <v>1752</v>
      </c>
      <c r="C491" s="58" t="s">
        <v>580</v>
      </c>
      <c r="D491" s="58" t="s">
        <v>581</v>
      </c>
      <c r="E491" s="58"/>
      <c r="F491" s="58" t="s">
        <v>276</v>
      </c>
      <c r="G491" s="58"/>
      <c r="H491" s="58">
        <v>36000</v>
      </c>
      <c r="I491" s="58"/>
    </row>
    <row r="492" spans="1:9">
      <c r="A492" s="57">
        <v>45496</v>
      </c>
      <c r="B492" s="82" t="s">
        <v>1752</v>
      </c>
      <c r="C492" s="58" t="s">
        <v>685</v>
      </c>
      <c r="D492" s="58" t="s">
        <v>686</v>
      </c>
      <c r="E492" s="58"/>
      <c r="F492" s="58" t="s">
        <v>66</v>
      </c>
      <c r="G492" s="58"/>
      <c r="H492" s="58">
        <v>30000</v>
      </c>
      <c r="I492" s="58"/>
    </row>
    <row r="493" spans="1:9">
      <c r="A493" s="57">
        <v>45463</v>
      </c>
      <c r="B493" s="82" t="s">
        <v>1751</v>
      </c>
      <c r="C493" s="58" t="s">
        <v>453</v>
      </c>
      <c r="D493" s="58" t="s">
        <v>454</v>
      </c>
      <c r="E493" s="58"/>
      <c r="F493" s="58" t="s">
        <v>58</v>
      </c>
      <c r="G493" s="58"/>
      <c r="H493" s="58">
        <v>81000</v>
      </c>
      <c r="I493" s="58" t="s">
        <v>455</v>
      </c>
    </row>
    <row r="494" spans="1:9">
      <c r="A494" s="57">
        <v>45444</v>
      </c>
      <c r="B494" s="82" t="s">
        <v>1751</v>
      </c>
      <c r="C494" s="58" t="s">
        <v>372</v>
      </c>
      <c r="D494" s="58" t="s">
        <v>373</v>
      </c>
      <c r="E494" s="58"/>
      <c r="F494" s="58" t="s">
        <v>276</v>
      </c>
      <c r="G494" s="58"/>
      <c r="H494" s="58">
        <v>200000</v>
      </c>
      <c r="I494" s="58"/>
    </row>
    <row r="495" spans="1:9">
      <c r="A495" s="57">
        <v>45501</v>
      </c>
      <c r="B495" s="82" t="s">
        <v>1752</v>
      </c>
      <c r="C495" s="58" t="s">
        <v>697</v>
      </c>
      <c r="D495" s="58" t="s">
        <v>373</v>
      </c>
      <c r="E495" s="58"/>
      <c r="F495" s="58" t="s">
        <v>66</v>
      </c>
      <c r="G495" s="58"/>
      <c r="H495" s="58">
        <v>28500</v>
      </c>
      <c r="I495" s="58"/>
    </row>
    <row r="496" spans="1:9">
      <c r="A496" s="57">
        <v>45417</v>
      </c>
      <c r="B496" s="82" t="s">
        <v>1751</v>
      </c>
      <c r="C496" s="58" t="s">
        <v>219</v>
      </c>
      <c r="D496" s="58" t="s">
        <v>220</v>
      </c>
      <c r="E496" s="58"/>
      <c r="F496" s="58" t="s">
        <v>66</v>
      </c>
      <c r="G496" s="58"/>
      <c r="H496" s="58">
        <v>22000</v>
      </c>
      <c r="I496" s="58"/>
    </row>
    <row r="497" spans="1:9">
      <c r="A497" s="57">
        <v>45472</v>
      </c>
      <c r="B497" s="82" t="s">
        <v>1751</v>
      </c>
      <c r="C497" s="58" t="s">
        <v>516</v>
      </c>
      <c r="D497" s="81" t="s">
        <v>732</v>
      </c>
      <c r="E497" s="58" t="s">
        <v>517</v>
      </c>
      <c r="F497" s="58" t="s">
        <v>63</v>
      </c>
      <c r="G497" s="58" t="s">
        <v>192</v>
      </c>
      <c r="H497" s="58">
        <v>41500</v>
      </c>
      <c r="I497" s="58" t="s">
        <v>518</v>
      </c>
    </row>
    <row r="498" spans="1:9">
      <c r="A498" s="57">
        <v>45413</v>
      </c>
      <c r="B498" s="82" t="s">
        <v>1751</v>
      </c>
      <c r="C498" s="58" t="s">
        <v>190</v>
      </c>
      <c r="D498" s="81" t="s">
        <v>732</v>
      </c>
      <c r="E498" s="58" t="s">
        <v>191</v>
      </c>
      <c r="F498" s="58" t="s">
        <v>63</v>
      </c>
      <c r="G498" s="58" t="s">
        <v>192</v>
      </c>
      <c r="H498" s="58">
        <v>37000</v>
      </c>
      <c r="I498" s="58" t="s">
        <v>193</v>
      </c>
    </row>
    <row r="499" spans="1:9">
      <c r="A499" s="57">
        <v>45443</v>
      </c>
      <c r="B499" s="82" t="s">
        <v>1751</v>
      </c>
      <c r="C499" s="58" t="s">
        <v>360</v>
      </c>
      <c r="D499" s="81" t="s">
        <v>732</v>
      </c>
      <c r="E499" s="58" t="s">
        <v>191</v>
      </c>
      <c r="F499" s="58" t="s">
        <v>63</v>
      </c>
      <c r="G499" s="58" t="s">
        <v>192</v>
      </c>
      <c r="H499" s="58">
        <v>23000</v>
      </c>
      <c r="I499" s="58" t="s">
        <v>361</v>
      </c>
    </row>
    <row r="500" spans="1:9">
      <c r="A500" s="57">
        <v>45496</v>
      </c>
      <c r="B500" s="82" t="s">
        <v>1752</v>
      </c>
      <c r="C500" s="58" t="s">
        <v>675</v>
      </c>
      <c r="D500" s="81" t="s">
        <v>732</v>
      </c>
      <c r="E500" s="58" t="s">
        <v>676</v>
      </c>
      <c r="F500" s="58" t="s">
        <v>63</v>
      </c>
      <c r="G500" s="58"/>
      <c r="H500" s="58">
        <v>108000</v>
      </c>
      <c r="I500" s="58" t="s">
        <v>677</v>
      </c>
    </row>
    <row r="501" spans="1:9">
      <c r="A501" s="57">
        <v>45466</v>
      </c>
      <c r="B501" s="82" t="s">
        <v>1751</v>
      </c>
      <c r="C501" s="58" t="s">
        <v>483</v>
      </c>
      <c r="D501" s="81" t="s">
        <v>732</v>
      </c>
      <c r="E501" s="58" t="s">
        <v>484</v>
      </c>
      <c r="F501" s="58" t="s">
        <v>485</v>
      </c>
      <c r="G501" s="58"/>
      <c r="H501" s="58">
        <v>27500</v>
      </c>
      <c r="I501" s="58"/>
    </row>
    <row r="502" spans="1:9">
      <c r="A502" s="57">
        <v>45500</v>
      </c>
      <c r="B502" s="82" t="s">
        <v>1752</v>
      </c>
      <c r="C502" s="58" t="s">
        <v>693</v>
      </c>
      <c r="D502" s="81" t="s">
        <v>732</v>
      </c>
      <c r="E502" s="58" t="s">
        <v>694</v>
      </c>
      <c r="F502" s="58" t="s">
        <v>66</v>
      </c>
      <c r="G502" s="58"/>
      <c r="H502" s="58">
        <v>165000</v>
      </c>
      <c r="I502" s="58"/>
    </row>
    <row r="503" spans="1:9">
      <c r="A503" s="57">
        <v>45503</v>
      </c>
      <c r="B503" s="82" t="s">
        <v>1752</v>
      </c>
      <c r="C503" s="58" t="s">
        <v>706</v>
      </c>
      <c r="D503" s="81" t="s">
        <v>732</v>
      </c>
      <c r="E503" s="58" t="s">
        <v>707</v>
      </c>
      <c r="F503" s="58" t="s">
        <v>276</v>
      </c>
      <c r="G503" s="58"/>
      <c r="H503" s="58">
        <v>163000</v>
      </c>
      <c r="I503" s="58"/>
    </row>
    <row r="504" spans="1:9">
      <c r="A504" s="57">
        <v>45447</v>
      </c>
      <c r="B504" s="82" t="s">
        <v>1751</v>
      </c>
      <c r="C504" s="58" t="s">
        <v>385</v>
      </c>
      <c r="D504" s="81" t="s">
        <v>732</v>
      </c>
      <c r="E504" s="58" t="s">
        <v>386</v>
      </c>
      <c r="F504" s="58" t="s">
        <v>66</v>
      </c>
      <c r="G504" s="58"/>
      <c r="H504" s="58">
        <v>57000</v>
      </c>
      <c r="I504" s="58"/>
    </row>
    <row r="505" spans="1:9">
      <c r="A505" s="57">
        <v>45507</v>
      </c>
      <c r="B505" s="82" t="s">
        <v>1752</v>
      </c>
      <c r="C505" s="60" t="s">
        <v>731</v>
      </c>
      <c r="D505" s="58" t="s">
        <v>732</v>
      </c>
      <c r="E505" s="60" t="s">
        <v>694</v>
      </c>
      <c r="F505" s="75" t="s">
        <v>66</v>
      </c>
      <c r="G505" s="63"/>
      <c r="H505" s="60">
        <v>166000</v>
      </c>
      <c r="I505" s="63"/>
    </row>
    <row r="506" spans="1:9">
      <c r="A506" s="57">
        <v>45511</v>
      </c>
      <c r="B506" s="82" t="s">
        <v>1752</v>
      </c>
      <c r="C506" s="60" t="s">
        <v>752</v>
      </c>
      <c r="D506" s="58" t="s">
        <v>732</v>
      </c>
      <c r="E506" s="60" t="s">
        <v>484</v>
      </c>
      <c r="F506" s="75" t="s">
        <v>63</v>
      </c>
      <c r="G506" s="63"/>
      <c r="H506" s="60">
        <v>5000</v>
      </c>
      <c r="I506" s="63"/>
    </row>
    <row r="507" spans="1:9">
      <c r="A507" s="57">
        <v>45513</v>
      </c>
      <c r="B507" s="82" t="s">
        <v>1752</v>
      </c>
      <c r="C507" s="60" t="s">
        <v>762</v>
      </c>
      <c r="D507" s="58" t="s">
        <v>732</v>
      </c>
      <c r="E507" s="60" t="s">
        <v>694</v>
      </c>
      <c r="F507" s="75" t="s">
        <v>66</v>
      </c>
      <c r="G507" s="63"/>
      <c r="H507" s="60">
        <v>25000</v>
      </c>
      <c r="I507" s="63"/>
    </row>
    <row r="508" spans="1:9">
      <c r="A508" s="57">
        <v>45519</v>
      </c>
      <c r="B508" s="82" t="s">
        <v>1752</v>
      </c>
      <c r="C508" s="60" t="s">
        <v>830</v>
      </c>
      <c r="D508" s="58" t="s">
        <v>732</v>
      </c>
      <c r="E508" s="60" t="s">
        <v>831</v>
      </c>
      <c r="F508" s="75" t="s">
        <v>58</v>
      </c>
      <c r="G508" s="63"/>
      <c r="H508" s="60">
        <v>61000</v>
      </c>
      <c r="I508" s="63"/>
    </row>
    <row r="509" spans="1:9">
      <c r="A509" s="57">
        <v>45519</v>
      </c>
      <c r="B509" s="82" t="s">
        <v>1752</v>
      </c>
      <c r="C509" s="60" t="s">
        <v>833</v>
      </c>
      <c r="D509" s="58" t="s">
        <v>732</v>
      </c>
      <c r="E509" s="60" t="s">
        <v>834</v>
      </c>
      <c r="F509" s="75" t="s">
        <v>58</v>
      </c>
      <c r="G509" s="63"/>
      <c r="H509" s="60">
        <v>14000</v>
      </c>
      <c r="I509" s="63"/>
    </row>
    <row r="510" spans="1:9">
      <c r="A510" s="57">
        <v>45524</v>
      </c>
      <c r="B510" s="82" t="s">
        <v>1752</v>
      </c>
      <c r="C510" s="60" t="s">
        <v>888</v>
      </c>
      <c r="D510" s="58" t="s">
        <v>732</v>
      </c>
      <c r="E510" s="60" t="s">
        <v>526</v>
      </c>
      <c r="F510" s="75" t="s">
        <v>63</v>
      </c>
      <c r="G510" s="63"/>
      <c r="H510" s="60">
        <v>19000</v>
      </c>
      <c r="I510" s="63"/>
    </row>
    <row r="511" spans="1:9">
      <c r="A511" s="57">
        <v>45534</v>
      </c>
      <c r="B511" s="82" t="s">
        <v>1752</v>
      </c>
      <c r="C511" s="60" t="s">
        <v>945</v>
      </c>
      <c r="D511" s="58" t="s">
        <v>732</v>
      </c>
      <c r="E511" s="60" t="s">
        <v>946</v>
      </c>
      <c r="F511" s="75" t="s">
        <v>66</v>
      </c>
      <c r="G511" s="63"/>
      <c r="H511" s="60">
        <v>45000</v>
      </c>
      <c r="I511" s="63"/>
    </row>
    <row r="512" spans="1:9">
      <c r="A512" s="61">
        <v>45537</v>
      </c>
      <c r="B512" s="82" t="s">
        <v>1752</v>
      </c>
      <c r="C512" s="60" t="s">
        <v>976</v>
      </c>
      <c r="D512" s="60" t="s">
        <v>732</v>
      </c>
      <c r="E512" s="60" t="s">
        <v>526</v>
      </c>
      <c r="F512" s="75" t="s">
        <v>66</v>
      </c>
      <c r="G512" s="63"/>
      <c r="H512" s="60">
        <v>53000</v>
      </c>
      <c r="I512" s="63"/>
    </row>
    <row r="513" spans="1:9">
      <c r="A513" s="61">
        <v>45544</v>
      </c>
      <c r="B513" s="82" t="s">
        <v>1752</v>
      </c>
      <c r="C513" s="60" t="s">
        <v>1041</v>
      </c>
      <c r="D513" s="60" t="s">
        <v>732</v>
      </c>
      <c r="E513" s="60" t="s">
        <v>694</v>
      </c>
      <c r="F513" s="75" t="s">
        <v>63</v>
      </c>
      <c r="G513" s="63"/>
      <c r="H513" s="60">
        <v>72000</v>
      </c>
      <c r="I513" s="63"/>
    </row>
    <row r="514" spans="1:9">
      <c r="A514" s="61">
        <v>45546</v>
      </c>
      <c r="B514" s="82" t="s">
        <v>1752</v>
      </c>
      <c r="C514" s="60" t="s">
        <v>1053</v>
      </c>
      <c r="D514" s="60" t="s">
        <v>732</v>
      </c>
      <c r="E514" s="60" t="s">
        <v>1054</v>
      </c>
      <c r="F514" s="75" t="s">
        <v>66</v>
      </c>
      <c r="G514" s="63"/>
      <c r="H514" s="60">
        <v>103500</v>
      </c>
      <c r="I514" s="63"/>
    </row>
    <row r="515" spans="1:9">
      <c r="A515" s="61">
        <v>45547</v>
      </c>
      <c r="B515" s="82" t="s">
        <v>1752</v>
      </c>
      <c r="C515" s="60" t="s">
        <v>1060</v>
      </c>
      <c r="D515" s="60" t="s">
        <v>732</v>
      </c>
      <c r="E515" s="60" t="s">
        <v>294</v>
      </c>
      <c r="F515" s="75" t="s">
        <v>63</v>
      </c>
      <c r="G515" s="63"/>
      <c r="H515" s="60">
        <v>19500</v>
      </c>
      <c r="I515" s="63"/>
    </row>
    <row r="516" spans="1:9">
      <c r="A516" s="61">
        <v>45547</v>
      </c>
      <c r="B516" s="82" t="s">
        <v>1752</v>
      </c>
      <c r="C516" s="60" t="s">
        <v>1062</v>
      </c>
      <c r="D516" s="60" t="s">
        <v>732</v>
      </c>
      <c r="E516" s="60" t="s">
        <v>526</v>
      </c>
      <c r="F516" s="75" t="s">
        <v>66</v>
      </c>
      <c r="G516" s="63"/>
      <c r="H516" s="60">
        <v>100000</v>
      </c>
      <c r="I516" s="63"/>
    </row>
    <row r="517" spans="1:9">
      <c r="A517" s="61">
        <v>45556</v>
      </c>
      <c r="B517" s="82" t="s">
        <v>1752</v>
      </c>
      <c r="C517" s="60" t="s">
        <v>1130</v>
      </c>
      <c r="D517" s="60" t="s">
        <v>732</v>
      </c>
      <c r="E517" s="60" t="s">
        <v>1054</v>
      </c>
      <c r="F517" s="75" t="s">
        <v>66</v>
      </c>
      <c r="G517" s="63"/>
      <c r="H517" s="60">
        <v>16000</v>
      </c>
      <c r="I517" s="63"/>
    </row>
    <row r="518" spans="1:9">
      <c r="A518" s="61">
        <v>45561</v>
      </c>
      <c r="B518" s="82" t="s">
        <v>1752</v>
      </c>
      <c r="C518" s="60" t="s">
        <v>1156</v>
      </c>
      <c r="D518" s="60" t="s">
        <v>732</v>
      </c>
      <c r="E518" s="60" t="s">
        <v>1054</v>
      </c>
      <c r="F518" s="75" t="s">
        <v>66</v>
      </c>
      <c r="G518" s="63"/>
      <c r="H518" s="60">
        <v>29000</v>
      </c>
      <c r="I518" s="63"/>
    </row>
    <row r="519" spans="1:9">
      <c r="A519" s="61">
        <v>45564</v>
      </c>
      <c r="B519" s="82" t="s">
        <v>1752</v>
      </c>
      <c r="C519" s="60" t="s">
        <v>1169</v>
      </c>
      <c r="D519" s="60" t="s">
        <v>732</v>
      </c>
      <c r="E519" s="60" t="s">
        <v>694</v>
      </c>
      <c r="F519" s="75" t="s">
        <v>66</v>
      </c>
      <c r="G519" s="63"/>
      <c r="H519" s="60">
        <v>15000</v>
      </c>
      <c r="I519" s="63"/>
    </row>
    <row r="520" spans="1:9">
      <c r="A520" s="61">
        <v>45571</v>
      </c>
      <c r="B520" s="61" t="s">
        <v>1753</v>
      </c>
      <c r="C520" s="60" t="s">
        <v>1190</v>
      </c>
      <c r="D520" s="60" t="s">
        <v>732</v>
      </c>
      <c r="E520" s="60" t="s">
        <v>484</v>
      </c>
      <c r="F520" s="75" t="s">
        <v>63</v>
      </c>
      <c r="G520" s="63"/>
      <c r="H520" s="60">
        <v>35000</v>
      </c>
      <c r="I520" s="63"/>
    </row>
    <row r="521" spans="1:9">
      <c r="A521" s="61">
        <v>45571</v>
      </c>
      <c r="B521" s="61" t="s">
        <v>1753</v>
      </c>
      <c r="C521" s="60" t="s">
        <v>1192</v>
      </c>
      <c r="D521" s="60" t="s">
        <v>732</v>
      </c>
      <c r="E521" s="60" t="s">
        <v>694</v>
      </c>
      <c r="F521" s="75" t="s">
        <v>66</v>
      </c>
      <c r="G521" s="63"/>
      <c r="H521" s="60">
        <v>22500</v>
      </c>
      <c r="I521" s="63"/>
    </row>
    <row r="522" spans="1:9">
      <c r="A522" s="62">
        <v>45581</v>
      </c>
      <c r="B522" s="61" t="s">
        <v>1753</v>
      </c>
      <c r="C522" s="60" t="s">
        <v>1289</v>
      </c>
      <c r="D522" s="60" t="s">
        <v>732</v>
      </c>
      <c r="E522" s="60" t="s">
        <v>294</v>
      </c>
      <c r="F522" s="75" t="s">
        <v>58</v>
      </c>
      <c r="G522" s="63"/>
      <c r="H522" s="60">
        <v>44500</v>
      </c>
      <c r="I522" s="63"/>
    </row>
    <row r="523" spans="1:9">
      <c r="A523" s="62">
        <v>45586</v>
      </c>
      <c r="B523" s="61" t="s">
        <v>1753</v>
      </c>
      <c r="C523" s="60" t="s">
        <v>1332</v>
      </c>
      <c r="D523" s="60" t="s">
        <v>732</v>
      </c>
      <c r="E523" s="60" t="s">
        <v>694</v>
      </c>
      <c r="F523" s="75" t="s">
        <v>63</v>
      </c>
      <c r="G523" s="63"/>
      <c r="H523" s="60">
        <v>70000</v>
      </c>
      <c r="I523" s="63"/>
    </row>
    <row r="524" spans="1:9">
      <c r="A524" s="62">
        <v>45590</v>
      </c>
      <c r="B524" s="61" t="s">
        <v>1753</v>
      </c>
      <c r="C524" s="60" t="s">
        <v>1364</v>
      </c>
      <c r="D524" s="60" t="s">
        <v>732</v>
      </c>
      <c r="E524" s="60" t="s">
        <v>1365</v>
      </c>
      <c r="F524" s="75" t="s">
        <v>63</v>
      </c>
      <c r="G524" s="63"/>
      <c r="H524" s="60">
        <v>193000</v>
      </c>
      <c r="I524" s="63"/>
    </row>
    <row r="525" spans="1:9">
      <c r="A525" s="62">
        <v>45591</v>
      </c>
      <c r="B525" s="61" t="s">
        <v>1753</v>
      </c>
      <c r="C525" s="60" t="s">
        <v>1384</v>
      </c>
      <c r="D525" s="60" t="s">
        <v>732</v>
      </c>
      <c r="E525" s="60" t="s">
        <v>694</v>
      </c>
      <c r="F525" s="75" t="s">
        <v>58</v>
      </c>
      <c r="G525" s="63"/>
      <c r="H525" s="60">
        <v>20600</v>
      </c>
      <c r="I525" s="63"/>
    </row>
    <row r="526" spans="1:9">
      <c r="A526" s="62">
        <v>45591</v>
      </c>
      <c r="B526" s="61" t="s">
        <v>1753</v>
      </c>
      <c r="C526" s="60" t="s">
        <v>1386</v>
      </c>
      <c r="D526" s="60" t="s">
        <v>732</v>
      </c>
      <c r="E526" s="60" t="s">
        <v>526</v>
      </c>
      <c r="F526" s="75" t="s">
        <v>63</v>
      </c>
      <c r="G526" s="63"/>
      <c r="H526" s="60">
        <v>15000</v>
      </c>
      <c r="I526" s="63"/>
    </row>
    <row r="527" spans="1:9">
      <c r="A527" s="62">
        <v>45595</v>
      </c>
      <c r="B527" s="61" t="s">
        <v>1753</v>
      </c>
      <c r="C527" s="60" t="s">
        <v>1396</v>
      </c>
      <c r="D527" s="60" t="s">
        <v>732</v>
      </c>
      <c r="E527" s="60" t="s">
        <v>694</v>
      </c>
      <c r="F527" s="75" t="s">
        <v>63</v>
      </c>
      <c r="G527" s="63"/>
      <c r="H527" s="60">
        <v>70000</v>
      </c>
      <c r="I527" s="63"/>
    </row>
    <row r="528" spans="1:9">
      <c r="A528" s="61">
        <v>45605</v>
      </c>
      <c r="B528" s="61" t="s">
        <v>1753</v>
      </c>
      <c r="C528" s="60" t="s">
        <v>1465</v>
      </c>
      <c r="D528" s="60" t="s">
        <v>732</v>
      </c>
      <c r="E528" s="60" t="s">
        <v>1466</v>
      </c>
      <c r="F528" s="75" t="s">
        <v>63</v>
      </c>
      <c r="G528" s="63"/>
      <c r="H528" s="60">
        <v>13500</v>
      </c>
      <c r="I528" s="63"/>
    </row>
    <row r="529" spans="1:9">
      <c r="A529" s="62">
        <v>45607</v>
      </c>
      <c r="B529" s="61" t="s">
        <v>1753</v>
      </c>
      <c r="C529" s="60" t="s">
        <v>1472</v>
      </c>
      <c r="D529" s="60" t="s">
        <v>732</v>
      </c>
      <c r="E529" s="60" t="s">
        <v>707</v>
      </c>
      <c r="F529" s="75" t="s">
        <v>58</v>
      </c>
      <c r="G529" s="63"/>
      <c r="H529" s="60">
        <v>40000</v>
      </c>
      <c r="I529" s="63"/>
    </row>
    <row r="530" spans="1:9">
      <c r="A530" s="62">
        <v>45617</v>
      </c>
      <c r="B530" s="61" t="s">
        <v>1753</v>
      </c>
      <c r="C530" s="60" t="s">
        <v>1512</v>
      </c>
      <c r="D530" s="60" t="s">
        <v>732</v>
      </c>
      <c r="E530" s="60" t="s">
        <v>694</v>
      </c>
      <c r="F530" s="75" t="s">
        <v>63</v>
      </c>
      <c r="G530" s="63"/>
      <c r="H530" s="60">
        <v>27000</v>
      </c>
      <c r="I530" s="63"/>
    </row>
    <row r="531" spans="1:9">
      <c r="A531" s="62">
        <v>45620</v>
      </c>
      <c r="B531" s="61" t="s">
        <v>1753</v>
      </c>
      <c r="C531" s="60" t="s">
        <v>1520</v>
      </c>
      <c r="D531" s="60" t="s">
        <v>732</v>
      </c>
      <c r="E531" s="60" t="s">
        <v>1521</v>
      </c>
      <c r="F531" s="75" t="s">
        <v>58</v>
      </c>
      <c r="G531" s="63"/>
      <c r="H531" s="60">
        <v>155000</v>
      </c>
      <c r="I531" s="63"/>
    </row>
    <row r="532" spans="1:9">
      <c r="A532" s="61">
        <v>45628</v>
      </c>
      <c r="B532" s="61" t="s">
        <v>1753</v>
      </c>
      <c r="C532" s="60" t="s">
        <v>1566</v>
      </c>
      <c r="D532" s="60" t="s">
        <v>732</v>
      </c>
      <c r="E532" s="60" t="s">
        <v>707</v>
      </c>
      <c r="F532" s="75" t="s">
        <v>63</v>
      </c>
      <c r="G532" s="63"/>
      <c r="H532" s="60">
        <v>129500</v>
      </c>
      <c r="I532" s="63"/>
    </row>
    <row r="533" spans="1:9">
      <c r="A533" s="62">
        <v>45642</v>
      </c>
      <c r="B533" s="61" t="s">
        <v>1753</v>
      </c>
      <c r="C533" s="60" t="s">
        <v>1632</v>
      </c>
      <c r="D533" s="60" t="s">
        <v>732</v>
      </c>
      <c r="E533" s="60" t="s">
        <v>707</v>
      </c>
      <c r="F533" s="75" t="s">
        <v>63</v>
      </c>
      <c r="G533" s="63"/>
      <c r="H533" s="60">
        <v>22100</v>
      </c>
      <c r="I533" s="63"/>
    </row>
    <row r="534" spans="1:9">
      <c r="A534" s="62">
        <v>45654</v>
      </c>
      <c r="B534" s="61" t="s">
        <v>1753</v>
      </c>
      <c r="C534" s="60" t="s">
        <v>1679</v>
      </c>
      <c r="D534" s="60" t="s">
        <v>732</v>
      </c>
      <c r="E534" s="60" t="s">
        <v>1680</v>
      </c>
      <c r="F534" s="75" t="s">
        <v>66</v>
      </c>
      <c r="G534" s="63"/>
      <c r="H534" s="60">
        <v>40500</v>
      </c>
      <c r="I534" s="63"/>
    </row>
    <row r="535" spans="1:9">
      <c r="A535" s="62">
        <v>45657</v>
      </c>
      <c r="B535" s="61" t="s">
        <v>1753</v>
      </c>
      <c r="C535" s="60" t="s">
        <v>1704</v>
      </c>
      <c r="D535" s="60" t="s">
        <v>732</v>
      </c>
      <c r="E535" s="60" t="s">
        <v>1705</v>
      </c>
      <c r="F535" s="75" t="s">
        <v>63</v>
      </c>
      <c r="G535" s="63"/>
      <c r="H535" s="60">
        <v>135000</v>
      </c>
      <c r="I535" s="63"/>
    </row>
    <row r="536" spans="1:9">
      <c r="A536" s="57">
        <v>45430</v>
      </c>
      <c r="B536" s="82" t="s">
        <v>1751</v>
      </c>
      <c r="C536" s="58" t="s">
        <v>298</v>
      </c>
      <c r="D536" s="58" t="s">
        <v>299</v>
      </c>
      <c r="E536" s="58"/>
      <c r="F536" s="58" t="s">
        <v>63</v>
      </c>
      <c r="G536" s="58" t="s">
        <v>192</v>
      </c>
      <c r="H536" s="58">
        <v>35000</v>
      </c>
      <c r="I536" s="58" t="s">
        <v>300</v>
      </c>
    </row>
    <row r="537" spans="1:9">
      <c r="A537" s="57">
        <v>45395</v>
      </c>
      <c r="B537" s="82" t="s">
        <v>1751</v>
      </c>
      <c r="C537" s="67" t="s">
        <v>131</v>
      </c>
      <c r="D537" s="58" t="s">
        <v>132</v>
      </c>
      <c r="E537" s="58"/>
      <c r="F537" s="58" t="s">
        <v>63</v>
      </c>
      <c r="G537" s="58" t="s">
        <v>133</v>
      </c>
      <c r="H537" s="65">
        <v>19000</v>
      </c>
      <c r="I537" s="63" t="s">
        <v>134</v>
      </c>
    </row>
    <row r="538" spans="1:9">
      <c r="A538" s="57">
        <v>45437</v>
      </c>
      <c r="B538" s="82" t="s">
        <v>1751</v>
      </c>
      <c r="C538" s="58" t="s">
        <v>344</v>
      </c>
      <c r="D538" s="58" t="s">
        <v>345</v>
      </c>
      <c r="E538" s="58"/>
      <c r="F538" s="58" t="s">
        <v>66</v>
      </c>
      <c r="G538" s="58"/>
      <c r="H538" s="58">
        <v>40000</v>
      </c>
      <c r="I538" s="58"/>
    </row>
    <row r="539" spans="1:9">
      <c r="A539" s="57">
        <v>45504</v>
      </c>
      <c r="B539" s="82" t="s">
        <v>1752</v>
      </c>
      <c r="C539" s="58" t="s">
        <v>710</v>
      </c>
      <c r="D539" s="58" t="s">
        <v>711</v>
      </c>
      <c r="E539" s="58"/>
      <c r="F539" s="58" t="s">
        <v>66</v>
      </c>
      <c r="G539" s="58"/>
      <c r="H539" s="58">
        <v>51000</v>
      </c>
      <c r="I539" s="58"/>
    </row>
    <row r="540" spans="1:9">
      <c r="A540" s="57">
        <v>45483</v>
      </c>
      <c r="B540" s="82" t="s">
        <v>1752</v>
      </c>
      <c r="C540" s="58" t="s">
        <v>590</v>
      </c>
      <c r="D540" s="58" t="s">
        <v>743</v>
      </c>
      <c r="E540" s="59" t="s">
        <v>136</v>
      </c>
      <c r="F540" s="58" t="s">
        <v>63</v>
      </c>
      <c r="G540" s="58" t="s">
        <v>192</v>
      </c>
      <c r="H540" s="58">
        <v>50000</v>
      </c>
      <c r="I540" s="58" t="s">
        <v>592</v>
      </c>
    </row>
    <row r="541" spans="1:9">
      <c r="A541" s="57">
        <v>45398</v>
      </c>
      <c r="B541" s="82" t="s">
        <v>1751</v>
      </c>
      <c r="C541" s="68" t="s">
        <v>135</v>
      </c>
      <c r="D541" s="58" t="s">
        <v>743</v>
      </c>
      <c r="E541" s="59" t="s">
        <v>136</v>
      </c>
      <c r="F541" s="58" t="s">
        <v>66</v>
      </c>
      <c r="G541" s="58"/>
      <c r="H541" s="65">
        <v>78000</v>
      </c>
      <c r="I541" s="69" t="s">
        <v>137</v>
      </c>
    </row>
    <row r="542" spans="1:9">
      <c r="A542" s="57">
        <v>45454</v>
      </c>
      <c r="B542" s="82" t="s">
        <v>1751</v>
      </c>
      <c r="C542" s="58" t="s">
        <v>415</v>
      </c>
      <c r="D542" s="58" t="s">
        <v>743</v>
      </c>
      <c r="E542" s="58" t="s">
        <v>136</v>
      </c>
      <c r="F542" s="58" t="s">
        <v>58</v>
      </c>
      <c r="G542" s="58"/>
      <c r="H542" s="58">
        <v>72000</v>
      </c>
      <c r="I542" s="58" t="s">
        <v>417</v>
      </c>
    </row>
    <row r="543" spans="1:9">
      <c r="A543" s="57">
        <v>45473</v>
      </c>
      <c r="B543" s="82" t="s">
        <v>1751</v>
      </c>
      <c r="C543" s="58" t="s">
        <v>519</v>
      </c>
      <c r="D543" s="58" t="s">
        <v>743</v>
      </c>
      <c r="E543" s="58" t="s">
        <v>136</v>
      </c>
      <c r="F543" s="58" t="s">
        <v>58</v>
      </c>
      <c r="G543" s="58"/>
      <c r="H543" s="58">
        <v>40000</v>
      </c>
      <c r="I543" s="58" t="s">
        <v>520</v>
      </c>
    </row>
    <row r="544" spans="1:9">
      <c r="A544" s="57">
        <v>45385</v>
      </c>
      <c r="B544" s="82" t="s">
        <v>1751</v>
      </c>
      <c r="C544" s="58" t="s">
        <v>71</v>
      </c>
      <c r="D544" s="58" t="s">
        <v>743</v>
      </c>
      <c r="E544" s="58" t="s">
        <v>72</v>
      </c>
      <c r="F544" s="58" t="s">
        <v>63</v>
      </c>
      <c r="G544" s="58" t="s">
        <v>59</v>
      </c>
      <c r="H544" s="58">
        <v>149500</v>
      </c>
      <c r="I544" s="58" t="s">
        <v>73</v>
      </c>
    </row>
    <row r="545" spans="1:9">
      <c r="A545" s="57">
        <v>45401</v>
      </c>
      <c r="B545" s="82" t="s">
        <v>1751</v>
      </c>
      <c r="C545" s="70" t="s">
        <v>138</v>
      </c>
      <c r="D545" s="58" t="s">
        <v>743</v>
      </c>
      <c r="E545" s="58" t="s">
        <v>72</v>
      </c>
      <c r="F545" s="58" t="s">
        <v>63</v>
      </c>
      <c r="G545" s="58" t="s">
        <v>139</v>
      </c>
      <c r="H545" s="65">
        <v>10000</v>
      </c>
      <c r="I545" s="63" t="s">
        <v>140</v>
      </c>
    </row>
    <row r="546" spans="1:9">
      <c r="A546" s="57">
        <v>45417</v>
      </c>
      <c r="B546" s="82" t="s">
        <v>1751</v>
      </c>
      <c r="C546" s="58" t="s">
        <v>214</v>
      </c>
      <c r="D546" s="58" t="s">
        <v>743</v>
      </c>
      <c r="E546" s="58" t="s">
        <v>72</v>
      </c>
      <c r="F546" s="58" t="s">
        <v>63</v>
      </c>
      <c r="G546" s="58" t="s">
        <v>59</v>
      </c>
      <c r="H546" s="58">
        <v>24000</v>
      </c>
      <c r="I546" s="58" t="s">
        <v>215</v>
      </c>
    </row>
    <row r="547" spans="1:9">
      <c r="A547" s="57">
        <v>45422</v>
      </c>
      <c r="B547" s="82" t="s">
        <v>1751</v>
      </c>
      <c r="C547" s="58" t="s">
        <v>235</v>
      </c>
      <c r="D547" s="58" t="s">
        <v>743</v>
      </c>
      <c r="E547" s="58" t="s">
        <v>72</v>
      </c>
      <c r="F547" s="58" t="s">
        <v>63</v>
      </c>
      <c r="G547" s="58" t="s">
        <v>59</v>
      </c>
      <c r="H547" s="58">
        <v>44000</v>
      </c>
      <c r="I547" s="58" t="s">
        <v>236</v>
      </c>
    </row>
    <row r="548" spans="1:9">
      <c r="A548" s="57">
        <v>45430</v>
      </c>
      <c r="B548" s="82" t="s">
        <v>1751</v>
      </c>
      <c r="C548" s="58" t="s">
        <v>301</v>
      </c>
      <c r="D548" s="58" t="s">
        <v>743</v>
      </c>
      <c r="E548" s="58" t="s">
        <v>72</v>
      </c>
      <c r="F548" s="58" t="s">
        <v>63</v>
      </c>
      <c r="G548" s="58"/>
      <c r="H548" s="58">
        <v>22500</v>
      </c>
      <c r="I548" s="58" t="s">
        <v>302</v>
      </c>
    </row>
    <row r="549" spans="1:9">
      <c r="A549" s="57">
        <v>45445</v>
      </c>
      <c r="B549" s="82" t="s">
        <v>1751</v>
      </c>
      <c r="C549" s="58" t="s">
        <v>376</v>
      </c>
      <c r="D549" s="58" t="s">
        <v>743</v>
      </c>
      <c r="E549" s="58" t="s">
        <v>72</v>
      </c>
      <c r="F549" s="58" t="s">
        <v>63</v>
      </c>
      <c r="G549" s="58" t="s">
        <v>59</v>
      </c>
      <c r="H549" s="58">
        <v>172000</v>
      </c>
      <c r="I549" s="58" t="s">
        <v>377</v>
      </c>
    </row>
    <row r="550" spans="1:9">
      <c r="A550" s="57">
        <v>45490</v>
      </c>
      <c r="B550" s="82" t="s">
        <v>1752</v>
      </c>
      <c r="C550" s="58" t="s">
        <v>627</v>
      </c>
      <c r="D550" s="58" t="s">
        <v>743</v>
      </c>
      <c r="E550" s="58" t="s">
        <v>72</v>
      </c>
      <c r="F550" s="58" t="s">
        <v>63</v>
      </c>
      <c r="G550" s="58" t="s">
        <v>59</v>
      </c>
      <c r="H550" s="58">
        <v>75000</v>
      </c>
      <c r="I550" s="58" t="s">
        <v>628</v>
      </c>
    </row>
    <row r="551" spans="1:9">
      <c r="A551" s="57">
        <v>45490</v>
      </c>
      <c r="B551" s="82" t="s">
        <v>1752</v>
      </c>
      <c r="C551" s="58" t="s">
        <v>629</v>
      </c>
      <c r="D551" s="58" t="s">
        <v>743</v>
      </c>
      <c r="E551" s="58" t="s">
        <v>72</v>
      </c>
      <c r="F551" s="58" t="s">
        <v>63</v>
      </c>
      <c r="G551" s="58" t="s">
        <v>59</v>
      </c>
      <c r="H551" s="58">
        <v>20000</v>
      </c>
      <c r="I551" s="58" t="s">
        <v>630</v>
      </c>
    </row>
    <row r="552" spans="1:9">
      <c r="A552" s="57">
        <v>45495</v>
      </c>
      <c r="B552" s="82" t="s">
        <v>1752</v>
      </c>
      <c r="C552" s="58" t="s">
        <v>658</v>
      </c>
      <c r="D552" s="58" t="s">
        <v>743</v>
      </c>
      <c r="E552" s="58" t="s">
        <v>72</v>
      </c>
      <c r="F552" s="58" t="s">
        <v>63</v>
      </c>
      <c r="G552" s="58"/>
      <c r="H552" s="58">
        <v>9100</v>
      </c>
      <c r="I552" s="58" t="s">
        <v>659</v>
      </c>
    </row>
    <row r="553" spans="1:9">
      <c r="A553" s="57">
        <v>45495</v>
      </c>
      <c r="B553" s="82" t="s">
        <v>1752</v>
      </c>
      <c r="C553" s="58" t="s">
        <v>660</v>
      </c>
      <c r="D553" s="58" t="s">
        <v>743</v>
      </c>
      <c r="E553" s="58" t="s">
        <v>72</v>
      </c>
      <c r="F553" s="58" t="s">
        <v>63</v>
      </c>
      <c r="G553" s="58"/>
      <c r="H553" s="58">
        <v>34300</v>
      </c>
      <c r="I553" s="58" t="s">
        <v>661</v>
      </c>
    </row>
    <row r="554" spans="1:9">
      <c r="A554" s="57">
        <v>45496</v>
      </c>
      <c r="B554" s="82" t="s">
        <v>1752</v>
      </c>
      <c r="C554" s="58" t="s">
        <v>673</v>
      </c>
      <c r="D554" s="58" t="s">
        <v>743</v>
      </c>
      <c r="E554" s="58" t="s">
        <v>72</v>
      </c>
      <c r="F554" s="58" t="s">
        <v>63</v>
      </c>
      <c r="G554" s="58" t="s">
        <v>59</v>
      </c>
      <c r="H554" s="58">
        <v>18000</v>
      </c>
      <c r="I554" s="58" t="s">
        <v>674</v>
      </c>
    </row>
    <row r="555" spans="1:9">
      <c r="A555" s="57">
        <v>45496</v>
      </c>
      <c r="B555" s="82" t="s">
        <v>1752</v>
      </c>
      <c r="C555" s="58" t="s">
        <v>683</v>
      </c>
      <c r="D555" s="58" t="s">
        <v>743</v>
      </c>
      <c r="E555" s="58" t="s">
        <v>72</v>
      </c>
      <c r="F555" s="58" t="s">
        <v>66</v>
      </c>
      <c r="G555" s="58"/>
      <c r="H555" s="58">
        <v>65000</v>
      </c>
      <c r="I555" s="58"/>
    </row>
    <row r="556" spans="1:9">
      <c r="A556" s="57">
        <v>45509</v>
      </c>
      <c r="B556" s="82" t="s">
        <v>1752</v>
      </c>
      <c r="C556" s="60" t="s">
        <v>742</v>
      </c>
      <c r="D556" s="58" t="s">
        <v>743</v>
      </c>
      <c r="E556" s="60" t="s">
        <v>744</v>
      </c>
      <c r="F556" s="75" t="s">
        <v>58</v>
      </c>
      <c r="G556" s="63"/>
      <c r="H556" s="60">
        <v>35300</v>
      </c>
      <c r="I556" s="63"/>
    </row>
    <row r="557" spans="1:9">
      <c r="A557" s="57">
        <v>45522</v>
      </c>
      <c r="B557" s="82" t="s">
        <v>1752</v>
      </c>
      <c r="C557" s="60" t="s">
        <v>857</v>
      </c>
      <c r="D557" s="58" t="s">
        <v>743</v>
      </c>
      <c r="E557" s="60" t="s">
        <v>684</v>
      </c>
      <c r="F557" s="75" t="s">
        <v>63</v>
      </c>
      <c r="G557" s="63"/>
      <c r="H557" s="60">
        <v>33500</v>
      </c>
      <c r="I557" s="63"/>
    </row>
    <row r="558" spans="1:9">
      <c r="A558" s="57">
        <v>45522</v>
      </c>
      <c r="B558" s="82" t="s">
        <v>1752</v>
      </c>
      <c r="C558" s="60" t="s">
        <v>864</v>
      </c>
      <c r="D558" s="58" t="s">
        <v>743</v>
      </c>
      <c r="E558" s="60" t="s">
        <v>684</v>
      </c>
      <c r="F558" s="75" t="s">
        <v>63</v>
      </c>
      <c r="G558" s="63"/>
      <c r="H558" s="60">
        <v>24000</v>
      </c>
      <c r="I558" s="63"/>
    </row>
    <row r="559" spans="1:9">
      <c r="A559" s="57">
        <v>45526</v>
      </c>
      <c r="B559" s="82" t="s">
        <v>1752</v>
      </c>
      <c r="C559" s="60" t="s">
        <v>906</v>
      </c>
      <c r="D559" s="58" t="s">
        <v>743</v>
      </c>
      <c r="E559" s="60" t="s">
        <v>684</v>
      </c>
      <c r="F559" s="75" t="s">
        <v>58</v>
      </c>
      <c r="G559" s="63"/>
      <c r="H559" s="60">
        <v>19000</v>
      </c>
      <c r="I559" s="63"/>
    </row>
    <row r="560" spans="1:9">
      <c r="A560" s="57">
        <v>45529</v>
      </c>
      <c r="B560" s="82" t="s">
        <v>1752</v>
      </c>
      <c r="C560" s="60" t="s">
        <v>915</v>
      </c>
      <c r="D560" s="58" t="s">
        <v>743</v>
      </c>
      <c r="E560" s="60" t="s">
        <v>684</v>
      </c>
      <c r="F560" s="75" t="s">
        <v>276</v>
      </c>
      <c r="G560" s="63"/>
      <c r="H560" s="60">
        <v>70000</v>
      </c>
      <c r="I560" s="63"/>
    </row>
    <row r="561" spans="1:9">
      <c r="A561" s="57">
        <v>45531</v>
      </c>
      <c r="B561" s="82" t="s">
        <v>1752</v>
      </c>
      <c r="C561" s="60" t="s">
        <v>923</v>
      </c>
      <c r="D561" s="58" t="s">
        <v>743</v>
      </c>
      <c r="E561" s="60" t="s">
        <v>684</v>
      </c>
      <c r="F561" s="75" t="s">
        <v>63</v>
      </c>
      <c r="G561" s="63"/>
      <c r="H561" s="60">
        <v>28000</v>
      </c>
      <c r="I561" s="63"/>
    </row>
    <row r="562" spans="1:9">
      <c r="A562" s="57">
        <v>45535</v>
      </c>
      <c r="B562" s="82" t="s">
        <v>1752</v>
      </c>
      <c r="C562" s="60" t="s">
        <v>959</v>
      </c>
      <c r="D562" s="58" t="s">
        <v>743</v>
      </c>
      <c r="E562" s="60" t="s">
        <v>684</v>
      </c>
      <c r="F562" s="75" t="s">
        <v>63</v>
      </c>
      <c r="G562" s="63"/>
      <c r="H562" s="60">
        <v>55000</v>
      </c>
      <c r="I562" s="63"/>
    </row>
    <row r="563" spans="1:9">
      <c r="A563" s="61">
        <v>45542</v>
      </c>
      <c r="B563" s="82" t="s">
        <v>1752</v>
      </c>
      <c r="C563" s="60" t="s">
        <v>1023</v>
      </c>
      <c r="D563" s="60" t="s">
        <v>743</v>
      </c>
      <c r="E563" s="60" t="s">
        <v>1024</v>
      </c>
      <c r="F563" s="75" t="s">
        <v>63</v>
      </c>
      <c r="G563" s="63"/>
      <c r="H563" s="60">
        <v>14100</v>
      </c>
      <c r="I563" s="63"/>
    </row>
    <row r="564" spans="1:9">
      <c r="A564" s="61">
        <v>45544</v>
      </c>
      <c r="B564" s="82" t="s">
        <v>1752</v>
      </c>
      <c r="C564" s="60" t="s">
        <v>1036</v>
      </c>
      <c r="D564" s="60" t="s">
        <v>743</v>
      </c>
      <c r="E564" s="60" t="s">
        <v>744</v>
      </c>
      <c r="F564" s="75" t="s">
        <v>63</v>
      </c>
      <c r="G564" s="63"/>
      <c r="H564" s="60">
        <v>23000</v>
      </c>
      <c r="I564" s="63"/>
    </row>
    <row r="565" spans="1:9">
      <c r="A565" s="61">
        <v>45544</v>
      </c>
      <c r="B565" s="82" t="s">
        <v>1752</v>
      </c>
      <c r="C565" s="60" t="s">
        <v>1038</v>
      </c>
      <c r="D565" s="60" t="s">
        <v>743</v>
      </c>
      <c r="E565" s="60" t="s">
        <v>1039</v>
      </c>
      <c r="F565" s="75" t="s">
        <v>63</v>
      </c>
      <c r="G565" s="63"/>
      <c r="H565" s="60">
        <v>17000</v>
      </c>
      <c r="I565" s="63"/>
    </row>
    <row r="566" spans="1:9">
      <c r="A566" s="61">
        <v>45555</v>
      </c>
      <c r="B566" s="82" t="s">
        <v>1752</v>
      </c>
      <c r="C566" s="60" t="s">
        <v>1126</v>
      </c>
      <c r="D566" s="60" t="s">
        <v>743</v>
      </c>
      <c r="E566" s="60" t="s">
        <v>684</v>
      </c>
      <c r="F566" s="75" t="s">
        <v>63</v>
      </c>
      <c r="G566" s="63"/>
      <c r="H566" s="60">
        <v>60000</v>
      </c>
      <c r="I566" s="63"/>
    </row>
    <row r="567" spans="1:9">
      <c r="A567" s="62">
        <v>45576</v>
      </c>
      <c r="B567" s="61" t="s">
        <v>1753</v>
      </c>
      <c r="C567" s="60" t="s">
        <v>1236</v>
      </c>
      <c r="D567" s="60" t="s">
        <v>743</v>
      </c>
      <c r="E567" s="60" t="s">
        <v>1237</v>
      </c>
      <c r="F567" s="75" t="s">
        <v>63</v>
      </c>
      <c r="G567" s="63"/>
      <c r="H567" s="60">
        <v>27000</v>
      </c>
      <c r="I567" s="63"/>
    </row>
    <row r="568" spans="1:9">
      <c r="A568" s="62">
        <v>45578</v>
      </c>
      <c r="B568" s="61" t="s">
        <v>1753</v>
      </c>
      <c r="C568" s="60" t="s">
        <v>1252</v>
      </c>
      <c r="D568" s="60" t="s">
        <v>743</v>
      </c>
      <c r="E568" s="60" t="s">
        <v>684</v>
      </c>
      <c r="F568" s="75" t="s">
        <v>66</v>
      </c>
      <c r="G568" s="63"/>
      <c r="H568" s="60">
        <v>14000</v>
      </c>
      <c r="I568" s="63"/>
    </row>
    <row r="569" spans="1:9">
      <c r="A569" s="62">
        <v>45590</v>
      </c>
      <c r="B569" s="61" t="s">
        <v>1753</v>
      </c>
      <c r="C569" s="60" t="s">
        <v>1367</v>
      </c>
      <c r="D569" s="60" t="s">
        <v>743</v>
      </c>
      <c r="E569" s="60" t="s">
        <v>684</v>
      </c>
      <c r="F569" s="75" t="s">
        <v>63</v>
      </c>
      <c r="G569" s="63"/>
      <c r="H569" s="60">
        <v>53500</v>
      </c>
      <c r="I569" s="63"/>
    </row>
    <row r="570" spans="1:9">
      <c r="A570" s="62">
        <v>45624</v>
      </c>
      <c r="B570" s="61" t="s">
        <v>1753</v>
      </c>
      <c r="C570" s="60" t="s">
        <v>1532</v>
      </c>
      <c r="D570" s="60" t="s">
        <v>743</v>
      </c>
      <c r="E570" s="60" t="s">
        <v>684</v>
      </c>
      <c r="F570" s="75" t="s">
        <v>63</v>
      </c>
      <c r="G570" s="63"/>
      <c r="H570" s="60">
        <v>67000</v>
      </c>
      <c r="I570" s="63"/>
    </row>
    <row r="571" spans="1:9">
      <c r="A571" s="61">
        <v>45635</v>
      </c>
      <c r="B571" s="61" t="s">
        <v>1753</v>
      </c>
      <c r="C571" s="60" t="s">
        <v>1603</v>
      </c>
      <c r="D571" s="60" t="s">
        <v>743</v>
      </c>
      <c r="E571" s="60" t="s">
        <v>684</v>
      </c>
      <c r="F571" s="75" t="s">
        <v>58</v>
      </c>
      <c r="G571" s="63"/>
      <c r="H571" s="60">
        <v>10000</v>
      </c>
      <c r="I571" s="63"/>
    </row>
    <row r="572" spans="1:9">
      <c r="A572" s="62">
        <v>45643</v>
      </c>
      <c r="B572" s="61" t="s">
        <v>1753</v>
      </c>
      <c r="C572" s="60" t="s">
        <v>1634</v>
      </c>
      <c r="D572" s="60" t="s">
        <v>743</v>
      </c>
      <c r="E572" s="60" t="s">
        <v>1039</v>
      </c>
      <c r="F572" s="75" t="s">
        <v>63</v>
      </c>
      <c r="G572" s="63"/>
      <c r="H572" s="60">
        <v>30000</v>
      </c>
      <c r="I572" s="63"/>
    </row>
    <row r="573" spans="1:9">
      <c r="A573" s="62">
        <v>45655</v>
      </c>
      <c r="B573" s="61" t="s">
        <v>1753</v>
      </c>
      <c r="C573" s="60" t="s">
        <v>1684</v>
      </c>
      <c r="D573" s="60" t="s">
        <v>743</v>
      </c>
      <c r="E573" s="60" t="s">
        <v>1685</v>
      </c>
      <c r="F573" s="75" t="s">
        <v>58</v>
      </c>
      <c r="G573" s="63"/>
      <c r="H573" s="60">
        <v>38500</v>
      </c>
      <c r="I573" s="63"/>
    </row>
    <row r="574" spans="1:9">
      <c r="A574" s="57">
        <v>45388</v>
      </c>
      <c r="B574" s="82" t="s">
        <v>1751</v>
      </c>
      <c r="C574" s="58" t="s">
        <v>80</v>
      </c>
      <c r="D574" s="58" t="s">
        <v>81</v>
      </c>
      <c r="E574" s="58"/>
      <c r="F574" s="58" t="s">
        <v>63</v>
      </c>
      <c r="G574" s="58" t="s">
        <v>59</v>
      </c>
      <c r="H574" s="58">
        <v>33000</v>
      </c>
      <c r="I574" s="58" t="s">
        <v>82</v>
      </c>
    </row>
    <row r="575" spans="1:9">
      <c r="A575" s="57">
        <v>45508</v>
      </c>
      <c r="B575" s="82" t="s">
        <v>1752</v>
      </c>
      <c r="C575" s="60" t="s">
        <v>735</v>
      </c>
      <c r="D575" s="58" t="s">
        <v>736</v>
      </c>
      <c r="E575" s="60" t="s">
        <v>737</v>
      </c>
      <c r="F575" s="75" t="s">
        <v>63</v>
      </c>
      <c r="G575" s="63"/>
      <c r="H575" s="60">
        <v>45500</v>
      </c>
      <c r="I575" s="63"/>
    </row>
    <row r="576" spans="1:9">
      <c r="A576" s="57">
        <v>45510</v>
      </c>
      <c r="B576" s="82" t="s">
        <v>1752</v>
      </c>
      <c r="C576" s="60" t="s">
        <v>746</v>
      </c>
      <c r="D576" s="58" t="s">
        <v>736</v>
      </c>
      <c r="E576" s="60" t="s">
        <v>224</v>
      </c>
      <c r="F576" s="75" t="s">
        <v>58</v>
      </c>
      <c r="G576" s="63"/>
      <c r="H576" s="60">
        <v>55000</v>
      </c>
      <c r="I576" s="63"/>
    </row>
    <row r="577" spans="1:9">
      <c r="A577" s="57">
        <v>45510</v>
      </c>
      <c r="B577" s="82" t="s">
        <v>1752</v>
      </c>
      <c r="C577" s="60" t="s">
        <v>749</v>
      </c>
      <c r="D577" s="58" t="s">
        <v>736</v>
      </c>
      <c r="E577" s="60" t="s">
        <v>750</v>
      </c>
      <c r="F577" s="75" t="s">
        <v>63</v>
      </c>
      <c r="G577" s="63"/>
      <c r="H577" s="60">
        <v>40500</v>
      </c>
      <c r="I577" s="63"/>
    </row>
    <row r="578" spans="1:9">
      <c r="A578" s="57">
        <v>45512</v>
      </c>
      <c r="B578" s="82" t="s">
        <v>1752</v>
      </c>
      <c r="C578" s="60" t="s">
        <v>759</v>
      </c>
      <c r="D578" s="58" t="s">
        <v>736</v>
      </c>
      <c r="E578" s="60" t="s">
        <v>205</v>
      </c>
      <c r="F578" s="75" t="s">
        <v>58</v>
      </c>
      <c r="G578" s="63"/>
      <c r="H578" s="60">
        <v>45000</v>
      </c>
      <c r="I578" s="63"/>
    </row>
    <row r="579" spans="1:9">
      <c r="A579" s="57">
        <v>45515</v>
      </c>
      <c r="B579" s="82" t="s">
        <v>1752</v>
      </c>
      <c r="C579" s="60" t="s">
        <v>788</v>
      </c>
      <c r="D579" s="58" t="s">
        <v>736</v>
      </c>
      <c r="E579" s="60" t="s">
        <v>750</v>
      </c>
      <c r="F579" s="75" t="s">
        <v>63</v>
      </c>
      <c r="G579" s="63"/>
      <c r="H579" s="60">
        <v>8000</v>
      </c>
      <c r="I579" s="63"/>
    </row>
    <row r="580" spans="1:9">
      <c r="A580" s="57">
        <v>45516</v>
      </c>
      <c r="B580" s="82" t="s">
        <v>1752</v>
      </c>
      <c r="C580" s="60" t="s">
        <v>792</v>
      </c>
      <c r="D580" s="58" t="s">
        <v>736</v>
      </c>
      <c r="E580" s="60" t="s">
        <v>793</v>
      </c>
      <c r="F580" s="75" t="s">
        <v>58</v>
      </c>
      <c r="G580" s="63"/>
      <c r="H580" s="60">
        <v>15000</v>
      </c>
      <c r="I580" s="63"/>
    </row>
    <row r="581" spans="1:9">
      <c r="A581" s="57">
        <v>45517</v>
      </c>
      <c r="B581" s="82" t="s">
        <v>1752</v>
      </c>
      <c r="C581" s="60" t="s">
        <v>812</v>
      </c>
      <c r="D581" s="58" t="s">
        <v>736</v>
      </c>
      <c r="E581" s="60" t="s">
        <v>813</v>
      </c>
      <c r="F581" s="75" t="s">
        <v>63</v>
      </c>
      <c r="G581" s="63"/>
      <c r="H581" s="60">
        <v>55500</v>
      </c>
      <c r="I581" s="63"/>
    </row>
    <row r="582" spans="1:9">
      <c r="A582" s="57">
        <v>45519</v>
      </c>
      <c r="B582" s="82" t="s">
        <v>1752</v>
      </c>
      <c r="C582" s="60" t="s">
        <v>204</v>
      </c>
      <c r="D582" s="58" t="s">
        <v>736</v>
      </c>
      <c r="E582" s="60" t="s">
        <v>205</v>
      </c>
      <c r="F582" s="75" t="s">
        <v>63</v>
      </c>
      <c r="G582" s="63"/>
      <c r="H582" s="60">
        <v>150000</v>
      </c>
      <c r="I582" s="63"/>
    </row>
    <row r="583" spans="1:9">
      <c r="A583" s="57">
        <v>45521</v>
      </c>
      <c r="B583" s="82" t="s">
        <v>1752</v>
      </c>
      <c r="C583" s="60" t="s">
        <v>845</v>
      </c>
      <c r="D583" s="58" t="s">
        <v>736</v>
      </c>
      <c r="E583" s="60" t="s">
        <v>846</v>
      </c>
      <c r="F583" s="75" t="s">
        <v>63</v>
      </c>
      <c r="G583" s="63"/>
      <c r="H583" s="60">
        <v>35300</v>
      </c>
      <c r="I583" s="63"/>
    </row>
    <row r="584" spans="1:9">
      <c r="A584" s="57">
        <v>45521</v>
      </c>
      <c r="B584" s="82" t="s">
        <v>1752</v>
      </c>
      <c r="C584" s="60" t="s">
        <v>848</v>
      </c>
      <c r="D584" s="58" t="s">
        <v>736</v>
      </c>
      <c r="E584" s="60" t="s">
        <v>224</v>
      </c>
      <c r="F584" s="75" t="s">
        <v>66</v>
      </c>
      <c r="G584" s="63"/>
      <c r="H584" s="60">
        <v>25000</v>
      </c>
      <c r="I584" s="63"/>
    </row>
    <row r="585" spans="1:9">
      <c r="A585" s="57">
        <v>45521</v>
      </c>
      <c r="B585" s="82" t="s">
        <v>1752</v>
      </c>
      <c r="C585" s="60" t="s">
        <v>852</v>
      </c>
      <c r="D585" s="58" t="s">
        <v>736</v>
      </c>
      <c r="E585" s="60" t="s">
        <v>853</v>
      </c>
      <c r="F585" s="75" t="s">
        <v>63</v>
      </c>
      <c r="G585" s="63"/>
      <c r="H585" s="60">
        <v>63000</v>
      </c>
      <c r="I585" s="63"/>
    </row>
    <row r="586" spans="1:9">
      <c r="A586" s="57">
        <v>45522</v>
      </c>
      <c r="B586" s="82" t="s">
        <v>1752</v>
      </c>
      <c r="C586" s="60" t="s">
        <v>869</v>
      </c>
      <c r="D586" s="58" t="s">
        <v>736</v>
      </c>
      <c r="E586" s="60" t="s">
        <v>750</v>
      </c>
      <c r="F586" s="75" t="s">
        <v>63</v>
      </c>
      <c r="G586" s="63"/>
      <c r="H586" s="60">
        <v>8800</v>
      </c>
      <c r="I586" s="63"/>
    </row>
    <row r="587" spans="1:9">
      <c r="A587" s="57">
        <v>45526</v>
      </c>
      <c r="B587" s="82" t="s">
        <v>1752</v>
      </c>
      <c r="C587" s="60" t="s">
        <v>901</v>
      </c>
      <c r="D587" s="58" t="s">
        <v>736</v>
      </c>
      <c r="E587" s="60" t="s">
        <v>902</v>
      </c>
      <c r="F587" s="75" t="s">
        <v>63</v>
      </c>
      <c r="G587" s="63"/>
      <c r="H587" s="60">
        <v>26000</v>
      </c>
      <c r="I587" s="63"/>
    </row>
    <row r="588" spans="1:9">
      <c r="A588" s="57">
        <v>45528</v>
      </c>
      <c r="B588" s="82" t="s">
        <v>1752</v>
      </c>
      <c r="C588" s="60" t="s">
        <v>913</v>
      </c>
      <c r="D588" s="58" t="s">
        <v>736</v>
      </c>
      <c r="E588" s="60" t="s">
        <v>224</v>
      </c>
      <c r="F588" s="75" t="s">
        <v>63</v>
      </c>
      <c r="G588" s="63"/>
      <c r="H588" s="60">
        <v>45000</v>
      </c>
      <c r="I588" s="63"/>
    </row>
    <row r="589" spans="1:9">
      <c r="A589" s="57">
        <v>45530</v>
      </c>
      <c r="B589" s="82" t="s">
        <v>1752</v>
      </c>
      <c r="C589" s="60" t="s">
        <v>919</v>
      </c>
      <c r="D589" s="58" t="s">
        <v>736</v>
      </c>
      <c r="E589" s="60" t="s">
        <v>846</v>
      </c>
      <c r="F589" s="75" t="s">
        <v>63</v>
      </c>
      <c r="G589" s="63"/>
      <c r="H589" s="60">
        <v>33000</v>
      </c>
      <c r="I589" s="63"/>
    </row>
    <row r="590" spans="1:9">
      <c r="A590" s="61">
        <v>45536</v>
      </c>
      <c r="B590" s="82" t="s">
        <v>1752</v>
      </c>
      <c r="C590" s="60" t="s">
        <v>968</v>
      </c>
      <c r="D590" s="60" t="s">
        <v>736</v>
      </c>
      <c r="E590" s="60" t="s">
        <v>969</v>
      </c>
      <c r="F590" s="75" t="s">
        <v>63</v>
      </c>
      <c r="G590" s="63"/>
      <c r="H590" s="60">
        <v>64000</v>
      </c>
      <c r="I590" s="63"/>
    </row>
    <row r="591" spans="1:9">
      <c r="A591" s="61">
        <v>45536</v>
      </c>
      <c r="B591" s="82" t="s">
        <v>1752</v>
      </c>
      <c r="C591" s="60" t="s">
        <v>971</v>
      </c>
      <c r="D591" s="60" t="s">
        <v>736</v>
      </c>
      <c r="E591" s="60" t="s">
        <v>205</v>
      </c>
      <c r="F591" s="75" t="s">
        <v>58</v>
      </c>
      <c r="G591" s="63"/>
      <c r="H591" s="60">
        <v>43300</v>
      </c>
      <c r="I591" s="63"/>
    </row>
    <row r="592" spans="1:9">
      <c r="A592" s="61">
        <v>45538</v>
      </c>
      <c r="B592" s="82" t="s">
        <v>1752</v>
      </c>
      <c r="C592" s="60" t="s">
        <v>985</v>
      </c>
      <c r="D592" s="60" t="s">
        <v>736</v>
      </c>
      <c r="E592" s="60" t="s">
        <v>224</v>
      </c>
      <c r="F592" s="75" t="s">
        <v>63</v>
      </c>
      <c r="G592" s="63"/>
      <c r="H592" s="60">
        <v>159500</v>
      </c>
      <c r="I592" s="63"/>
    </row>
    <row r="593" spans="1:9">
      <c r="A593" s="61">
        <v>45540</v>
      </c>
      <c r="B593" s="82" t="s">
        <v>1752</v>
      </c>
      <c r="C593" s="60" t="s">
        <v>1010</v>
      </c>
      <c r="D593" s="60" t="s">
        <v>736</v>
      </c>
      <c r="E593" s="60" t="s">
        <v>205</v>
      </c>
      <c r="F593" s="75" t="s">
        <v>63</v>
      </c>
      <c r="G593" s="63"/>
      <c r="H593" s="60">
        <v>72000</v>
      </c>
      <c r="I593" s="63"/>
    </row>
    <row r="594" spans="1:9">
      <c r="A594" s="61">
        <v>45541</v>
      </c>
      <c r="B594" s="82" t="s">
        <v>1752</v>
      </c>
      <c r="C594" s="60" t="s">
        <v>1013</v>
      </c>
      <c r="D594" s="60" t="s">
        <v>736</v>
      </c>
      <c r="E594" s="60" t="s">
        <v>1014</v>
      </c>
      <c r="F594" s="75" t="s">
        <v>66</v>
      </c>
      <c r="G594" s="63"/>
      <c r="H594" s="60">
        <v>39000</v>
      </c>
      <c r="I594" s="63"/>
    </row>
    <row r="595" spans="1:9">
      <c r="A595" s="61">
        <v>45547</v>
      </c>
      <c r="B595" s="82" t="s">
        <v>1752</v>
      </c>
      <c r="C595" s="60" t="s">
        <v>1073</v>
      </c>
      <c r="D595" s="60" t="s">
        <v>736</v>
      </c>
      <c r="E595" s="60" t="s">
        <v>793</v>
      </c>
      <c r="F595" s="75" t="s">
        <v>276</v>
      </c>
      <c r="G595" s="63"/>
      <c r="H595" s="60">
        <v>70000</v>
      </c>
      <c r="I595" s="63"/>
    </row>
    <row r="596" spans="1:9">
      <c r="A596" s="61">
        <v>45549</v>
      </c>
      <c r="B596" s="82" t="s">
        <v>1752</v>
      </c>
      <c r="C596" s="60" t="s">
        <v>1082</v>
      </c>
      <c r="D596" s="60" t="s">
        <v>736</v>
      </c>
      <c r="E596" s="60" t="s">
        <v>902</v>
      </c>
      <c r="F596" s="75" t="s">
        <v>58</v>
      </c>
      <c r="G596" s="63"/>
      <c r="H596" s="60">
        <v>6000</v>
      </c>
      <c r="I596" s="63"/>
    </row>
    <row r="597" spans="1:9">
      <c r="A597" s="61">
        <v>45550</v>
      </c>
      <c r="B597" s="82" t="s">
        <v>1752</v>
      </c>
      <c r="C597" s="60" t="s">
        <v>1095</v>
      </c>
      <c r="D597" s="60" t="s">
        <v>736</v>
      </c>
      <c r="E597" s="60" t="s">
        <v>205</v>
      </c>
      <c r="F597" s="75" t="s">
        <v>63</v>
      </c>
      <c r="G597" s="63"/>
      <c r="H597" s="60">
        <v>65000</v>
      </c>
      <c r="I597" s="63"/>
    </row>
    <row r="598" spans="1:9">
      <c r="A598" s="61">
        <v>45551</v>
      </c>
      <c r="B598" s="82" t="s">
        <v>1752</v>
      </c>
      <c r="C598" s="60" t="s">
        <v>1101</v>
      </c>
      <c r="D598" s="60" t="s">
        <v>736</v>
      </c>
      <c r="E598" s="60" t="s">
        <v>1102</v>
      </c>
      <c r="F598" s="75" t="s">
        <v>58</v>
      </c>
      <c r="G598" s="63"/>
      <c r="H598" s="60">
        <v>30000</v>
      </c>
      <c r="I598" s="63"/>
    </row>
    <row r="599" spans="1:9">
      <c r="A599" s="61">
        <v>45559</v>
      </c>
      <c r="B599" s="82" t="s">
        <v>1752</v>
      </c>
      <c r="C599" s="60" t="s">
        <v>1147</v>
      </c>
      <c r="D599" s="60" t="s">
        <v>736</v>
      </c>
      <c r="E599" s="60" t="s">
        <v>750</v>
      </c>
      <c r="F599" s="75" t="s">
        <v>66</v>
      </c>
      <c r="G599" s="63"/>
      <c r="H599" s="60">
        <v>28000</v>
      </c>
      <c r="I599" s="63"/>
    </row>
    <row r="600" spans="1:9">
      <c r="A600" s="61">
        <v>45565</v>
      </c>
      <c r="B600" s="82" t="s">
        <v>1752</v>
      </c>
      <c r="C600" s="60" t="s">
        <v>1176</v>
      </c>
      <c r="D600" s="60" t="s">
        <v>736</v>
      </c>
      <c r="E600" s="60" t="s">
        <v>1177</v>
      </c>
      <c r="F600" s="75" t="s">
        <v>66</v>
      </c>
      <c r="G600" s="63"/>
      <c r="H600" s="60">
        <v>47000</v>
      </c>
      <c r="I600" s="63"/>
    </row>
    <row r="601" spans="1:9">
      <c r="A601" s="61">
        <v>45570</v>
      </c>
      <c r="B601" s="61" t="s">
        <v>1753</v>
      </c>
      <c r="C601" s="60" t="s">
        <v>1188</v>
      </c>
      <c r="D601" s="60" t="s">
        <v>736</v>
      </c>
      <c r="E601" s="60" t="s">
        <v>1014</v>
      </c>
      <c r="F601" s="75" t="s">
        <v>63</v>
      </c>
      <c r="G601" s="63"/>
      <c r="H601" s="60">
        <v>5800</v>
      </c>
      <c r="I601" s="63"/>
    </row>
    <row r="602" spans="1:9">
      <c r="A602" s="61">
        <v>45572</v>
      </c>
      <c r="B602" s="61" t="s">
        <v>1753</v>
      </c>
      <c r="C602" s="60" t="s">
        <v>1199</v>
      </c>
      <c r="D602" s="60" t="s">
        <v>736</v>
      </c>
      <c r="E602" s="60" t="s">
        <v>1014</v>
      </c>
      <c r="F602" s="75" t="s">
        <v>63</v>
      </c>
      <c r="G602" s="63"/>
      <c r="H602" s="60">
        <v>31000</v>
      </c>
      <c r="I602" s="63"/>
    </row>
    <row r="603" spans="1:9">
      <c r="A603" s="61">
        <v>45572</v>
      </c>
      <c r="B603" s="61" t="s">
        <v>1753</v>
      </c>
      <c r="C603" s="60" t="s">
        <v>1201</v>
      </c>
      <c r="D603" s="60" t="s">
        <v>736</v>
      </c>
      <c r="E603" s="60" t="s">
        <v>224</v>
      </c>
      <c r="F603" s="75" t="s">
        <v>66</v>
      </c>
      <c r="G603" s="63"/>
      <c r="H603" s="60">
        <v>41000</v>
      </c>
      <c r="I603" s="63"/>
    </row>
    <row r="604" spans="1:9">
      <c r="A604" s="61">
        <v>45573</v>
      </c>
      <c r="B604" s="61" t="s">
        <v>1753</v>
      </c>
      <c r="C604" s="60" t="s">
        <v>1222</v>
      </c>
      <c r="D604" s="60" t="s">
        <v>736</v>
      </c>
      <c r="E604" s="60" t="s">
        <v>224</v>
      </c>
      <c r="F604" s="75" t="s">
        <v>63</v>
      </c>
      <c r="G604" s="63"/>
      <c r="H604" s="60">
        <v>46000</v>
      </c>
      <c r="I604" s="63"/>
    </row>
    <row r="605" spans="1:9">
      <c r="A605" s="61">
        <v>45574</v>
      </c>
      <c r="B605" s="61" t="s">
        <v>1753</v>
      </c>
      <c r="C605" s="60" t="s">
        <v>1224</v>
      </c>
      <c r="D605" s="60" t="s">
        <v>736</v>
      </c>
      <c r="E605" s="60" t="s">
        <v>902</v>
      </c>
      <c r="F605" s="75" t="s">
        <v>66</v>
      </c>
      <c r="G605" s="63"/>
      <c r="H605" s="60">
        <v>37300</v>
      </c>
      <c r="I605" s="63"/>
    </row>
    <row r="606" spans="1:9">
      <c r="A606" s="62">
        <v>45577</v>
      </c>
      <c r="B606" s="61" t="s">
        <v>1753</v>
      </c>
      <c r="C606" s="60" t="s">
        <v>1241</v>
      </c>
      <c r="D606" s="60" t="s">
        <v>736</v>
      </c>
      <c r="E606" s="60" t="s">
        <v>224</v>
      </c>
      <c r="F606" s="75" t="s">
        <v>63</v>
      </c>
      <c r="G606" s="63"/>
      <c r="H606" s="60">
        <v>47000</v>
      </c>
      <c r="I606" s="63"/>
    </row>
    <row r="607" spans="1:9">
      <c r="A607" s="62">
        <v>45579</v>
      </c>
      <c r="B607" s="61" t="s">
        <v>1753</v>
      </c>
      <c r="C607" s="60" t="s">
        <v>1256</v>
      </c>
      <c r="D607" s="60" t="s">
        <v>736</v>
      </c>
      <c r="E607" s="60" t="s">
        <v>902</v>
      </c>
      <c r="F607" s="75" t="s">
        <v>66</v>
      </c>
      <c r="G607" s="63"/>
      <c r="H607" s="60">
        <v>34000</v>
      </c>
      <c r="I607" s="63"/>
    </row>
    <row r="608" spans="1:9">
      <c r="A608" s="62">
        <v>45580</v>
      </c>
      <c r="B608" s="61" t="s">
        <v>1753</v>
      </c>
      <c r="C608" s="60" t="s">
        <v>1260</v>
      </c>
      <c r="D608" s="60" t="s">
        <v>736</v>
      </c>
      <c r="E608" s="60" t="s">
        <v>224</v>
      </c>
      <c r="F608" s="75" t="s">
        <v>63</v>
      </c>
      <c r="G608" s="63"/>
      <c r="H608" s="60">
        <v>40000</v>
      </c>
      <c r="I608" s="63"/>
    </row>
    <row r="609" spans="1:9">
      <c r="A609" s="62">
        <v>45581</v>
      </c>
      <c r="B609" s="61" t="s">
        <v>1753</v>
      </c>
      <c r="C609" s="60" t="s">
        <v>1282</v>
      </c>
      <c r="D609" s="60" t="s">
        <v>736</v>
      </c>
      <c r="E609" s="60" t="s">
        <v>1283</v>
      </c>
      <c r="F609" s="75" t="s">
        <v>63</v>
      </c>
      <c r="G609" s="63"/>
      <c r="H609" s="60">
        <v>12000</v>
      </c>
      <c r="I609" s="63"/>
    </row>
    <row r="610" spans="1:9">
      <c r="A610" s="62">
        <v>45581</v>
      </c>
      <c r="B610" s="61" t="s">
        <v>1753</v>
      </c>
      <c r="C610" s="60" t="s">
        <v>1293</v>
      </c>
      <c r="D610" s="60" t="s">
        <v>736</v>
      </c>
      <c r="E610" s="60" t="s">
        <v>1283</v>
      </c>
      <c r="F610" s="75" t="s">
        <v>63</v>
      </c>
      <c r="G610" s="63"/>
      <c r="H610" s="60">
        <v>25000</v>
      </c>
      <c r="I610" s="63"/>
    </row>
    <row r="611" spans="1:9">
      <c r="A611" s="62">
        <v>45582</v>
      </c>
      <c r="B611" s="61" t="s">
        <v>1753</v>
      </c>
      <c r="C611" s="60" t="s">
        <v>1305</v>
      </c>
      <c r="D611" s="60" t="s">
        <v>736</v>
      </c>
      <c r="E611" s="60" t="s">
        <v>750</v>
      </c>
      <c r="F611" s="75" t="s">
        <v>63</v>
      </c>
      <c r="G611" s="63"/>
      <c r="H611" s="60">
        <v>29000</v>
      </c>
      <c r="I611" s="63"/>
    </row>
    <row r="612" spans="1:9">
      <c r="A612" s="62">
        <v>45585</v>
      </c>
      <c r="B612" s="61" t="s">
        <v>1753</v>
      </c>
      <c r="C612" s="60" t="s">
        <v>1315</v>
      </c>
      <c r="D612" s="60" t="s">
        <v>736</v>
      </c>
      <c r="E612" s="60" t="s">
        <v>846</v>
      </c>
      <c r="F612" s="75" t="s">
        <v>63</v>
      </c>
      <c r="G612" s="63"/>
      <c r="H612" s="60">
        <v>13000</v>
      </c>
      <c r="I612" s="63"/>
    </row>
    <row r="613" spans="1:9">
      <c r="A613" s="62">
        <v>45585</v>
      </c>
      <c r="B613" s="61" t="s">
        <v>1753</v>
      </c>
      <c r="C613" s="60" t="s">
        <v>1317</v>
      </c>
      <c r="D613" s="60" t="s">
        <v>736</v>
      </c>
      <c r="E613" s="60" t="s">
        <v>793</v>
      </c>
      <c r="F613" s="75" t="s">
        <v>66</v>
      </c>
      <c r="G613" s="63"/>
      <c r="H613" s="60">
        <v>35000</v>
      </c>
      <c r="I613" s="63"/>
    </row>
    <row r="614" spans="1:9">
      <c r="A614" s="62">
        <v>45585</v>
      </c>
      <c r="B614" s="61" t="s">
        <v>1753</v>
      </c>
      <c r="C614" s="60" t="s">
        <v>1319</v>
      </c>
      <c r="D614" s="60" t="s">
        <v>736</v>
      </c>
      <c r="E614" s="60" t="s">
        <v>750</v>
      </c>
      <c r="F614" s="75" t="s">
        <v>63</v>
      </c>
      <c r="G614" s="63"/>
      <c r="H614" s="60">
        <v>22000</v>
      </c>
      <c r="I614" s="63"/>
    </row>
    <row r="615" spans="1:9">
      <c r="A615" s="62">
        <v>45585</v>
      </c>
      <c r="B615" s="61" t="s">
        <v>1753</v>
      </c>
      <c r="C615" s="60" t="s">
        <v>1321</v>
      </c>
      <c r="D615" s="60" t="s">
        <v>736</v>
      </c>
      <c r="E615" s="60" t="s">
        <v>1322</v>
      </c>
      <c r="F615" s="75" t="s">
        <v>58</v>
      </c>
      <c r="G615" s="63"/>
      <c r="H615" s="60">
        <v>41000</v>
      </c>
      <c r="I615" s="63"/>
    </row>
    <row r="616" spans="1:9">
      <c r="A616" s="62">
        <v>45585</v>
      </c>
      <c r="B616" s="61" t="s">
        <v>1753</v>
      </c>
      <c r="C616" s="60" t="s">
        <v>1324</v>
      </c>
      <c r="D616" s="60" t="s">
        <v>736</v>
      </c>
      <c r="E616" s="60" t="s">
        <v>224</v>
      </c>
      <c r="F616" s="75" t="s">
        <v>66</v>
      </c>
      <c r="G616" s="63"/>
      <c r="H616" s="60">
        <v>15000</v>
      </c>
      <c r="I616" s="63"/>
    </row>
    <row r="617" spans="1:9">
      <c r="A617" s="62">
        <v>45587</v>
      </c>
      <c r="B617" s="61" t="s">
        <v>1753</v>
      </c>
      <c r="C617" s="60" t="s">
        <v>1334</v>
      </c>
      <c r="D617" s="60" t="s">
        <v>736</v>
      </c>
      <c r="E617" s="60" t="s">
        <v>813</v>
      </c>
      <c r="F617" s="75" t="s">
        <v>63</v>
      </c>
      <c r="G617" s="63"/>
      <c r="H617" s="60">
        <v>46500</v>
      </c>
      <c r="I617" s="63"/>
    </row>
    <row r="618" spans="1:9">
      <c r="A618" s="62">
        <v>45588</v>
      </c>
      <c r="B618" s="61" t="s">
        <v>1753</v>
      </c>
      <c r="C618" s="60" t="s">
        <v>1338</v>
      </c>
      <c r="D618" s="60" t="s">
        <v>736</v>
      </c>
      <c r="E618" s="60" t="s">
        <v>1339</v>
      </c>
      <c r="F618" s="75" t="s">
        <v>63</v>
      </c>
      <c r="G618" s="63"/>
      <c r="H618" s="60">
        <v>35000</v>
      </c>
      <c r="I618" s="63"/>
    </row>
    <row r="619" spans="1:9">
      <c r="A619" s="62">
        <v>45589</v>
      </c>
      <c r="B619" s="61" t="s">
        <v>1753</v>
      </c>
      <c r="C619" s="60" t="s">
        <v>1345</v>
      </c>
      <c r="D619" s="60" t="s">
        <v>736</v>
      </c>
      <c r="E619" s="60" t="s">
        <v>1339</v>
      </c>
      <c r="F619" s="75" t="s">
        <v>63</v>
      </c>
      <c r="G619" s="63"/>
      <c r="H619" s="60">
        <v>5800</v>
      </c>
      <c r="I619" s="63"/>
    </row>
    <row r="620" spans="1:9">
      <c r="A620" s="62">
        <v>45589</v>
      </c>
      <c r="B620" s="61" t="s">
        <v>1753</v>
      </c>
      <c r="C620" s="60" t="s">
        <v>1351</v>
      </c>
      <c r="D620" s="60" t="s">
        <v>736</v>
      </c>
      <c r="E620" s="60" t="s">
        <v>1352</v>
      </c>
      <c r="F620" s="75" t="s">
        <v>58</v>
      </c>
      <c r="G620" s="63"/>
      <c r="H620" s="60">
        <v>52000</v>
      </c>
      <c r="I620" s="63"/>
    </row>
    <row r="621" spans="1:9">
      <c r="A621" s="62">
        <v>45590</v>
      </c>
      <c r="B621" s="61" t="s">
        <v>1753</v>
      </c>
      <c r="C621" s="60" t="s">
        <v>1377</v>
      </c>
      <c r="D621" s="60" t="s">
        <v>736</v>
      </c>
      <c r="E621" s="60" t="s">
        <v>224</v>
      </c>
      <c r="F621" s="75" t="s">
        <v>63</v>
      </c>
      <c r="G621" s="63"/>
      <c r="H621" s="60">
        <v>23800</v>
      </c>
      <c r="I621" s="63"/>
    </row>
    <row r="622" spans="1:9">
      <c r="A622" s="61">
        <v>45600</v>
      </c>
      <c r="B622" s="61" t="s">
        <v>1753</v>
      </c>
      <c r="C622" s="60" t="s">
        <v>1415</v>
      </c>
      <c r="D622" s="60" t="s">
        <v>736</v>
      </c>
      <c r="E622" s="60" t="s">
        <v>224</v>
      </c>
      <c r="F622" s="75" t="s">
        <v>58</v>
      </c>
      <c r="G622" s="63"/>
      <c r="H622" s="60">
        <v>58000</v>
      </c>
      <c r="I622" s="63"/>
    </row>
    <row r="623" spans="1:9">
      <c r="A623" s="61">
        <v>45600</v>
      </c>
      <c r="B623" s="61" t="s">
        <v>1753</v>
      </c>
      <c r="C623" s="60" t="s">
        <v>1417</v>
      </c>
      <c r="D623" s="60" t="s">
        <v>736</v>
      </c>
      <c r="E623" s="60" t="s">
        <v>853</v>
      </c>
      <c r="F623" s="75" t="s">
        <v>66</v>
      </c>
      <c r="G623" s="63"/>
      <c r="H623" s="60">
        <v>27000</v>
      </c>
      <c r="I623" s="63"/>
    </row>
    <row r="624" spans="1:9">
      <c r="A624" s="61">
        <v>45601</v>
      </c>
      <c r="B624" s="61" t="s">
        <v>1753</v>
      </c>
      <c r="C624" s="60" t="s">
        <v>1421</v>
      </c>
      <c r="D624" s="60" t="s">
        <v>736</v>
      </c>
      <c r="E624" s="60" t="s">
        <v>1422</v>
      </c>
      <c r="F624" s="75" t="s">
        <v>63</v>
      </c>
      <c r="G624" s="63"/>
      <c r="H624" s="60">
        <v>18500</v>
      </c>
      <c r="I624" s="63"/>
    </row>
    <row r="625" spans="1:9">
      <c r="A625" s="61">
        <v>45601</v>
      </c>
      <c r="B625" s="61" t="s">
        <v>1753</v>
      </c>
      <c r="C625" s="60" t="s">
        <v>1432</v>
      </c>
      <c r="D625" s="60" t="s">
        <v>736</v>
      </c>
      <c r="E625" s="60" t="s">
        <v>750</v>
      </c>
      <c r="F625" s="75" t="s">
        <v>63</v>
      </c>
      <c r="G625" s="63"/>
      <c r="H625" s="60">
        <v>35000</v>
      </c>
      <c r="I625" s="63"/>
    </row>
    <row r="626" spans="1:9">
      <c r="A626" s="61">
        <v>45601</v>
      </c>
      <c r="B626" s="61" t="s">
        <v>1753</v>
      </c>
      <c r="C626" s="60" t="s">
        <v>1434</v>
      </c>
      <c r="D626" s="60" t="s">
        <v>736</v>
      </c>
      <c r="E626" s="60" t="s">
        <v>224</v>
      </c>
      <c r="F626" s="75" t="s">
        <v>63</v>
      </c>
      <c r="G626" s="63"/>
      <c r="H626" s="60">
        <v>58000</v>
      </c>
      <c r="I626" s="63"/>
    </row>
    <row r="627" spans="1:9">
      <c r="A627" s="61">
        <v>45605</v>
      </c>
      <c r="B627" s="61" t="s">
        <v>1753</v>
      </c>
      <c r="C627" s="60" t="s">
        <v>1445</v>
      </c>
      <c r="D627" s="60" t="s">
        <v>736</v>
      </c>
      <c r="E627" s="60" t="s">
        <v>1446</v>
      </c>
      <c r="F627" s="75" t="s">
        <v>63</v>
      </c>
      <c r="G627" s="63"/>
      <c r="H627" s="60">
        <v>28000</v>
      </c>
      <c r="I627" s="63"/>
    </row>
    <row r="628" spans="1:9">
      <c r="A628" s="61">
        <v>45605</v>
      </c>
      <c r="B628" s="61" t="s">
        <v>1753</v>
      </c>
      <c r="C628" s="60" t="s">
        <v>1461</v>
      </c>
      <c r="D628" s="60" t="s">
        <v>736</v>
      </c>
      <c r="E628" s="60" t="s">
        <v>224</v>
      </c>
      <c r="F628" s="75" t="s">
        <v>63</v>
      </c>
      <c r="G628" s="63"/>
      <c r="H628" s="60">
        <v>65000</v>
      </c>
      <c r="I628" s="63"/>
    </row>
    <row r="629" spans="1:9">
      <c r="A629" s="62">
        <v>45610</v>
      </c>
      <c r="B629" s="61" t="s">
        <v>1753</v>
      </c>
      <c r="C629" s="60" t="s">
        <v>1482</v>
      </c>
      <c r="D629" s="60" t="s">
        <v>736</v>
      </c>
      <c r="E629" s="60" t="s">
        <v>1483</v>
      </c>
      <c r="F629" s="75" t="s">
        <v>63</v>
      </c>
      <c r="G629" s="63"/>
      <c r="H629" s="60">
        <v>51000</v>
      </c>
      <c r="I629" s="63"/>
    </row>
    <row r="630" spans="1:9">
      <c r="A630" s="62">
        <v>45617</v>
      </c>
      <c r="B630" s="61" t="s">
        <v>1753</v>
      </c>
      <c r="C630" s="60" t="s">
        <v>1508</v>
      </c>
      <c r="D630" s="60" t="s">
        <v>736</v>
      </c>
      <c r="E630" s="60" t="s">
        <v>224</v>
      </c>
      <c r="F630" s="75" t="s">
        <v>63</v>
      </c>
      <c r="G630" s="63"/>
      <c r="H630" s="60">
        <v>15000</v>
      </c>
      <c r="I630" s="63"/>
    </row>
    <row r="631" spans="1:9">
      <c r="A631" s="62">
        <v>45619</v>
      </c>
      <c r="B631" s="61" t="s">
        <v>1753</v>
      </c>
      <c r="C631" s="60" t="s">
        <v>1516</v>
      </c>
      <c r="D631" s="60" t="s">
        <v>736</v>
      </c>
      <c r="E631" s="60" t="s">
        <v>205</v>
      </c>
      <c r="F631" s="75" t="s">
        <v>63</v>
      </c>
      <c r="G631" s="63"/>
      <c r="H631" s="60">
        <v>44000</v>
      </c>
      <c r="I631" s="63"/>
    </row>
    <row r="632" spans="1:9">
      <c r="A632" s="62">
        <v>45621</v>
      </c>
      <c r="B632" s="61" t="s">
        <v>1753</v>
      </c>
      <c r="C632" s="60" t="s">
        <v>1525</v>
      </c>
      <c r="D632" s="60" t="s">
        <v>736</v>
      </c>
      <c r="E632" s="60" t="s">
        <v>750</v>
      </c>
      <c r="F632" s="75" t="s">
        <v>63</v>
      </c>
      <c r="G632" s="63"/>
      <c r="H632" s="60">
        <v>25000</v>
      </c>
      <c r="I632" s="63"/>
    </row>
    <row r="633" spans="1:9">
      <c r="A633" s="61">
        <v>45627</v>
      </c>
      <c r="B633" s="61" t="s">
        <v>1753</v>
      </c>
      <c r="C633" s="60" t="s">
        <v>1553</v>
      </c>
      <c r="D633" s="60" t="s">
        <v>736</v>
      </c>
      <c r="E633" s="60" t="s">
        <v>1554</v>
      </c>
      <c r="F633" s="75" t="s">
        <v>63</v>
      </c>
      <c r="G633" s="63"/>
      <c r="H633" s="60">
        <v>25000</v>
      </c>
      <c r="I633" s="63"/>
    </row>
    <row r="634" spans="1:9">
      <c r="A634" s="61">
        <v>45629</v>
      </c>
      <c r="B634" s="61" t="s">
        <v>1753</v>
      </c>
      <c r="C634" s="60" t="s">
        <v>1568</v>
      </c>
      <c r="D634" s="60" t="s">
        <v>736</v>
      </c>
      <c r="E634" s="60" t="s">
        <v>1322</v>
      </c>
      <c r="F634" s="75" t="s">
        <v>63</v>
      </c>
      <c r="G634" s="63"/>
      <c r="H634" s="60">
        <v>34500</v>
      </c>
      <c r="I634" s="63"/>
    </row>
    <row r="635" spans="1:9">
      <c r="A635" s="61">
        <v>45633</v>
      </c>
      <c r="B635" s="61" t="s">
        <v>1753</v>
      </c>
      <c r="C635" s="60" t="s">
        <v>1582</v>
      </c>
      <c r="D635" s="60" t="s">
        <v>736</v>
      </c>
      <c r="E635" s="60" t="s">
        <v>750</v>
      </c>
      <c r="F635" s="75" t="s">
        <v>63</v>
      </c>
      <c r="G635" s="63"/>
      <c r="H635" s="60">
        <v>17500</v>
      </c>
      <c r="I635" s="63"/>
    </row>
    <row r="636" spans="1:9">
      <c r="A636" s="61">
        <v>45633</v>
      </c>
      <c r="B636" s="61" t="s">
        <v>1753</v>
      </c>
      <c r="C636" s="60" t="s">
        <v>1586</v>
      </c>
      <c r="D636" s="60" t="s">
        <v>736</v>
      </c>
      <c r="E636" s="60" t="s">
        <v>853</v>
      </c>
      <c r="F636" s="75" t="s">
        <v>66</v>
      </c>
      <c r="G636" s="63"/>
      <c r="H636" s="60">
        <v>80000</v>
      </c>
      <c r="I636" s="63"/>
    </row>
    <row r="637" spans="1:9">
      <c r="A637" s="61">
        <v>45633</v>
      </c>
      <c r="B637" s="61" t="s">
        <v>1753</v>
      </c>
      <c r="C637" s="60" t="s">
        <v>1597</v>
      </c>
      <c r="D637" s="60" t="s">
        <v>736</v>
      </c>
      <c r="E637" s="60" t="s">
        <v>224</v>
      </c>
      <c r="F637" s="75" t="s">
        <v>66</v>
      </c>
      <c r="G637" s="63"/>
      <c r="H637" s="60">
        <v>39100</v>
      </c>
      <c r="I637" s="63"/>
    </row>
    <row r="638" spans="1:9">
      <c r="A638" s="62">
        <v>45639</v>
      </c>
      <c r="B638" s="61" t="s">
        <v>1753</v>
      </c>
      <c r="C638" s="60" t="s">
        <v>1612</v>
      </c>
      <c r="D638" s="60" t="s">
        <v>736</v>
      </c>
      <c r="E638" s="60" t="s">
        <v>1177</v>
      </c>
      <c r="F638" s="75" t="s">
        <v>63</v>
      </c>
      <c r="G638" s="63"/>
      <c r="H638" s="60">
        <v>32500</v>
      </c>
      <c r="I638" s="63"/>
    </row>
    <row r="639" spans="1:9">
      <c r="A639" s="62">
        <v>45640</v>
      </c>
      <c r="B639" s="61" t="s">
        <v>1753</v>
      </c>
      <c r="C639" s="60" t="s">
        <v>1619</v>
      </c>
      <c r="D639" s="60" t="s">
        <v>736</v>
      </c>
      <c r="E639" s="60" t="s">
        <v>750</v>
      </c>
      <c r="F639" s="75" t="s">
        <v>66</v>
      </c>
      <c r="G639" s="63"/>
      <c r="H639" s="60">
        <v>22000</v>
      </c>
      <c r="I639" s="63"/>
    </row>
    <row r="640" spans="1:9">
      <c r="A640" s="62">
        <v>45642</v>
      </c>
      <c r="B640" s="61" t="s">
        <v>1753</v>
      </c>
      <c r="C640" s="60" t="s">
        <v>1624</v>
      </c>
      <c r="D640" s="60" t="s">
        <v>736</v>
      </c>
      <c r="E640" s="60" t="s">
        <v>224</v>
      </c>
      <c r="F640" s="75" t="s">
        <v>63</v>
      </c>
      <c r="G640" s="63"/>
      <c r="H640" s="60">
        <v>14560</v>
      </c>
      <c r="I640" s="63"/>
    </row>
    <row r="641" spans="1:9">
      <c r="A641" s="62">
        <v>45644</v>
      </c>
      <c r="B641" s="61" t="s">
        <v>1753</v>
      </c>
      <c r="C641" s="60" t="s">
        <v>1651</v>
      </c>
      <c r="D641" s="60" t="s">
        <v>736</v>
      </c>
      <c r="E641" s="60" t="s">
        <v>205</v>
      </c>
      <c r="F641" s="75" t="s">
        <v>63</v>
      </c>
      <c r="G641" s="63"/>
      <c r="H641" s="60">
        <v>18000</v>
      </c>
      <c r="I641" s="63"/>
    </row>
    <row r="642" spans="1:9">
      <c r="A642" s="62">
        <v>45653</v>
      </c>
      <c r="B642" s="61" t="s">
        <v>1753</v>
      </c>
      <c r="C642" s="60" t="s">
        <v>1672</v>
      </c>
      <c r="D642" s="60" t="s">
        <v>736</v>
      </c>
      <c r="E642" s="60" t="s">
        <v>1673</v>
      </c>
      <c r="F642" s="75" t="s">
        <v>63</v>
      </c>
      <c r="G642" s="63"/>
      <c r="H642" s="60">
        <v>125000</v>
      </c>
      <c r="I642" s="63"/>
    </row>
    <row r="643" spans="1:9">
      <c r="A643" s="62">
        <v>45653</v>
      </c>
      <c r="B643" s="61" t="s">
        <v>1753</v>
      </c>
      <c r="C643" s="60" t="s">
        <v>1675</v>
      </c>
      <c r="D643" s="60" t="s">
        <v>736</v>
      </c>
      <c r="E643" s="60" t="s">
        <v>224</v>
      </c>
      <c r="F643" s="75" t="s">
        <v>66</v>
      </c>
      <c r="G643" s="63"/>
      <c r="H643" s="60">
        <v>4000</v>
      </c>
      <c r="I643" s="63"/>
    </row>
    <row r="644" spans="1:9">
      <c r="A644" s="57">
        <v>45390</v>
      </c>
      <c r="B644" s="82" t="s">
        <v>1751</v>
      </c>
      <c r="C644" s="58" t="s">
        <v>83</v>
      </c>
      <c r="D644" s="58" t="s">
        <v>84</v>
      </c>
      <c r="E644" s="58"/>
      <c r="F644" s="58" t="s">
        <v>66</v>
      </c>
      <c r="G644" s="58" t="s">
        <v>59</v>
      </c>
      <c r="H644" s="58">
        <v>20500</v>
      </c>
      <c r="I644" s="58" t="s">
        <v>85</v>
      </c>
    </row>
    <row r="645" spans="1:9">
      <c r="A645" s="57">
        <v>45398</v>
      </c>
      <c r="B645" s="82" t="s">
        <v>1751</v>
      </c>
      <c r="C645" s="58" t="s">
        <v>118</v>
      </c>
      <c r="D645" s="58" t="s">
        <v>84</v>
      </c>
      <c r="E645" s="58"/>
      <c r="F645" s="58" t="s">
        <v>63</v>
      </c>
      <c r="G645" s="58" t="s">
        <v>59</v>
      </c>
      <c r="H645" s="58">
        <v>36000</v>
      </c>
      <c r="I645" s="58" t="s">
        <v>119</v>
      </c>
    </row>
    <row r="646" spans="1:9">
      <c r="A646" s="57">
        <v>45453</v>
      </c>
      <c r="B646" s="82" t="s">
        <v>1751</v>
      </c>
      <c r="C646" s="58" t="s">
        <v>411</v>
      </c>
      <c r="D646" s="58" t="s">
        <v>84</v>
      </c>
      <c r="E646" s="58"/>
      <c r="F646" s="58" t="s">
        <v>63</v>
      </c>
      <c r="G646" s="58" t="s">
        <v>59</v>
      </c>
      <c r="H646" s="58">
        <v>25000</v>
      </c>
      <c r="I646" s="58" t="s">
        <v>412</v>
      </c>
    </row>
    <row r="647" spans="1:9">
      <c r="A647" s="57">
        <v>45494</v>
      </c>
      <c r="B647" s="82" t="s">
        <v>1752</v>
      </c>
      <c r="C647" s="58" t="s">
        <v>646</v>
      </c>
      <c r="D647" s="58" t="s">
        <v>84</v>
      </c>
      <c r="E647" s="58"/>
      <c r="F647" s="58" t="s">
        <v>63</v>
      </c>
      <c r="G647" s="58" t="s">
        <v>59</v>
      </c>
      <c r="H647" s="58">
        <v>70000</v>
      </c>
      <c r="I647" s="58" t="s">
        <v>647</v>
      </c>
    </row>
    <row r="648" spans="1:9">
      <c r="A648" s="57">
        <v>45408</v>
      </c>
      <c r="B648" s="82" t="s">
        <v>1751</v>
      </c>
      <c r="C648" s="73" t="s">
        <v>184</v>
      </c>
      <c r="D648" s="73" t="s">
        <v>185</v>
      </c>
      <c r="E648" s="73"/>
      <c r="F648" s="58" t="s">
        <v>63</v>
      </c>
      <c r="G648" s="58"/>
      <c r="H648" s="73">
        <v>16000</v>
      </c>
      <c r="I648" s="63" t="s">
        <v>186</v>
      </c>
    </row>
    <row r="649" spans="1:9">
      <c r="A649" s="57">
        <v>45453</v>
      </c>
      <c r="B649" s="82" t="s">
        <v>1751</v>
      </c>
      <c r="C649" s="58" t="s">
        <v>409</v>
      </c>
      <c r="D649" s="58" t="s">
        <v>185</v>
      </c>
      <c r="E649" s="58"/>
      <c r="F649" s="58" t="s">
        <v>63</v>
      </c>
      <c r="G649" s="58" t="s">
        <v>59</v>
      </c>
      <c r="H649" s="58">
        <v>42000</v>
      </c>
      <c r="I649" s="58" t="s">
        <v>410</v>
      </c>
    </row>
    <row r="650" spans="1:9">
      <c r="A650" s="57">
        <v>45470</v>
      </c>
      <c r="B650" s="82" t="s">
        <v>1751</v>
      </c>
      <c r="C650" s="58" t="s">
        <v>504</v>
      </c>
      <c r="D650" s="58" t="s">
        <v>505</v>
      </c>
      <c r="E650" s="58"/>
      <c r="F650" s="58" t="s">
        <v>63</v>
      </c>
      <c r="G650" s="58" t="s">
        <v>192</v>
      </c>
      <c r="H650" s="58">
        <v>88000</v>
      </c>
      <c r="I650" s="58" t="s">
        <v>506</v>
      </c>
    </row>
    <row r="651" spans="1:9">
      <c r="A651" s="57">
        <v>45485</v>
      </c>
      <c r="B651" s="82" t="s">
        <v>1752</v>
      </c>
      <c r="C651" s="58" t="s">
        <v>598</v>
      </c>
      <c r="D651" s="58" t="s">
        <v>599</v>
      </c>
      <c r="E651" s="58"/>
      <c r="F651" s="58" t="s">
        <v>63</v>
      </c>
      <c r="G651" s="58" t="s">
        <v>59</v>
      </c>
      <c r="H651" s="58">
        <v>90000</v>
      </c>
      <c r="I651" s="58" t="s">
        <v>600</v>
      </c>
    </row>
    <row r="652" spans="1:9">
      <c r="A652" s="57">
        <v>45398</v>
      </c>
      <c r="B652" s="82" t="s">
        <v>1751</v>
      </c>
      <c r="C652" s="73" t="s">
        <v>166</v>
      </c>
      <c r="D652" s="73" t="s">
        <v>167</v>
      </c>
      <c r="E652" s="73"/>
      <c r="F652" s="58" t="s">
        <v>63</v>
      </c>
      <c r="G652" s="58"/>
      <c r="H652" s="73">
        <v>30000</v>
      </c>
      <c r="I652" s="63" t="s">
        <v>168</v>
      </c>
    </row>
    <row r="653" spans="1:9">
      <c r="A653" s="57">
        <v>45426</v>
      </c>
      <c r="B653" s="82" t="s">
        <v>1751</v>
      </c>
      <c r="C653" s="58" t="s">
        <v>264</v>
      </c>
      <c r="D653" s="58" t="s">
        <v>167</v>
      </c>
      <c r="E653" s="58"/>
      <c r="F653" s="58" t="s">
        <v>63</v>
      </c>
      <c r="G653" s="58" t="s">
        <v>59</v>
      </c>
      <c r="H653" s="58">
        <v>32000</v>
      </c>
      <c r="I653" s="58" t="s">
        <v>265</v>
      </c>
    </row>
    <row r="654" spans="1:9">
      <c r="A654" s="57">
        <v>45502</v>
      </c>
      <c r="B654" s="82" t="s">
        <v>1752</v>
      </c>
      <c r="C654" s="58" t="s">
        <v>702</v>
      </c>
      <c r="D654" s="58" t="s">
        <v>167</v>
      </c>
      <c r="E654" s="58"/>
      <c r="F654" s="58" t="s">
        <v>63</v>
      </c>
      <c r="G654" s="58" t="s">
        <v>59</v>
      </c>
      <c r="H654" s="58">
        <v>185000</v>
      </c>
      <c r="I654" s="58" t="s">
        <v>703</v>
      </c>
    </row>
    <row r="655" spans="1:9">
      <c r="A655" s="57">
        <v>45496</v>
      </c>
      <c r="B655" s="82" t="s">
        <v>1752</v>
      </c>
      <c r="C655" s="58" t="s">
        <v>670</v>
      </c>
      <c r="D655" s="58" t="s">
        <v>671</v>
      </c>
      <c r="E655" s="58"/>
      <c r="F655" s="58" t="s">
        <v>63</v>
      </c>
      <c r="G655" s="58" t="s">
        <v>59</v>
      </c>
      <c r="H655" s="58">
        <v>135000</v>
      </c>
      <c r="I655" s="58" t="s">
        <v>672</v>
      </c>
    </row>
    <row r="656" spans="1:9">
      <c r="A656" s="57">
        <v>45396</v>
      </c>
      <c r="B656" s="82" t="s">
        <v>1751</v>
      </c>
      <c r="C656" s="58" t="s">
        <v>108</v>
      </c>
      <c r="D656" s="81" t="s">
        <v>1745</v>
      </c>
      <c r="E656" s="58" t="s">
        <v>109</v>
      </c>
      <c r="F656" s="58" t="s">
        <v>66</v>
      </c>
      <c r="G656" s="58" t="s">
        <v>59</v>
      </c>
      <c r="H656" s="58">
        <v>28000</v>
      </c>
      <c r="I656" s="58" t="s">
        <v>110</v>
      </c>
    </row>
    <row r="657" spans="1:9">
      <c r="A657" s="57">
        <v>45504</v>
      </c>
      <c r="B657" s="82" t="s">
        <v>1752</v>
      </c>
      <c r="C657" s="58" t="s">
        <v>708</v>
      </c>
      <c r="D657" s="81" t="s">
        <v>1745</v>
      </c>
      <c r="E657" s="58" t="s">
        <v>109</v>
      </c>
      <c r="F657" s="58" t="s">
        <v>58</v>
      </c>
      <c r="G657" s="58"/>
      <c r="H657" s="58">
        <v>33500</v>
      </c>
      <c r="I657" s="58" t="s">
        <v>709</v>
      </c>
    </row>
    <row r="658" spans="1:9">
      <c r="A658" s="57">
        <v>45426</v>
      </c>
      <c r="B658" s="82" t="s">
        <v>1751</v>
      </c>
      <c r="C658" s="58" t="s">
        <v>268</v>
      </c>
      <c r="D658" s="81" t="s">
        <v>1745</v>
      </c>
      <c r="E658" s="58" t="s">
        <v>269</v>
      </c>
      <c r="F658" s="58" t="s">
        <v>63</v>
      </c>
      <c r="G658" s="58" t="s">
        <v>192</v>
      </c>
      <c r="H658" s="58">
        <v>20000</v>
      </c>
      <c r="I658" s="58" t="s">
        <v>270</v>
      </c>
    </row>
    <row r="659" spans="1:9">
      <c r="A659" s="57">
        <v>45482</v>
      </c>
      <c r="B659" s="82" t="s">
        <v>1752</v>
      </c>
      <c r="C659" s="58" t="s">
        <v>583</v>
      </c>
      <c r="D659" s="81" t="s">
        <v>1745</v>
      </c>
      <c r="E659" s="58" t="s">
        <v>584</v>
      </c>
      <c r="F659" s="58" t="s">
        <v>58</v>
      </c>
      <c r="G659" s="58"/>
      <c r="H659" s="58">
        <v>177000</v>
      </c>
      <c r="I659" s="58" t="s">
        <v>585</v>
      </c>
    </row>
    <row r="660" spans="1:9">
      <c r="A660" s="57">
        <v>45511</v>
      </c>
      <c r="B660" s="82" t="s">
        <v>1752</v>
      </c>
      <c r="C660" s="60" t="s">
        <v>754</v>
      </c>
      <c r="D660" s="58" t="s">
        <v>755</v>
      </c>
      <c r="E660" s="60" t="s">
        <v>756</v>
      </c>
      <c r="F660" s="75" t="s">
        <v>63</v>
      </c>
      <c r="G660" s="63"/>
      <c r="H660" s="60">
        <v>20000</v>
      </c>
      <c r="I660" s="63"/>
    </row>
    <row r="661" spans="1:9">
      <c r="A661" s="57">
        <v>45521</v>
      </c>
      <c r="B661" s="82" t="s">
        <v>1752</v>
      </c>
      <c r="C661" s="60" t="s">
        <v>850</v>
      </c>
      <c r="D661" s="58" t="s">
        <v>755</v>
      </c>
      <c r="E661" s="60" t="s">
        <v>499</v>
      </c>
      <c r="F661" s="75" t="s">
        <v>58</v>
      </c>
      <c r="G661" s="63"/>
      <c r="H661" s="60">
        <v>102000</v>
      </c>
      <c r="I661" s="63"/>
    </row>
    <row r="662" spans="1:9">
      <c r="A662" s="57">
        <v>45522</v>
      </c>
      <c r="B662" s="82" t="s">
        <v>1752</v>
      </c>
      <c r="C662" s="60" t="s">
        <v>861</v>
      </c>
      <c r="D662" s="58" t="s">
        <v>755</v>
      </c>
      <c r="E662" s="60" t="s">
        <v>862</v>
      </c>
      <c r="F662" s="75" t="s">
        <v>63</v>
      </c>
      <c r="G662" s="63"/>
      <c r="H662" s="60">
        <v>38000</v>
      </c>
      <c r="I662" s="63"/>
    </row>
    <row r="663" spans="1:9">
      <c r="A663" s="57">
        <v>45524</v>
      </c>
      <c r="B663" s="82" t="s">
        <v>1752</v>
      </c>
      <c r="C663" s="60" t="s">
        <v>885</v>
      </c>
      <c r="D663" s="58" t="s">
        <v>755</v>
      </c>
      <c r="E663" s="60" t="s">
        <v>886</v>
      </c>
      <c r="F663" s="75" t="s">
        <v>63</v>
      </c>
      <c r="G663" s="63"/>
      <c r="H663" s="60">
        <v>27200</v>
      </c>
      <c r="I663" s="63"/>
    </row>
    <row r="664" spans="1:9">
      <c r="A664" s="57">
        <v>45533</v>
      </c>
      <c r="B664" s="82" t="s">
        <v>1752</v>
      </c>
      <c r="C664" s="60" t="s">
        <v>939</v>
      </c>
      <c r="D664" s="58" t="s">
        <v>755</v>
      </c>
      <c r="E664" s="60" t="s">
        <v>940</v>
      </c>
      <c r="F664" s="75" t="s">
        <v>66</v>
      </c>
      <c r="G664" s="63"/>
      <c r="H664" s="60">
        <v>56000</v>
      </c>
      <c r="I664" s="63"/>
    </row>
    <row r="665" spans="1:9">
      <c r="A665" s="57">
        <v>45533</v>
      </c>
      <c r="B665" s="82" t="s">
        <v>1752</v>
      </c>
      <c r="C665" s="60" t="s">
        <v>942</v>
      </c>
      <c r="D665" s="58" t="s">
        <v>755</v>
      </c>
      <c r="E665" s="60" t="s">
        <v>943</v>
      </c>
      <c r="F665" s="75" t="s">
        <v>58</v>
      </c>
      <c r="G665" s="63"/>
      <c r="H665" s="60">
        <v>41800</v>
      </c>
      <c r="I665" s="63"/>
    </row>
    <row r="666" spans="1:9">
      <c r="A666" s="61">
        <v>45544</v>
      </c>
      <c r="B666" s="82" t="s">
        <v>1752</v>
      </c>
      <c r="C666" s="60" t="s">
        <v>1043</v>
      </c>
      <c r="D666" s="60" t="s">
        <v>755</v>
      </c>
      <c r="E666" s="60" t="s">
        <v>1044</v>
      </c>
      <c r="F666" s="75" t="s">
        <v>63</v>
      </c>
      <c r="G666" s="63"/>
      <c r="H666" s="60">
        <v>15000</v>
      </c>
      <c r="I666" s="63"/>
    </row>
    <row r="667" spans="1:9">
      <c r="A667" s="61">
        <v>45545</v>
      </c>
      <c r="B667" s="82" t="s">
        <v>1752</v>
      </c>
      <c r="C667" s="60" t="s">
        <v>1045</v>
      </c>
      <c r="D667" s="60" t="s">
        <v>755</v>
      </c>
      <c r="E667" s="60" t="s">
        <v>1046</v>
      </c>
      <c r="F667" s="75" t="s">
        <v>63</v>
      </c>
      <c r="G667" s="63"/>
      <c r="H667" s="60">
        <v>22000</v>
      </c>
      <c r="I667" s="63"/>
    </row>
    <row r="668" spans="1:9">
      <c r="A668" s="61">
        <v>45547</v>
      </c>
      <c r="B668" s="82" t="s">
        <v>1752</v>
      </c>
      <c r="C668" s="60" t="s">
        <v>1058</v>
      </c>
      <c r="D668" s="60" t="s">
        <v>755</v>
      </c>
      <c r="E668" s="60" t="s">
        <v>439</v>
      </c>
      <c r="F668" s="75" t="s">
        <v>276</v>
      </c>
      <c r="G668" s="63"/>
      <c r="H668" s="60">
        <v>159500</v>
      </c>
      <c r="I668" s="63"/>
    </row>
    <row r="669" spans="1:9">
      <c r="A669" s="61">
        <v>45561</v>
      </c>
      <c r="B669" s="82" t="s">
        <v>1752</v>
      </c>
      <c r="C669" s="60" t="s">
        <v>1153</v>
      </c>
      <c r="D669" s="60" t="s">
        <v>755</v>
      </c>
      <c r="E669" s="60" t="s">
        <v>1154</v>
      </c>
      <c r="F669" s="75" t="s">
        <v>63</v>
      </c>
      <c r="G669" s="63"/>
      <c r="H669" s="60">
        <v>70000</v>
      </c>
      <c r="I669" s="63"/>
    </row>
    <row r="670" spans="1:9">
      <c r="A670" s="61">
        <v>45573</v>
      </c>
      <c r="B670" s="61" t="s">
        <v>1753</v>
      </c>
      <c r="C670" s="60" t="s">
        <v>1213</v>
      </c>
      <c r="D670" s="60" t="s">
        <v>755</v>
      </c>
      <c r="E670" s="60" t="s">
        <v>1214</v>
      </c>
      <c r="F670" s="75" t="s">
        <v>63</v>
      </c>
      <c r="G670" s="63"/>
      <c r="H670" s="60">
        <v>193000</v>
      </c>
      <c r="I670" s="63"/>
    </row>
    <row r="671" spans="1:9">
      <c r="A671" s="61">
        <v>45573</v>
      </c>
      <c r="B671" s="61" t="s">
        <v>1753</v>
      </c>
      <c r="C671" s="60" t="s">
        <v>1216</v>
      </c>
      <c r="D671" s="60" t="s">
        <v>755</v>
      </c>
      <c r="E671" s="60" t="s">
        <v>862</v>
      </c>
      <c r="F671" s="75" t="s">
        <v>63</v>
      </c>
      <c r="G671" s="63"/>
      <c r="H671" s="60">
        <v>23800</v>
      </c>
      <c r="I671" s="63"/>
    </row>
    <row r="672" spans="1:9">
      <c r="A672" s="62">
        <v>45575</v>
      </c>
      <c r="B672" s="61" t="s">
        <v>1753</v>
      </c>
      <c r="C672" s="60" t="s">
        <v>1226</v>
      </c>
      <c r="D672" s="60" t="s">
        <v>755</v>
      </c>
      <c r="E672" s="60" t="s">
        <v>1227</v>
      </c>
      <c r="F672" s="75" t="s">
        <v>63</v>
      </c>
      <c r="G672" s="63"/>
      <c r="H672" s="60">
        <v>40000</v>
      </c>
      <c r="I672" s="63"/>
    </row>
    <row r="673" spans="1:9">
      <c r="A673" s="62">
        <v>45576</v>
      </c>
      <c r="B673" s="61" t="s">
        <v>1753</v>
      </c>
      <c r="C673" s="60" t="s">
        <v>1239</v>
      </c>
      <c r="D673" s="60" t="s">
        <v>755</v>
      </c>
      <c r="E673" s="60" t="s">
        <v>886</v>
      </c>
      <c r="F673" s="75" t="s">
        <v>66</v>
      </c>
      <c r="G673" s="63"/>
      <c r="H673" s="60">
        <v>25000</v>
      </c>
      <c r="I673" s="63"/>
    </row>
    <row r="674" spans="1:9">
      <c r="A674" s="62">
        <v>45589</v>
      </c>
      <c r="B674" s="61" t="s">
        <v>1753</v>
      </c>
      <c r="C674" s="60" t="s">
        <v>1347</v>
      </c>
      <c r="D674" s="60" t="s">
        <v>755</v>
      </c>
      <c r="E674" s="60" t="s">
        <v>940</v>
      </c>
      <c r="F674" s="75" t="s">
        <v>63</v>
      </c>
      <c r="G674" s="63"/>
      <c r="H674" s="60">
        <v>29500</v>
      </c>
      <c r="I674" s="63"/>
    </row>
    <row r="675" spans="1:9">
      <c r="A675" s="62">
        <v>45590</v>
      </c>
      <c r="B675" s="61" t="s">
        <v>1753</v>
      </c>
      <c r="C675" s="60" t="s">
        <v>1369</v>
      </c>
      <c r="D675" s="60" t="s">
        <v>755</v>
      </c>
      <c r="E675" s="60" t="s">
        <v>943</v>
      </c>
      <c r="F675" s="75" t="s">
        <v>63</v>
      </c>
      <c r="G675" s="63"/>
      <c r="H675" s="60">
        <v>100000</v>
      </c>
      <c r="I675" s="63"/>
    </row>
    <row r="676" spans="1:9">
      <c r="A676" s="61">
        <v>45598</v>
      </c>
      <c r="B676" s="61" t="s">
        <v>1753</v>
      </c>
      <c r="C676" s="60" t="s">
        <v>1408</v>
      </c>
      <c r="D676" s="60" t="s">
        <v>755</v>
      </c>
      <c r="E676" s="60" t="s">
        <v>940</v>
      </c>
      <c r="F676" s="75" t="s">
        <v>66</v>
      </c>
      <c r="G676" s="63"/>
      <c r="H676" s="60">
        <v>35000</v>
      </c>
      <c r="I676" s="63"/>
    </row>
    <row r="677" spans="1:9">
      <c r="A677" s="61">
        <v>45601</v>
      </c>
      <c r="B677" s="61" t="s">
        <v>1753</v>
      </c>
      <c r="C677" s="60" t="s">
        <v>1430</v>
      </c>
      <c r="D677" s="60" t="s">
        <v>755</v>
      </c>
      <c r="E677" s="60" t="s">
        <v>862</v>
      </c>
      <c r="F677" s="75" t="s">
        <v>63</v>
      </c>
      <c r="G677" s="63"/>
      <c r="H677" s="60">
        <v>30500</v>
      </c>
      <c r="I677" s="63"/>
    </row>
    <row r="678" spans="1:9">
      <c r="A678" s="62">
        <v>45615</v>
      </c>
      <c r="B678" s="61" t="s">
        <v>1753</v>
      </c>
      <c r="C678" s="60" t="s">
        <v>1505</v>
      </c>
      <c r="D678" s="60" t="s">
        <v>755</v>
      </c>
      <c r="E678" s="60" t="s">
        <v>1506</v>
      </c>
      <c r="F678" s="75" t="s">
        <v>58</v>
      </c>
      <c r="G678" s="63"/>
      <c r="H678" s="60">
        <v>130000</v>
      </c>
      <c r="I678" s="63"/>
    </row>
    <row r="679" spans="1:9">
      <c r="A679" s="62">
        <v>45620</v>
      </c>
      <c r="B679" s="61" t="s">
        <v>1753</v>
      </c>
      <c r="C679" s="60" t="s">
        <v>1523</v>
      </c>
      <c r="D679" s="60" t="s">
        <v>755</v>
      </c>
      <c r="E679" s="60" t="s">
        <v>943</v>
      </c>
      <c r="F679" s="75" t="s">
        <v>58</v>
      </c>
      <c r="G679" s="63"/>
      <c r="H679" s="60">
        <v>30000</v>
      </c>
      <c r="I679" s="63"/>
    </row>
    <row r="680" spans="1:9">
      <c r="A680" s="62">
        <v>45626</v>
      </c>
      <c r="B680" s="61" t="s">
        <v>1753</v>
      </c>
      <c r="C680" s="60" t="s">
        <v>1536</v>
      </c>
      <c r="D680" s="60" t="s">
        <v>755</v>
      </c>
      <c r="E680" s="60" t="s">
        <v>886</v>
      </c>
      <c r="F680" s="75" t="s">
        <v>63</v>
      </c>
      <c r="G680" s="63"/>
      <c r="H680" s="60">
        <v>15000</v>
      </c>
      <c r="I680" s="63"/>
    </row>
    <row r="681" spans="1:9">
      <c r="A681" s="61">
        <v>45627</v>
      </c>
      <c r="B681" s="61" t="s">
        <v>1753</v>
      </c>
      <c r="C681" s="60" t="s">
        <v>1558</v>
      </c>
      <c r="D681" s="60" t="s">
        <v>755</v>
      </c>
      <c r="E681" s="60" t="s">
        <v>943</v>
      </c>
      <c r="F681" s="75" t="s">
        <v>63</v>
      </c>
      <c r="G681" s="63"/>
      <c r="H681" s="60">
        <v>145000</v>
      </c>
      <c r="I681" s="63"/>
    </row>
    <row r="682" spans="1:9">
      <c r="A682" s="61">
        <v>45633</v>
      </c>
      <c r="B682" s="61" t="s">
        <v>1753</v>
      </c>
      <c r="C682" s="60" t="s">
        <v>1590</v>
      </c>
      <c r="D682" s="60" t="s">
        <v>755</v>
      </c>
      <c r="E682" s="60" t="s">
        <v>943</v>
      </c>
      <c r="F682" s="75" t="s">
        <v>58</v>
      </c>
      <c r="G682" s="63"/>
      <c r="H682" s="60">
        <v>20000</v>
      </c>
      <c r="I682" s="63"/>
    </row>
    <row r="683" spans="1:9">
      <c r="A683" s="61">
        <v>45633</v>
      </c>
      <c r="B683" s="61" t="s">
        <v>1753</v>
      </c>
      <c r="C683" s="60" t="s">
        <v>1592</v>
      </c>
      <c r="D683" s="60" t="s">
        <v>755</v>
      </c>
      <c r="E683" s="60" t="s">
        <v>1593</v>
      </c>
      <c r="F683" s="75" t="s">
        <v>58</v>
      </c>
      <c r="G683" s="63"/>
      <c r="H683" s="60">
        <v>18000</v>
      </c>
      <c r="I683" s="63"/>
    </row>
    <row r="684" spans="1:9">
      <c r="A684" s="62">
        <v>45637</v>
      </c>
      <c r="B684" s="61" t="s">
        <v>1753</v>
      </c>
      <c r="C684" s="60" t="s">
        <v>1607</v>
      </c>
      <c r="D684" s="60" t="s">
        <v>755</v>
      </c>
      <c r="E684" s="60" t="s">
        <v>1608</v>
      </c>
      <c r="F684" s="75" t="s">
        <v>63</v>
      </c>
      <c r="G684" s="63"/>
      <c r="H684" s="60">
        <v>23000</v>
      </c>
      <c r="I684" s="63"/>
    </row>
    <row r="685" spans="1:9">
      <c r="A685" s="62">
        <v>45643</v>
      </c>
      <c r="B685" s="61" t="s">
        <v>1753</v>
      </c>
      <c r="C685" s="60" t="s">
        <v>1647</v>
      </c>
      <c r="D685" s="60" t="s">
        <v>755</v>
      </c>
      <c r="E685" s="60" t="s">
        <v>1506</v>
      </c>
      <c r="F685" s="75" t="s">
        <v>63</v>
      </c>
      <c r="G685" s="63"/>
      <c r="H685" s="60">
        <v>29000</v>
      </c>
      <c r="I685" s="63"/>
    </row>
    <row r="686" spans="1:9">
      <c r="A686" s="62">
        <v>45656</v>
      </c>
      <c r="B686" s="61" t="s">
        <v>1753</v>
      </c>
      <c r="C686" s="60" t="s">
        <v>1693</v>
      </c>
      <c r="D686" s="60" t="s">
        <v>755</v>
      </c>
      <c r="E686" s="60" t="s">
        <v>1694</v>
      </c>
      <c r="F686" s="75" t="s">
        <v>58</v>
      </c>
      <c r="G686" s="63"/>
      <c r="H686" s="60">
        <v>80000</v>
      </c>
      <c r="I686" s="63"/>
    </row>
    <row r="687" spans="1:9">
      <c r="A687" s="57">
        <v>45430</v>
      </c>
      <c r="B687" s="82" t="s">
        <v>1751</v>
      </c>
      <c r="C687" s="58" t="s">
        <v>295</v>
      </c>
      <c r="D687" s="60" t="s">
        <v>755</v>
      </c>
      <c r="E687" s="58" t="s">
        <v>296</v>
      </c>
      <c r="F687" s="58" t="s">
        <v>58</v>
      </c>
      <c r="G687" s="58"/>
      <c r="H687" s="58">
        <v>115000</v>
      </c>
      <c r="I687" s="58" t="s">
        <v>297</v>
      </c>
    </row>
    <row r="688" spans="1:9">
      <c r="A688" s="57">
        <v>45467</v>
      </c>
      <c r="B688" s="82" t="s">
        <v>1751</v>
      </c>
      <c r="C688" s="58" t="s">
        <v>495</v>
      </c>
      <c r="D688" s="60" t="s">
        <v>755</v>
      </c>
      <c r="E688" s="58" t="s">
        <v>496</v>
      </c>
      <c r="F688" s="58" t="s">
        <v>63</v>
      </c>
      <c r="G688" s="58" t="s">
        <v>192</v>
      </c>
      <c r="H688" s="58">
        <v>70000</v>
      </c>
      <c r="I688" s="58" t="s">
        <v>497</v>
      </c>
    </row>
    <row r="689" spans="1:9">
      <c r="A689" s="57">
        <v>45428</v>
      </c>
      <c r="B689" s="82" t="s">
        <v>1751</v>
      </c>
      <c r="C689" s="58" t="s">
        <v>286</v>
      </c>
      <c r="D689" s="60" t="s">
        <v>755</v>
      </c>
      <c r="E689" s="58" t="s">
        <v>287</v>
      </c>
      <c r="F689" s="58" t="s">
        <v>58</v>
      </c>
      <c r="G689" s="58"/>
      <c r="H689" s="58">
        <v>100000</v>
      </c>
      <c r="I689" s="58" t="s">
        <v>288</v>
      </c>
    </row>
    <row r="690" spans="1:9">
      <c r="A690" s="57">
        <v>45437</v>
      </c>
      <c r="B690" s="82" t="s">
        <v>1751</v>
      </c>
      <c r="C690" s="58" t="s">
        <v>340</v>
      </c>
      <c r="D690" s="60" t="s">
        <v>755</v>
      </c>
      <c r="E690" s="58" t="s">
        <v>341</v>
      </c>
      <c r="F690" s="58" t="s">
        <v>342</v>
      </c>
      <c r="G690" s="58"/>
      <c r="H690" s="58">
        <v>30000</v>
      </c>
      <c r="I690" s="58" t="s">
        <v>343</v>
      </c>
    </row>
    <row r="691" spans="1:9">
      <c r="A691" s="57">
        <v>45425</v>
      </c>
      <c r="B691" s="82" t="s">
        <v>1751</v>
      </c>
      <c r="C691" s="58" t="s">
        <v>256</v>
      </c>
      <c r="D691" s="60" t="s">
        <v>755</v>
      </c>
      <c r="E691" s="58" t="s">
        <v>257</v>
      </c>
      <c r="F691" s="58" t="s">
        <v>63</v>
      </c>
      <c r="G691" s="58"/>
      <c r="H691" s="58">
        <v>43000</v>
      </c>
      <c r="I691" s="58" t="s">
        <v>258</v>
      </c>
    </row>
    <row r="692" spans="1:9">
      <c r="A692" s="57">
        <v>45468</v>
      </c>
      <c r="B692" s="82" t="s">
        <v>1751</v>
      </c>
      <c r="C692" s="58" t="s">
        <v>498</v>
      </c>
      <c r="D692" s="60" t="s">
        <v>755</v>
      </c>
      <c r="E692" s="58" t="s">
        <v>499</v>
      </c>
      <c r="F692" s="58" t="s">
        <v>66</v>
      </c>
      <c r="G692" s="58"/>
      <c r="H692" s="58">
        <v>47000</v>
      </c>
      <c r="I692" s="58"/>
    </row>
    <row r="693" spans="1:9">
      <c r="A693" s="57">
        <v>45487</v>
      </c>
      <c r="B693" s="82" t="s">
        <v>1752</v>
      </c>
      <c r="C693" s="58" t="s">
        <v>616</v>
      </c>
      <c r="D693" s="60" t="s">
        <v>755</v>
      </c>
      <c r="E693" s="58" t="s">
        <v>499</v>
      </c>
      <c r="F693" s="58" t="s">
        <v>342</v>
      </c>
      <c r="G693" s="58"/>
      <c r="H693" s="58">
        <v>190000</v>
      </c>
      <c r="I693" s="58"/>
    </row>
    <row r="694" spans="1:9">
      <c r="A694" s="57">
        <v>45494</v>
      </c>
      <c r="B694" s="82" t="s">
        <v>1752</v>
      </c>
      <c r="C694" s="58" t="s">
        <v>648</v>
      </c>
      <c r="D694" s="60" t="s">
        <v>755</v>
      </c>
      <c r="E694" s="58" t="s">
        <v>499</v>
      </c>
      <c r="F694" s="58" t="s">
        <v>63</v>
      </c>
      <c r="G694" s="58"/>
      <c r="H694" s="58">
        <v>58500</v>
      </c>
      <c r="I694" s="58" t="s">
        <v>649</v>
      </c>
    </row>
    <row r="695" spans="1:9">
      <c r="A695" s="57">
        <v>45444</v>
      </c>
      <c r="B695" s="82" t="s">
        <v>1751</v>
      </c>
      <c r="C695" s="58" t="s">
        <v>370</v>
      </c>
      <c r="D695" s="58"/>
      <c r="E695" s="58"/>
      <c r="F695" s="58" t="s">
        <v>63</v>
      </c>
      <c r="G695" s="58"/>
      <c r="H695" s="58">
        <v>31000</v>
      </c>
      <c r="I695" s="58" t="s">
        <v>371</v>
      </c>
    </row>
    <row r="696" spans="1:9">
      <c r="A696" s="57">
        <v>45455</v>
      </c>
      <c r="B696" s="82" t="s">
        <v>1751</v>
      </c>
      <c r="C696" s="58" t="s">
        <v>428</v>
      </c>
      <c r="D696" s="58"/>
      <c r="E696" s="58"/>
      <c r="F696" s="58" t="s">
        <v>63</v>
      </c>
      <c r="G696" s="58"/>
      <c r="H696" s="58">
        <v>15000</v>
      </c>
      <c r="I696" s="58" t="s">
        <v>429</v>
      </c>
    </row>
    <row r="697" spans="1:9">
      <c r="A697" s="57">
        <v>45455</v>
      </c>
      <c r="B697" s="82" t="s">
        <v>1751</v>
      </c>
      <c r="C697" s="58" t="s">
        <v>430</v>
      </c>
      <c r="D697" s="58"/>
      <c r="E697" s="58"/>
      <c r="F697" s="58" t="s">
        <v>63</v>
      </c>
      <c r="G697" s="58"/>
      <c r="H697" s="58">
        <v>35000</v>
      </c>
      <c r="I697" s="58" t="s">
        <v>431</v>
      </c>
    </row>
    <row r="698" spans="1:9">
      <c r="A698" s="57">
        <v>45456</v>
      </c>
      <c r="B698" s="82" t="s">
        <v>1751</v>
      </c>
      <c r="C698" s="58" t="s">
        <v>436</v>
      </c>
      <c r="D698" s="58"/>
      <c r="E698" s="58"/>
      <c r="F698" s="58" t="s">
        <v>63</v>
      </c>
      <c r="G698" s="58"/>
      <c r="H698" s="58">
        <v>15000</v>
      </c>
      <c r="I698" s="58" t="s">
        <v>437</v>
      </c>
    </row>
    <row r="699" spans="1:9">
      <c r="A699" s="57">
        <v>45474</v>
      </c>
      <c r="B699" s="82" t="s">
        <v>1752</v>
      </c>
      <c r="C699" s="58" t="s">
        <v>532</v>
      </c>
      <c r="D699" s="58"/>
      <c r="E699" s="58"/>
      <c r="F699" s="58" t="s">
        <v>63</v>
      </c>
      <c r="G699" s="58"/>
      <c r="H699" s="58">
        <v>18300</v>
      </c>
      <c r="I699" s="58" t="s">
        <v>533</v>
      </c>
    </row>
    <row r="700" spans="1:9">
      <c r="A700" s="57">
        <v>45480</v>
      </c>
      <c r="B700" s="82" t="s">
        <v>1752</v>
      </c>
      <c r="C700" s="58" t="s">
        <v>569</v>
      </c>
      <c r="D700" s="58"/>
      <c r="E700" s="58"/>
      <c r="F700" s="58" t="s">
        <v>63</v>
      </c>
      <c r="G700" s="58"/>
      <c r="H700" s="58">
        <v>14000</v>
      </c>
      <c r="I700" s="58" t="s">
        <v>570</v>
      </c>
    </row>
    <row r="701" spans="1:9">
      <c r="A701" s="57">
        <v>45480</v>
      </c>
      <c r="B701" s="82" t="s">
        <v>1752</v>
      </c>
      <c r="C701" s="58" t="s">
        <v>571</v>
      </c>
      <c r="D701" s="58"/>
      <c r="E701" s="58"/>
      <c r="F701" s="58" t="s">
        <v>63</v>
      </c>
      <c r="G701" s="58"/>
      <c r="H701" s="58">
        <v>145000</v>
      </c>
      <c r="I701" s="58"/>
    </row>
    <row r="702" spans="1:9">
      <c r="A702" s="57">
        <v>45486</v>
      </c>
      <c r="B702" s="82" t="s">
        <v>1752</v>
      </c>
      <c r="C702" s="58" t="s">
        <v>610</v>
      </c>
      <c r="D702" s="58"/>
      <c r="E702" s="58"/>
      <c r="F702" s="58" t="s">
        <v>63</v>
      </c>
      <c r="G702" s="58"/>
      <c r="H702" s="58">
        <v>65000</v>
      </c>
      <c r="I702" s="58" t="s">
        <v>611</v>
      </c>
    </row>
    <row r="703" spans="1:9">
      <c r="A703" s="57">
        <v>45486</v>
      </c>
      <c r="B703" s="82" t="s">
        <v>1752</v>
      </c>
      <c r="C703" s="58" t="s">
        <v>612</v>
      </c>
      <c r="D703" s="58"/>
      <c r="E703" s="58"/>
      <c r="F703" s="58" t="s">
        <v>63</v>
      </c>
      <c r="G703" s="58"/>
      <c r="H703" s="58">
        <v>70000</v>
      </c>
      <c r="I703" s="58" t="s">
        <v>613</v>
      </c>
    </row>
    <row r="704" spans="1:9">
      <c r="A704" s="57">
        <v>45491</v>
      </c>
      <c r="B704" s="82" t="s">
        <v>1752</v>
      </c>
      <c r="C704" s="58" t="s">
        <v>631</v>
      </c>
      <c r="D704" s="58"/>
      <c r="E704" s="58"/>
      <c r="F704" s="58" t="s">
        <v>63</v>
      </c>
      <c r="G704" s="58"/>
      <c r="H704" s="58">
        <v>180000</v>
      </c>
      <c r="I704" s="58" t="s">
        <v>632</v>
      </c>
    </row>
  </sheetData>
  <autoFilter ref="A1:I704" xr:uid="{1DDF4CF5-A685-4FF3-AB9B-4789E6C91B16}"/>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99"/>
  <sheetViews>
    <sheetView topLeftCell="A35" workbookViewId="0">
      <selection activeCell="D43" sqref="D43"/>
    </sheetView>
  </sheetViews>
  <sheetFormatPr defaultColWidth="14.42578125" defaultRowHeight="15" customHeight="1"/>
  <cols>
    <col min="3" max="3" width="22.85546875" customWidth="1"/>
    <col min="6" max="6" width="19.28515625" customWidth="1"/>
    <col min="7" max="7" width="32.5703125" customWidth="1"/>
  </cols>
  <sheetData>
    <row r="1" spans="1:7">
      <c r="A1" s="8" t="s">
        <v>10</v>
      </c>
      <c r="B1" s="8" t="s">
        <v>53</v>
      </c>
      <c r="C1" s="8" t="s">
        <v>54</v>
      </c>
      <c r="D1" s="8" t="s">
        <v>18</v>
      </c>
      <c r="E1" s="8" t="s">
        <v>20</v>
      </c>
      <c r="F1" s="8" t="s">
        <v>55</v>
      </c>
      <c r="G1" s="8" t="s">
        <v>24</v>
      </c>
    </row>
    <row r="2" spans="1:7">
      <c r="A2" s="35">
        <v>45413</v>
      </c>
      <c r="B2" s="11" t="s">
        <v>190</v>
      </c>
      <c r="C2" s="11" t="s">
        <v>191</v>
      </c>
      <c r="D2" s="11" t="s">
        <v>63</v>
      </c>
      <c r="E2" s="11" t="s">
        <v>192</v>
      </c>
      <c r="F2" s="11">
        <v>37000</v>
      </c>
      <c r="G2" s="11" t="s">
        <v>193</v>
      </c>
    </row>
    <row r="3" spans="1:7">
      <c r="A3" s="35">
        <v>45413</v>
      </c>
      <c r="B3" s="11" t="s">
        <v>194</v>
      </c>
      <c r="C3" s="11" t="s">
        <v>195</v>
      </c>
      <c r="D3" s="11" t="s">
        <v>63</v>
      </c>
      <c r="E3" s="11" t="s">
        <v>192</v>
      </c>
      <c r="F3" s="11">
        <v>17900</v>
      </c>
      <c r="G3" s="11" t="s">
        <v>196</v>
      </c>
    </row>
    <row r="4" spans="1:7">
      <c r="A4" s="35">
        <v>45414</v>
      </c>
      <c r="B4" s="11" t="s">
        <v>197</v>
      </c>
      <c r="C4" s="11" t="s">
        <v>182</v>
      </c>
      <c r="D4" s="11" t="s">
        <v>63</v>
      </c>
      <c r="E4" s="11" t="s">
        <v>192</v>
      </c>
      <c r="F4" s="11">
        <v>9500</v>
      </c>
      <c r="G4" s="11" t="s">
        <v>198</v>
      </c>
    </row>
    <row r="5" spans="1:7">
      <c r="A5" s="35">
        <v>45414</v>
      </c>
      <c r="B5" s="11" t="s">
        <v>199</v>
      </c>
      <c r="C5" s="11" t="s">
        <v>200</v>
      </c>
      <c r="D5" s="11" t="s">
        <v>66</v>
      </c>
      <c r="E5" s="11"/>
      <c r="F5" s="11">
        <v>158000</v>
      </c>
      <c r="G5" s="11"/>
    </row>
    <row r="6" spans="1:7">
      <c r="A6" s="35">
        <v>45415</v>
      </c>
      <c r="B6" s="11" t="s">
        <v>201</v>
      </c>
      <c r="C6" s="11" t="s">
        <v>202</v>
      </c>
      <c r="D6" s="11" t="s">
        <v>63</v>
      </c>
      <c r="E6" s="11" t="s">
        <v>59</v>
      </c>
      <c r="F6" s="11">
        <v>51000</v>
      </c>
      <c r="G6" s="11" t="s">
        <v>203</v>
      </c>
    </row>
    <row r="7" spans="1:7">
      <c r="A7" s="35">
        <v>45415</v>
      </c>
      <c r="B7" s="11" t="s">
        <v>204</v>
      </c>
      <c r="C7" s="11" t="s">
        <v>205</v>
      </c>
      <c r="D7" s="11" t="s">
        <v>66</v>
      </c>
      <c r="E7" s="11"/>
      <c r="F7" s="11">
        <v>40000</v>
      </c>
      <c r="G7" s="11"/>
    </row>
    <row r="8" spans="1:7">
      <c r="A8" s="35">
        <v>45416</v>
      </c>
      <c r="B8" s="11" t="s">
        <v>206</v>
      </c>
      <c r="C8" s="11" t="s">
        <v>207</v>
      </c>
      <c r="D8" s="11" t="s">
        <v>63</v>
      </c>
      <c r="E8" s="11" t="s">
        <v>192</v>
      </c>
      <c r="F8" s="11">
        <v>22800</v>
      </c>
      <c r="G8" s="11" t="s">
        <v>208</v>
      </c>
    </row>
    <row r="9" spans="1:7">
      <c r="A9" s="35">
        <v>45416</v>
      </c>
      <c r="B9" s="11" t="s">
        <v>209</v>
      </c>
      <c r="C9" s="11" t="s">
        <v>75</v>
      </c>
      <c r="D9" s="11" t="s">
        <v>63</v>
      </c>
      <c r="E9" s="11"/>
      <c r="F9" s="11">
        <v>185000</v>
      </c>
      <c r="G9" s="11" t="s">
        <v>210</v>
      </c>
    </row>
    <row r="10" spans="1:7">
      <c r="A10" s="35">
        <v>45417</v>
      </c>
      <c r="B10" s="11" t="s">
        <v>211</v>
      </c>
      <c r="C10" s="11" t="s">
        <v>212</v>
      </c>
      <c r="D10" s="11" t="s">
        <v>63</v>
      </c>
      <c r="E10" s="11" t="s">
        <v>59</v>
      </c>
      <c r="F10" s="11">
        <v>32500</v>
      </c>
      <c r="G10" s="11" t="s">
        <v>213</v>
      </c>
    </row>
    <row r="11" spans="1:7">
      <c r="A11" s="35">
        <v>45417</v>
      </c>
      <c r="B11" s="11" t="s">
        <v>214</v>
      </c>
      <c r="C11" s="11" t="s">
        <v>72</v>
      </c>
      <c r="D11" s="11" t="s">
        <v>63</v>
      </c>
      <c r="E11" s="11" t="s">
        <v>59</v>
      </c>
      <c r="F11" s="11">
        <v>24000</v>
      </c>
      <c r="G11" s="11" t="s">
        <v>215</v>
      </c>
    </row>
    <row r="12" spans="1:7">
      <c r="A12" s="35">
        <v>45417</v>
      </c>
      <c r="B12" s="11" t="s">
        <v>216</v>
      </c>
      <c r="C12" s="11" t="s">
        <v>217</v>
      </c>
      <c r="D12" s="11" t="s">
        <v>63</v>
      </c>
      <c r="E12" s="11"/>
      <c r="F12" s="11">
        <v>28000</v>
      </c>
      <c r="G12" s="11" t="s">
        <v>218</v>
      </c>
    </row>
    <row r="13" spans="1:7">
      <c r="A13" s="35">
        <v>45417</v>
      </c>
      <c r="B13" s="11" t="s">
        <v>219</v>
      </c>
      <c r="C13" s="11" t="s">
        <v>220</v>
      </c>
      <c r="D13" s="11" t="s">
        <v>66</v>
      </c>
      <c r="E13" s="11"/>
      <c r="F13" s="11">
        <v>22000</v>
      </c>
      <c r="G13" s="11"/>
    </row>
    <row r="14" spans="1:7">
      <c r="A14" s="35">
        <v>45418</v>
      </c>
      <c r="B14" s="11" t="s">
        <v>221</v>
      </c>
      <c r="C14" s="11" t="s">
        <v>182</v>
      </c>
      <c r="D14" s="11" t="s">
        <v>63</v>
      </c>
      <c r="E14" s="11" t="s">
        <v>192</v>
      </c>
      <c r="F14" s="11">
        <v>53000</v>
      </c>
      <c r="G14" s="11" t="s">
        <v>222</v>
      </c>
    </row>
    <row r="15" spans="1:7">
      <c r="A15" s="35">
        <v>45418</v>
      </c>
      <c r="B15" s="11" t="s">
        <v>223</v>
      </c>
      <c r="C15" s="11" t="s">
        <v>224</v>
      </c>
      <c r="D15" s="11" t="s">
        <v>66</v>
      </c>
      <c r="E15" s="11"/>
      <c r="F15" s="11">
        <v>31300</v>
      </c>
      <c r="G15" s="11"/>
    </row>
    <row r="16" spans="1:7">
      <c r="A16" s="35">
        <v>45419</v>
      </c>
      <c r="B16" s="11" t="s">
        <v>225</v>
      </c>
      <c r="C16" s="11" t="s">
        <v>96</v>
      </c>
      <c r="D16" s="11" t="s">
        <v>63</v>
      </c>
      <c r="E16" s="11" t="s">
        <v>59</v>
      </c>
      <c r="F16" s="11">
        <v>31500</v>
      </c>
      <c r="G16" s="11" t="s">
        <v>226</v>
      </c>
    </row>
    <row r="17" spans="1:7">
      <c r="A17" s="35">
        <v>45419</v>
      </c>
      <c r="B17" s="11" t="s">
        <v>227</v>
      </c>
      <c r="C17" s="11" t="s">
        <v>228</v>
      </c>
      <c r="D17" s="11" t="s">
        <v>63</v>
      </c>
      <c r="E17" s="11" t="s">
        <v>59</v>
      </c>
      <c r="F17" s="11">
        <v>25000</v>
      </c>
      <c r="G17" s="11" t="s">
        <v>229</v>
      </c>
    </row>
    <row r="18" spans="1:7">
      <c r="A18" s="35">
        <v>45419</v>
      </c>
      <c r="B18" s="11" t="s">
        <v>230</v>
      </c>
      <c r="C18" s="11" t="s">
        <v>231</v>
      </c>
      <c r="D18" s="11" t="s">
        <v>63</v>
      </c>
      <c r="E18" s="11"/>
      <c r="F18" s="11">
        <v>99000</v>
      </c>
      <c r="G18" s="11" t="s">
        <v>232</v>
      </c>
    </row>
    <row r="19" spans="1:7">
      <c r="A19" s="35">
        <v>45422</v>
      </c>
      <c r="B19" s="11" t="s">
        <v>233</v>
      </c>
      <c r="C19" s="11" t="s">
        <v>152</v>
      </c>
      <c r="D19" s="11" t="s">
        <v>63</v>
      </c>
      <c r="E19" s="11" t="s">
        <v>59</v>
      </c>
      <c r="F19" s="11">
        <v>110000</v>
      </c>
      <c r="G19" s="11" t="s">
        <v>234</v>
      </c>
    </row>
    <row r="20" spans="1:7">
      <c r="A20" s="35">
        <v>45422</v>
      </c>
      <c r="B20" s="11" t="s">
        <v>235</v>
      </c>
      <c r="C20" s="11" t="s">
        <v>72</v>
      </c>
      <c r="D20" s="11" t="s">
        <v>63</v>
      </c>
      <c r="E20" s="11" t="s">
        <v>59</v>
      </c>
      <c r="F20" s="11">
        <v>44000</v>
      </c>
      <c r="G20" s="11" t="s">
        <v>236</v>
      </c>
    </row>
    <row r="21" spans="1:7">
      <c r="A21" s="35">
        <v>45422</v>
      </c>
      <c r="B21" s="11" t="s">
        <v>237</v>
      </c>
      <c r="C21" s="11" t="s">
        <v>238</v>
      </c>
      <c r="D21" s="11" t="s">
        <v>63</v>
      </c>
      <c r="E21" s="11" t="s">
        <v>59</v>
      </c>
      <c r="F21" s="11">
        <v>58000</v>
      </c>
      <c r="G21" s="11" t="s">
        <v>239</v>
      </c>
    </row>
    <row r="22" spans="1:7">
      <c r="A22" s="35">
        <v>45422</v>
      </c>
      <c r="B22" s="11" t="s">
        <v>240</v>
      </c>
      <c r="C22" s="11" t="s">
        <v>75</v>
      </c>
      <c r="D22" s="11" t="s">
        <v>63</v>
      </c>
      <c r="E22" s="11" t="s">
        <v>59</v>
      </c>
      <c r="F22" s="11">
        <v>26500</v>
      </c>
      <c r="G22" s="11" t="s">
        <v>241</v>
      </c>
    </row>
    <row r="23" spans="1:7">
      <c r="A23" s="35">
        <v>45422</v>
      </c>
      <c r="B23" s="11" t="s">
        <v>242</v>
      </c>
      <c r="C23" s="11" t="s">
        <v>243</v>
      </c>
      <c r="D23" s="11" t="s">
        <v>63</v>
      </c>
      <c r="E23" s="11" t="s">
        <v>192</v>
      </c>
      <c r="F23" s="11">
        <v>185000</v>
      </c>
      <c r="G23" s="11" t="s">
        <v>244</v>
      </c>
    </row>
    <row r="24" spans="1:7">
      <c r="A24" s="35">
        <v>45422</v>
      </c>
      <c r="B24" s="11" t="s">
        <v>245</v>
      </c>
      <c r="C24" s="11" t="s">
        <v>246</v>
      </c>
      <c r="D24" s="11" t="s">
        <v>63</v>
      </c>
      <c r="E24" s="11"/>
      <c r="F24" s="11">
        <v>15000</v>
      </c>
      <c r="G24" s="11" t="s">
        <v>247</v>
      </c>
    </row>
    <row r="25" spans="1:7">
      <c r="A25" s="35">
        <v>45423</v>
      </c>
      <c r="B25" s="11" t="s">
        <v>248</v>
      </c>
      <c r="C25" s="11" t="s">
        <v>249</v>
      </c>
      <c r="D25" s="11" t="s">
        <v>63</v>
      </c>
      <c r="E25" s="11"/>
      <c r="F25" s="11">
        <v>36000</v>
      </c>
      <c r="G25" s="11" t="s">
        <v>250</v>
      </c>
    </row>
    <row r="26" spans="1:7">
      <c r="A26" s="35">
        <v>45424</v>
      </c>
      <c r="B26" s="11" t="s">
        <v>251</v>
      </c>
      <c r="C26" s="11" t="s">
        <v>146</v>
      </c>
      <c r="D26" s="11" t="s">
        <v>63</v>
      </c>
      <c r="E26" s="11" t="s">
        <v>192</v>
      </c>
      <c r="F26" s="11">
        <v>13000</v>
      </c>
      <c r="G26" s="11" t="s">
        <v>252</v>
      </c>
    </row>
    <row r="27" spans="1:7">
      <c r="A27" s="35">
        <v>45424</v>
      </c>
      <c r="B27" s="11" t="s">
        <v>253</v>
      </c>
      <c r="C27" s="11" t="s">
        <v>254</v>
      </c>
      <c r="D27" s="11" t="s">
        <v>63</v>
      </c>
      <c r="E27" s="11"/>
      <c r="F27" s="11">
        <v>175000</v>
      </c>
      <c r="G27" s="11" t="s">
        <v>255</v>
      </c>
    </row>
    <row r="28" spans="1:7">
      <c r="A28" s="35">
        <v>45425</v>
      </c>
      <c r="B28" s="11" t="s">
        <v>256</v>
      </c>
      <c r="C28" s="11" t="s">
        <v>257</v>
      </c>
      <c r="D28" s="11" t="s">
        <v>63</v>
      </c>
      <c r="E28" s="11"/>
      <c r="F28" s="11">
        <v>43000</v>
      </c>
      <c r="G28" s="11" t="s">
        <v>258</v>
      </c>
    </row>
    <row r="29" spans="1:7">
      <c r="A29" s="35">
        <v>45425</v>
      </c>
      <c r="B29" s="11" t="s">
        <v>259</v>
      </c>
      <c r="C29" s="11" t="s">
        <v>260</v>
      </c>
      <c r="D29" s="11" t="s">
        <v>63</v>
      </c>
      <c r="E29" s="11"/>
      <c r="F29" s="11">
        <v>21000</v>
      </c>
      <c r="G29" s="11" t="s">
        <v>261</v>
      </c>
    </row>
    <row r="30" spans="1:7">
      <c r="A30" s="35">
        <v>45426</v>
      </c>
      <c r="B30" s="11" t="s">
        <v>262</v>
      </c>
      <c r="C30" s="11" t="s">
        <v>146</v>
      </c>
      <c r="D30" s="11" t="s">
        <v>63</v>
      </c>
      <c r="E30" s="11" t="s">
        <v>59</v>
      </c>
      <c r="F30" s="11">
        <v>25000</v>
      </c>
      <c r="G30" s="11" t="s">
        <v>263</v>
      </c>
    </row>
    <row r="31" spans="1:7">
      <c r="A31" s="35">
        <v>45426</v>
      </c>
      <c r="B31" s="11" t="s">
        <v>264</v>
      </c>
      <c r="C31" s="11" t="s">
        <v>167</v>
      </c>
      <c r="D31" s="11" t="s">
        <v>63</v>
      </c>
      <c r="E31" s="11" t="s">
        <v>59</v>
      </c>
      <c r="F31" s="11">
        <v>32000</v>
      </c>
      <c r="G31" s="11" t="s">
        <v>265</v>
      </c>
    </row>
    <row r="32" spans="1:7">
      <c r="A32" s="35">
        <v>45426</v>
      </c>
      <c r="B32" s="11" t="s">
        <v>266</v>
      </c>
      <c r="C32" s="11" t="s">
        <v>75</v>
      </c>
      <c r="D32" s="11" t="s">
        <v>63</v>
      </c>
      <c r="E32" s="11" t="s">
        <v>59</v>
      </c>
      <c r="F32" s="11">
        <v>135000</v>
      </c>
      <c r="G32" s="11" t="s">
        <v>267</v>
      </c>
    </row>
    <row r="33" spans="1:7">
      <c r="A33" s="35">
        <v>45426</v>
      </c>
      <c r="B33" s="11" t="s">
        <v>268</v>
      </c>
      <c r="C33" s="11" t="s">
        <v>269</v>
      </c>
      <c r="D33" s="11" t="s">
        <v>63</v>
      </c>
      <c r="E33" s="11" t="s">
        <v>192</v>
      </c>
      <c r="F33" s="11">
        <v>20000</v>
      </c>
      <c r="G33" s="11" t="s">
        <v>270</v>
      </c>
    </row>
    <row r="34" spans="1:7">
      <c r="A34" s="35">
        <v>45426</v>
      </c>
      <c r="B34" s="11" t="s">
        <v>271</v>
      </c>
      <c r="C34" s="11" t="s">
        <v>272</v>
      </c>
      <c r="D34" s="11" t="s">
        <v>63</v>
      </c>
      <c r="E34" s="11"/>
      <c r="F34" s="11">
        <v>22000</v>
      </c>
      <c r="G34" s="11" t="s">
        <v>273</v>
      </c>
    </row>
    <row r="35" spans="1:7">
      <c r="A35" s="35">
        <v>45426</v>
      </c>
      <c r="B35" s="11" t="s">
        <v>274</v>
      </c>
      <c r="C35" s="11" t="s">
        <v>275</v>
      </c>
      <c r="D35" s="11" t="s">
        <v>276</v>
      </c>
      <c r="E35" s="11"/>
      <c r="F35" s="11">
        <v>11000</v>
      </c>
      <c r="G35" s="11"/>
    </row>
    <row r="36" spans="1:7">
      <c r="A36" s="35">
        <v>45427</v>
      </c>
      <c r="B36" s="11" t="s">
        <v>277</v>
      </c>
      <c r="C36" s="11" t="s">
        <v>278</v>
      </c>
      <c r="D36" s="11" t="s">
        <v>63</v>
      </c>
      <c r="E36" s="11" t="s">
        <v>192</v>
      </c>
      <c r="F36" s="11">
        <v>130000</v>
      </c>
      <c r="G36" s="11" t="s">
        <v>279</v>
      </c>
    </row>
    <row r="37" spans="1:7">
      <c r="A37" s="35">
        <v>45427</v>
      </c>
      <c r="B37" s="11" t="s">
        <v>280</v>
      </c>
      <c r="C37" s="11" t="s">
        <v>281</v>
      </c>
      <c r="D37" s="11" t="s">
        <v>63</v>
      </c>
      <c r="E37" s="11"/>
      <c r="F37" s="11">
        <v>36500</v>
      </c>
      <c r="G37" s="11" t="s">
        <v>282</v>
      </c>
    </row>
    <row r="38" spans="1:7">
      <c r="A38" s="35">
        <v>45428</v>
      </c>
      <c r="B38" s="11" t="s">
        <v>283</v>
      </c>
      <c r="C38" s="11" t="s">
        <v>284</v>
      </c>
      <c r="D38" s="11" t="s">
        <v>58</v>
      </c>
      <c r="E38" s="11"/>
      <c r="F38" s="11">
        <v>19000</v>
      </c>
      <c r="G38" s="11" t="s">
        <v>285</v>
      </c>
    </row>
    <row r="39" spans="1:7">
      <c r="A39" s="35">
        <v>45428</v>
      </c>
      <c r="B39" s="11" t="s">
        <v>286</v>
      </c>
      <c r="C39" s="11" t="s">
        <v>287</v>
      </c>
      <c r="D39" s="11" t="s">
        <v>58</v>
      </c>
      <c r="E39" s="11"/>
      <c r="F39" s="11">
        <v>100000</v>
      </c>
      <c r="G39" s="11" t="s">
        <v>288</v>
      </c>
    </row>
    <row r="40" spans="1:7">
      <c r="A40" s="35">
        <v>45428</v>
      </c>
      <c r="B40" s="11" t="s">
        <v>289</v>
      </c>
      <c r="C40" s="11" t="s">
        <v>249</v>
      </c>
      <c r="D40" s="11" t="s">
        <v>63</v>
      </c>
      <c r="E40" s="11"/>
      <c r="F40" s="11">
        <v>37000</v>
      </c>
      <c r="G40" s="11" t="s">
        <v>290</v>
      </c>
    </row>
    <row r="41" spans="1:7">
      <c r="A41" s="35">
        <v>45428</v>
      </c>
      <c r="B41" s="11" t="s">
        <v>291</v>
      </c>
      <c r="C41" s="11" t="s">
        <v>292</v>
      </c>
      <c r="D41" s="11" t="s">
        <v>66</v>
      </c>
      <c r="E41" s="11"/>
      <c r="F41" s="11">
        <v>27000</v>
      </c>
      <c r="G41" s="11"/>
    </row>
    <row r="42" spans="1:7">
      <c r="A42" s="35">
        <v>45428</v>
      </c>
      <c r="B42" s="11" t="s">
        <v>293</v>
      </c>
      <c r="C42" s="11" t="s">
        <v>294</v>
      </c>
      <c r="D42" s="11" t="s">
        <v>66</v>
      </c>
      <c r="E42" s="11"/>
      <c r="F42" s="11">
        <v>38000</v>
      </c>
      <c r="G42" s="11"/>
    </row>
    <row r="43" spans="1:7">
      <c r="A43" s="35">
        <v>45430</v>
      </c>
      <c r="B43" s="11" t="s">
        <v>295</v>
      </c>
      <c r="C43" s="11" t="s">
        <v>296</v>
      </c>
      <c r="D43" s="11" t="s">
        <v>58</v>
      </c>
      <c r="E43" s="11"/>
      <c r="F43" s="11">
        <v>115000</v>
      </c>
      <c r="G43" s="11" t="s">
        <v>297</v>
      </c>
    </row>
    <row r="44" spans="1:7">
      <c r="A44" s="35">
        <v>45430</v>
      </c>
      <c r="B44" s="11" t="s">
        <v>298</v>
      </c>
      <c r="C44" s="11" t="s">
        <v>299</v>
      </c>
      <c r="D44" s="11" t="s">
        <v>63</v>
      </c>
      <c r="E44" s="11" t="s">
        <v>192</v>
      </c>
      <c r="F44" s="11">
        <v>35000</v>
      </c>
      <c r="G44" s="11" t="s">
        <v>300</v>
      </c>
    </row>
    <row r="45" spans="1:7">
      <c r="A45" s="35">
        <v>45430</v>
      </c>
      <c r="B45" s="11" t="s">
        <v>301</v>
      </c>
      <c r="C45" s="11" t="s">
        <v>72</v>
      </c>
      <c r="D45" s="11" t="s">
        <v>63</v>
      </c>
      <c r="E45" s="11"/>
      <c r="F45" s="11">
        <v>22500</v>
      </c>
      <c r="G45" s="11" t="s">
        <v>302</v>
      </c>
    </row>
    <row r="46" spans="1:7">
      <c r="A46" s="35">
        <v>45430</v>
      </c>
      <c r="B46" s="11" t="s">
        <v>303</v>
      </c>
      <c r="C46" s="11" t="s">
        <v>304</v>
      </c>
      <c r="D46" s="11" t="s">
        <v>63</v>
      </c>
      <c r="E46" s="11"/>
      <c r="F46" s="11">
        <v>32800</v>
      </c>
      <c r="G46" s="11" t="s">
        <v>305</v>
      </c>
    </row>
    <row r="47" spans="1:7">
      <c r="A47" s="35">
        <v>45432</v>
      </c>
      <c r="B47" s="11" t="s">
        <v>306</v>
      </c>
      <c r="C47" s="11" t="s">
        <v>275</v>
      </c>
      <c r="D47" s="11" t="s">
        <v>66</v>
      </c>
      <c r="E47" s="11"/>
      <c r="F47" s="11">
        <v>75000</v>
      </c>
      <c r="G47" s="11"/>
    </row>
    <row r="48" spans="1:7">
      <c r="A48" s="35">
        <v>45433</v>
      </c>
      <c r="B48" s="11" t="s">
        <v>307</v>
      </c>
      <c r="C48" s="11" t="s">
        <v>308</v>
      </c>
      <c r="D48" s="11" t="s">
        <v>63</v>
      </c>
      <c r="E48" s="11" t="s">
        <v>59</v>
      </c>
      <c r="F48" s="11">
        <v>9000</v>
      </c>
      <c r="G48" s="11" t="s">
        <v>309</v>
      </c>
    </row>
    <row r="49" spans="1:7">
      <c r="A49" s="35">
        <v>45433</v>
      </c>
      <c r="B49" s="11" t="s">
        <v>310</v>
      </c>
      <c r="C49" s="11" t="s">
        <v>212</v>
      </c>
      <c r="D49" s="11" t="s">
        <v>63</v>
      </c>
      <c r="E49" s="11" t="s">
        <v>59</v>
      </c>
      <c r="F49" s="11">
        <v>19700</v>
      </c>
      <c r="G49" s="11" t="s">
        <v>311</v>
      </c>
    </row>
    <row r="50" spans="1:7">
      <c r="A50" s="35">
        <v>45433</v>
      </c>
      <c r="B50" s="11" t="s">
        <v>169</v>
      </c>
      <c r="C50" s="11" t="s">
        <v>170</v>
      </c>
      <c r="D50" s="11" t="s">
        <v>63</v>
      </c>
      <c r="E50" s="11" t="s">
        <v>192</v>
      </c>
      <c r="F50" s="11">
        <v>70000</v>
      </c>
      <c r="G50" s="11" t="s">
        <v>171</v>
      </c>
    </row>
    <row r="51" spans="1:7">
      <c r="A51" s="35">
        <v>45433</v>
      </c>
      <c r="B51" s="11" t="s">
        <v>312</v>
      </c>
      <c r="C51" s="11" t="s">
        <v>313</v>
      </c>
      <c r="D51" s="11" t="s">
        <v>276</v>
      </c>
      <c r="E51" s="11"/>
      <c r="F51" s="11">
        <v>21000</v>
      </c>
      <c r="G51" s="11"/>
    </row>
    <row r="52" spans="1:7">
      <c r="A52" s="35">
        <v>45434</v>
      </c>
      <c r="B52" s="11" t="s">
        <v>314</v>
      </c>
      <c r="C52" s="11" t="s">
        <v>69</v>
      </c>
      <c r="D52" s="11" t="s">
        <v>58</v>
      </c>
      <c r="E52" s="11"/>
      <c r="F52" s="11">
        <v>230000</v>
      </c>
      <c r="G52" s="11" t="s">
        <v>315</v>
      </c>
    </row>
    <row r="53" spans="1:7">
      <c r="A53" s="35">
        <v>45434</v>
      </c>
      <c r="B53" s="11" t="s">
        <v>316</v>
      </c>
      <c r="C53" s="11" t="s">
        <v>75</v>
      </c>
      <c r="D53" s="11" t="s">
        <v>58</v>
      </c>
      <c r="E53" s="11"/>
      <c r="F53" s="11">
        <v>44500</v>
      </c>
      <c r="G53" s="11" t="s">
        <v>317</v>
      </c>
    </row>
    <row r="54" spans="1:7">
      <c r="A54" s="35">
        <v>45434</v>
      </c>
      <c r="B54" s="11" t="s">
        <v>318</v>
      </c>
      <c r="C54" s="11" t="s">
        <v>319</v>
      </c>
      <c r="D54" s="11" t="s">
        <v>63</v>
      </c>
      <c r="E54" s="11" t="s">
        <v>192</v>
      </c>
      <c r="F54" s="11">
        <v>22000</v>
      </c>
      <c r="G54" s="11" t="s">
        <v>320</v>
      </c>
    </row>
    <row r="55" spans="1:7">
      <c r="A55" s="35">
        <v>45434</v>
      </c>
      <c r="B55" s="11" t="s">
        <v>321</v>
      </c>
      <c r="C55" s="11" t="s">
        <v>231</v>
      </c>
      <c r="D55" s="11" t="s">
        <v>63</v>
      </c>
      <c r="E55" s="11"/>
      <c r="F55" s="11">
        <v>68000</v>
      </c>
      <c r="G55" s="11" t="s">
        <v>322</v>
      </c>
    </row>
    <row r="56" spans="1:7">
      <c r="A56" s="35">
        <v>45434</v>
      </c>
      <c r="B56" s="11" t="s">
        <v>323</v>
      </c>
      <c r="C56" s="11" t="s">
        <v>324</v>
      </c>
      <c r="D56" s="11" t="s">
        <v>276</v>
      </c>
      <c r="E56" s="11"/>
      <c r="F56" s="11">
        <v>15500</v>
      </c>
      <c r="G56" s="11"/>
    </row>
    <row r="57" spans="1:7">
      <c r="A57" s="35">
        <v>45434</v>
      </c>
      <c r="B57" s="11" t="s">
        <v>325</v>
      </c>
      <c r="C57" s="11" t="s">
        <v>326</v>
      </c>
      <c r="D57" s="11" t="s">
        <v>66</v>
      </c>
      <c r="E57" s="11"/>
      <c r="F57" s="11">
        <v>60000</v>
      </c>
      <c r="G57" s="11"/>
    </row>
    <row r="58" spans="1:7">
      <c r="A58" s="35">
        <v>45435</v>
      </c>
      <c r="B58" s="11" t="s">
        <v>106</v>
      </c>
      <c r="C58" s="11" t="s">
        <v>182</v>
      </c>
      <c r="D58" s="11" t="s">
        <v>63</v>
      </c>
      <c r="E58" s="11"/>
      <c r="F58" s="11">
        <v>95000</v>
      </c>
      <c r="G58" s="11" t="s">
        <v>327</v>
      </c>
    </row>
    <row r="59" spans="1:7">
      <c r="A59" s="35">
        <v>45437</v>
      </c>
      <c r="B59" s="11" t="s">
        <v>328</v>
      </c>
      <c r="C59" s="11" t="s">
        <v>278</v>
      </c>
      <c r="D59" s="11" t="s">
        <v>63</v>
      </c>
      <c r="E59" s="11" t="s">
        <v>192</v>
      </c>
      <c r="F59" s="11">
        <v>17000</v>
      </c>
      <c r="G59" s="11" t="s">
        <v>329</v>
      </c>
    </row>
    <row r="60" spans="1:7">
      <c r="A60" s="35">
        <v>45437</v>
      </c>
      <c r="B60" s="11" t="s">
        <v>330</v>
      </c>
      <c r="C60" s="11" t="s">
        <v>331</v>
      </c>
      <c r="D60" s="11" t="s">
        <v>63</v>
      </c>
      <c r="E60" s="11" t="s">
        <v>192</v>
      </c>
      <c r="F60" s="11">
        <v>30000</v>
      </c>
      <c r="G60" s="11" t="s">
        <v>332</v>
      </c>
    </row>
    <row r="61" spans="1:7">
      <c r="A61" s="35">
        <v>45437</v>
      </c>
      <c r="B61" s="11" t="s">
        <v>333</v>
      </c>
      <c r="C61" s="11" t="s">
        <v>93</v>
      </c>
      <c r="D61" s="11" t="s">
        <v>63</v>
      </c>
      <c r="E61" s="11" t="s">
        <v>192</v>
      </c>
      <c r="F61" s="11">
        <v>22000</v>
      </c>
      <c r="G61" s="11" t="s">
        <v>334</v>
      </c>
    </row>
    <row r="62" spans="1:7">
      <c r="A62" s="35">
        <v>45437</v>
      </c>
      <c r="B62" s="11" t="s">
        <v>335</v>
      </c>
      <c r="C62" s="11" t="s">
        <v>336</v>
      </c>
      <c r="D62" s="11" t="s">
        <v>63</v>
      </c>
      <c r="E62" s="11" t="s">
        <v>192</v>
      </c>
      <c r="F62" s="11">
        <v>70000</v>
      </c>
      <c r="G62" s="11" t="s">
        <v>337</v>
      </c>
    </row>
    <row r="63" spans="1:7">
      <c r="A63" s="35">
        <v>45437</v>
      </c>
      <c r="B63" s="11" t="s">
        <v>338</v>
      </c>
      <c r="C63" s="11" t="s">
        <v>152</v>
      </c>
      <c r="D63" s="11" t="s">
        <v>63</v>
      </c>
      <c r="E63" s="11"/>
      <c r="F63" s="11">
        <v>108000</v>
      </c>
      <c r="G63" s="11" t="s">
        <v>339</v>
      </c>
    </row>
    <row r="64" spans="1:7">
      <c r="A64" s="35">
        <v>45437</v>
      </c>
      <c r="B64" s="11" t="s">
        <v>340</v>
      </c>
      <c r="C64" s="11" t="s">
        <v>341</v>
      </c>
      <c r="D64" s="11" t="s">
        <v>342</v>
      </c>
      <c r="E64" s="11"/>
      <c r="F64" s="11">
        <v>30000</v>
      </c>
      <c r="G64" s="11" t="s">
        <v>343</v>
      </c>
    </row>
    <row r="65" spans="1:7">
      <c r="A65" s="35">
        <v>45437</v>
      </c>
      <c r="B65" s="11" t="s">
        <v>344</v>
      </c>
      <c r="C65" s="11" t="s">
        <v>345</v>
      </c>
      <c r="D65" s="11" t="s">
        <v>66</v>
      </c>
      <c r="E65" s="11"/>
      <c r="F65" s="11">
        <v>40000</v>
      </c>
      <c r="G65" s="11"/>
    </row>
    <row r="66" spans="1:7">
      <c r="A66" s="35">
        <v>45438</v>
      </c>
      <c r="B66" s="11" t="s">
        <v>346</v>
      </c>
      <c r="C66" s="11" t="s">
        <v>347</v>
      </c>
      <c r="D66" s="11" t="s">
        <v>66</v>
      </c>
      <c r="E66" s="11"/>
      <c r="F66" s="11">
        <v>15000</v>
      </c>
      <c r="G66" s="11"/>
    </row>
    <row r="67" spans="1:7">
      <c r="A67" s="35">
        <v>45439</v>
      </c>
      <c r="B67" s="11" t="s">
        <v>348</v>
      </c>
      <c r="C67" s="11" t="s">
        <v>349</v>
      </c>
      <c r="D67" s="11" t="s">
        <v>63</v>
      </c>
      <c r="E67" s="11" t="s">
        <v>59</v>
      </c>
      <c r="F67" s="11">
        <v>88000</v>
      </c>
      <c r="G67" s="11" t="s">
        <v>350</v>
      </c>
    </row>
    <row r="68" spans="1:7">
      <c r="A68" s="35">
        <v>45439</v>
      </c>
      <c r="B68" s="11" t="s">
        <v>351</v>
      </c>
      <c r="C68" s="11" t="s">
        <v>75</v>
      </c>
      <c r="D68" s="11" t="s">
        <v>63</v>
      </c>
      <c r="E68" s="11" t="s">
        <v>59</v>
      </c>
      <c r="F68" s="11">
        <v>23000</v>
      </c>
      <c r="G68" s="11" t="s">
        <v>352</v>
      </c>
    </row>
    <row r="69" spans="1:7">
      <c r="A69" s="35">
        <v>45439</v>
      </c>
      <c r="B69" s="11" t="s">
        <v>353</v>
      </c>
      <c r="C69" s="11" t="s">
        <v>146</v>
      </c>
      <c r="D69" s="11" t="s">
        <v>63</v>
      </c>
      <c r="E69" s="11"/>
      <c r="F69" s="11">
        <v>11500</v>
      </c>
      <c r="G69" s="11" t="s">
        <v>354</v>
      </c>
    </row>
    <row r="70" spans="1:7">
      <c r="A70" s="35">
        <v>45439</v>
      </c>
      <c r="B70" s="11" t="s">
        <v>355</v>
      </c>
      <c r="C70" s="11" t="s">
        <v>356</v>
      </c>
      <c r="D70" s="11" t="s">
        <v>66</v>
      </c>
      <c r="E70" s="11"/>
      <c r="F70" s="11">
        <v>51000</v>
      </c>
      <c r="G70" s="11"/>
    </row>
    <row r="71" spans="1:7">
      <c r="A71" s="35">
        <v>45443</v>
      </c>
      <c r="B71" s="11" t="s">
        <v>357</v>
      </c>
      <c r="C71" s="11" t="s">
        <v>358</v>
      </c>
      <c r="D71" s="11" t="s">
        <v>63</v>
      </c>
      <c r="E71" s="11" t="s">
        <v>192</v>
      </c>
      <c r="F71" s="11">
        <v>165000</v>
      </c>
      <c r="G71" s="11" t="s">
        <v>359</v>
      </c>
    </row>
    <row r="72" spans="1:7">
      <c r="A72" s="35">
        <v>45443</v>
      </c>
      <c r="B72" s="11" t="s">
        <v>360</v>
      </c>
      <c r="C72" s="11" t="s">
        <v>191</v>
      </c>
      <c r="D72" s="11" t="s">
        <v>63</v>
      </c>
      <c r="E72" s="11" t="s">
        <v>192</v>
      </c>
      <c r="F72" s="11">
        <v>23000</v>
      </c>
      <c r="G72" s="11" t="s">
        <v>361</v>
      </c>
    </row>
    <row r="73" spans="1:7">
      <c r="A73" s="35">
        <v>45443</v>
      </c>
      <c r="B73" s="11" t="s">
        <v>362</v>
      </c>
      <c r="C73" s="11" t="s">
        <v>146</v>
      </c>
      <c r="D73" s="11" t="s">
        <v>63</v>
      </c>
      <c r="E73" s="11" t="s">
        <v>192</v>
      </c>
      <c r="F73" s="11">
        <v>75000</v>
      </c>
      <c r="G73" s="11" t="s">
        <v>363</v>
      </c>
    </row>
    <row r="74" spans="1:7">
      <c r="A74" s="35">
        <v>45423</v>
      </c>
      <c r="B74" s="11" t="s">
        <v>364</v>
      </c>
      <c r="C74" s="11" t="s">
        <v>149</v>
      </c>
      <c r="D74" s="11" t="s">
        <v>63</v>
      </c>
      <c r="E74" s="11"/>
      <c r="F74" s="11">
        <v>22000</v>
      </c>
      <c r="G74" s="11" t="s">
        <v>365</v>
      </c>
    </row>
    <row r="75" spans="1:7">
      <c r="A75" s="35">
        <v>45423</v>
      </c>
      <c r="B75" s="11" t="s">
        <v>366</v>
      </c>
      <c r="C75" s="11" t="s">
        <v>146</v>
      </c>
      <c r="D75" s="11" t="s">
        <v>63</v>
      </c>
      <c r="E75" s="11"/>
      <c r="F75" s="11">
        <v>58000</v>
      </c>
      <c r="G75" s="11" t="s">
        <v>367</v>
      </c>
    </row>
    <row r="76" spans="1:7">
      <c r="A76" s="35">
        <v>45423</v>
      </c>
      <c r="B76" s="11" t="s">
        <v>368</v>
      </c>
      <c r="C76" s="11" t="s">
        <v>228</v>
      </c>
      <c r="D76" s="11" t="s">
        <v>63</v>
      </c>
      <c r="E76" s="11"/>
      <c r="F76" s="11">
        <v>43000</v>
      </c>
      <c r="G76" s="11" t="s">
        <v>369</v>
      </c>
    </row>
    <row r="317" spans="1:1">
      <c r="A317" s="36"/>
    </row>
    <row r="318" spans="1:1">
      <c r="A318" s="36"/>
    </row>
    <row r="319" spans="1:1">
      <c r="A319" s="36"/>
    </row>
    <row r="320" spans="1:1">
      <c r="A320" s="36"/>
    </row>
    <row r="321" spans="1:1">
      <c r="A321" s="36"/>
    </row>
    <row r="322" spans="1:1">
      <c r="A322" s="36"/>
    </row>
    <row r="323" spans="1:1">
      <c r="A323" s="36"/>
    </row>
    <row r="324" spans="1:1">
      <c r="A324" s="36"/>
    </row>
    <row r="325" spans="1:1">
      <c r="A325" s="36"/>
    </row>
    <row r="326" spans="1:1">
      <c r="A326" s="36"/>
    </row>
    <row r="327" spans="1:1">
      <c r="A327" s="36"/>
    </row>
    <row r="328" spans="1:1">
      <c r="A328" s="36"/>
    </row>
    <row r="329" spans="1:1">
      <c r="A329" s="36"/>
    </row>
    <row r="330" spans="1:1">
      <c r="A330" s="36"/>
    </row>
    <row r="331" spans="1:1">
      <c r="A331" s="36"/>
    </row>
    <row r="332" spans="1:1">
      <c r="A332" s="36"/>
    </row>
    <row r="333" spans="1:1">
      <c r="A333" s="36"/>
    </row>
    <row r="334" spans="1:1">
      <c r="A334" s="36"/>
    </row>
    <row r="335" spans="1:1">
      <c r="A335" s="36"/>
    </row>
    <row r="336" spans="1:1">
      <c r="A336" s="36"/>
    </row>
    <row r="337" spans="1:1">
      <c r="A337" s="36"/>
    </row>
    <row r="338" spans="1:1">
      <c r="A338" s="36"/>
    </row>
    <row r="339" spans="1:1">
      <c r="A339" s="36"/>
    </row>
    <row r="340" spans="1:1">
      <c r="A340" s="36"/>
    </row>
    <row r="341" spans="1:1">
      <c r="A341" s="36"/>
    </row>
    <row r="342" spans="1:1">
      <c r="A342" s="36"/>
    </row>
    <row r="343" spans="1:1">
      <c r="A343" s="36"/>
    </row>
    <row r="344" spans="1:1">
      <c r="A344" s="36"/>
    </row>
    <row r="345" spans="1:1">
      <c r="A345" s="36"/>
    </row>
    <row r="346" spans="1:1">
      <c r="A346" s="36"/>
    </row>
    <row r="347" spans="1:1">
      <c r="A347" s="36"/>
    </row>
    <row r="348" spans="1:1">
      <c r="A348" s="36"/>
    </row>
    <row r="349" spans="1:1">
      <c r="A349" s="36"/>
    </row>
    <row r="350" spans="1:1">
      <c r="A350" s="36"/>
    </row>
    <row r="351" spans="1:1">
      <c r="A351" s="36"/>
    </row>
    <row r="352" spans="1:1">
      <c r="A352" s="36"/>
    </row>
    <row r="353" spans="1:1">
      <c r="A353" s="36"/>
    </row>
    <row r="354" spans="1:1">
      <c r="A354" s="36"/>
    </row>
    <row r="355" spans="1:1">
      <c r="A355" s="36"/>
    </row>
    <row r="356" spans="1:1">
      <c r="A356" s="36"/>
    </row>
    <row r="357" spans="1:1">
      <c r="A357" s="36"/>
    </row>
    <row r="358" spans="1:1">
      <c r="A358" s="36"/>
    </row>
    <row r="359" spans="1:1">
      <c r="A359" s="36"/>
    </row>
    <row r="360" spans="1:1">
      <c r="A360" s="36"/>
    </row>
    <row r="361" spans="1:1">
      <c r="A361" s="36"/>
    </row>
    <row r="362" spans="1:1">
      <c r="A362" s="36"/>
    </row>
    <row r="363" spans="1:1">
      <c r="A363" s="36"/>
    </row>
    <row r="364" spans="1:1">
      <c r="A364" s="36"/>
    </row>
    <row r="365" spans="1:1">
      <c r="A365" s="36"/>
    </row>
    <row r="366" spans="1:1">
      <c r="A366" s="36"/>
    </row>
    <row r="367" spans="1:1">
      <c r="A367" s="36"/>
    </row>
    <row r="368" spans="1:1">
      <c r="A368" s="36"/>
    </row>
    <row r="369" spans="1:1">
      <c r="A369" s="36"/>
    </row>
    <row r="370" spans="1:1">
      <c r="A370" s="36"/>
    </row>
    <row r="371" spans="1:1">
      <c r="A371" s="36"/>
    </row>
    <row r="372" spans="1:1">
      <c r="A372" s="36"/>
    </row>
    <row r="373" spans="1:1">
      <c r="A373" s="36"/>
    </row>
    <row r="374" spans="1:1">
      <c r="A374" s="36"/>
    </row>
    <row r="375" spans="1:1">
      <c r="A375" s="36"/>
    </row>
    <row r="376" spans="1:1">
      <c r="A376" s="36"/>
    </row>
    <row r="377" spans="1:1">
      <c r="A377" s="36"/>
    </row>
    <row r="378" spans="1:1">
      <c r="A378" s="36"/>
    </row>
    <row r="379" spans="1:1">
      <c r="A379" s="36"/>
    </row>
    <row r="380" spans="1:1">
      <c r="A380" s="36"/>
    </row>
    <row r="381" spans="1:1">
      <c r="A381" s="36"/>
    </row>
    <row r="382" spans="1:1">
      <c r="A382" s="36"/>
    </row>
    <row r="383" spans="1:1">
      <c r="A383" s="36"/>
    </row>
    <row r="384" spans="1:1">
      <c r="A384" s="36"/>
    </row>
    <row r="385" spans="1:1">
      <c r="A385" s="36"/>
    </row>
    <row r="386" spans="1:1">
      <c r="A386" s="36"/>
    </row>
    <row r="387" spans="1:1">
      <c r="A387" s="36"/>
    </row>
    <row r="388" spans="1:1">
      <c r="A388" s="36"/>
    </row>
    <row r="389" spans="1:1">
      <c r="A389" s="36"/>
    </row>
    <row r="390" spans="1:1">
      <c r="A390" s="36"/>
    </row>
    <row r="391" spans="1:1">
      <c r="A391" s="36"/>
    </row>
    <row r="392" spans="1:1">
      <c r="A392" s="36"/>
    </row>
    <row r="393" spans="1:1">
      <c r="A393" s="36"/>
    </row>
    <row r="394" spans="1:1">
      <c r="A394" s="36"/>
    </row>
    <row r="395" spans="1:1">
      <c r="A395" s="36"/>
    </row>
    <row r="396" spans="1:1">
      <c r="A396" s="36"/>
    </row>
    <row r="397" spans="1:1">
      <c r="A397" s="36"/>
    </row>
    <row r="398" spans="1:1">
      <c r="A398" s="36"/>
    </row>
    <row r="399" spans="1:1">
      <c r="A399" s="36"/>
    </row>
    <row r="400" spans="1:1">
      <c r="A400" s="36"/>
    </row>
    <row r="401" spans="1:1">
      <c r="A401" s="36"/>
    </row>
    <row r="402" spans="1:1">
      <c r="A402" s="36"/>
    </row>
    <row r="403" spans="1:1">
      <c r="A403" s="36"/>
    </row>
    <row r="404" spans="1:1">
      <c r="A404" s="36"/>
    </row>
    <row r="405" spans="1:1">
      <c r="A405" s="36"/>
    </row>
    <row r="406" spans="1:1">
      <c r="A406" s="36"/>
    </row>
    <row r="407" spans="1:1">
      <c r="A407" s="36"/>
    </row>
    <row r="408" spans="1:1">
      <c r="A408" s="36"/>
    </row>
    <row r="409" spans="1:1">
      <c r="A409" s="36"/>
    </row>
    <row r="410" spans="1:1">
      <c r="A410" s="36"/>
    </row>
    <row r="411" spans="1:1">
      <c r="A411" s="36"/>
    </row>
    <row r="412" spans="1:1">
      <c r="A412" s="36"/>
    </row>
    <row r="413" spans="1:1">
      <c r="A413" s="36"/>
    </row>
    <row r="414" spans="1:1">
      <c r="A414" s="36"/>
    </row>
    <row r="415" spans="1:1">
      <c r="A415" s="36"/>
    </row>
    <row r="416" spans="1:1">
      <c r="A416" s="36"/>
    </row>
    <row r="417" spans="1:1">
      <c r="A417" s="36"/>
    </row>
    <row r="418" spans="1:1">
      <c r="A418" s="36"/>
    </row>
    <row r="419" spans="1:1">
      <c r="A419" s="36"/>
    </row>
    <row r="420" spans="1:1">
      <c r="A420" s="36"/>
    </row>
    <row r="421" spans="1:1">
      <c r="A421" s="36"/>
    </row>
    <row r="422" spans="1:1">
      <c r="A422" s="36"/>
    </row>
    <row r="423" spans="1:1">
      <c r="A423" s="36"/>
    </row>
    <row r="424" spans="1:1">
      <c r="A424" s="36"/>
    </row>
    <row r="425" spans="1:1">
      <c r="A425" s="36"/>
    </row>
    <row r="426" spans="1:1">
      <c r="A426" s="36"/>
    </row>
    <row r="427" spans="1:1">
      <c r="A427" s="36"/>
    </row>
    <row r="428" spans="1:1">
      <c r="A428" s="36"/>
    </row>
    <row r="429" spans="1:1">
      <c r="A429" s="36"/>
    </row>
    <row r="430" spans="1:1">
      <c r="A430" s="36"/>
    </row>
    <row r="431" spans="1:1">
      <c r="A431" s="36"/>
    </row>
    <row r="432" spans="1:1">
      <c r="A432" s="36"/>
    </row>
    <row r="433" spans="1:1">
      <c r="A433" s="36"/>
    </row>
    <row r="434" spans="1:1">
      <c r="A434" s="36"/>
    </row>
    <row r="435" spans="1:1">
      <c r="A435" s="36"/>
    </row>
    <row r="436" spans="1:1">
      <c r="A436" s="36"/>
    </row>
    <row r="437" spans="1:1">
      <c r="A437" s="36"/>
    </row>
    <row r="438" spans="1:1">
      <c r="A438" s="36"/>
    </row>
    <row r="439" spans="1:1">
      <c r="A439" s="36"/>
    </row>
    <row r="440" spans="1:1">
      <c r="A440" s="36"/>
    </row>
    <row r="441" spans="1:1">
      <c r="A441" s="36"/>
    </row>
    <row r="442" spans="1:1">
      <c r="A442" s="36"/>
    </row>
    <row r="443" spans="1:1">
      <c r="A443" s="36"/>
    </row>
    <row r="444" spans="1:1">
      <c r="A444" s="36"/>
    </row>
    <row r="445" spans="1:1">
      <c r="A445" s="36"/>
    </row>
    <row r="446" spans="1:1">
      <c r="A446" s="36"/>
    </row>
    <row r="447" spans="1:1">
      <c r="A447" s="36"/>
    </row>
    <row r="448" spans="1:1">
      <c r="A448" s="36"/>
    </row>
    <row r="449" spans="1:1">
      <c r="A449" s="36"/>
    </row>
    <row r="450" spans="1:1">
      <c r="A450" s="36"/>
    </row>
    <row r="451" spans="1:1">
      <c r="A451" s="36"/>
    </row>
    <row r="452" spans="1:1">
      <c r="A452" s="36"/>
    </row>
    <row r="453" spans="1:1">
      <c r="A453" s="36"/>
    </row>
    <row r="454" spans="1:1">
      <c r="A454" s="36"/>
    </row>
    <row r="455" spans="1:1">
      <c r="A455" s="36"/>
    </row>
    <row r="456" spans="1:1">
      <c r="A456" s="36"/>
    </row>
    <row r="457" spans="1:1">
      <c r="A457" s="36"/>
    </row>
    <row r="458" spans="1:1">
      <c r="A458" s="36"/>
    </row>
    <row r="459" spans="1:1">
      <c r="A459" s="36"/>
    </row>
    <row r="460" spans="1:1">
      <c r="A460" s="36"/>
    </row>
    <row r="461" spans="1:1">
      <c r="A461" s="36"/>
    </row>
    <row r="462" spans="1:1">
      <c r="A462" s="36"/>
    </row>
    <row r="463" spans="1:1">
      <c r="A463" s="36"/>
    </row>
    <row r="464" spans="1:1">
      <c r="A464" s="36"/>
    </row>
    <row r="465" spans="1:1">
      <c r="A465" s="36"/>
    </row>
    <row r="466" spans="1:1">
      <c r="A466" s="36"/>
    </row>
    <row r="467" spans="1:1">
      <c r="A467" s="36"/>
    </row>
    <row r="468" spans="1:1">
      <c r="A468" s="36"/>
    </row>
    <row r="469" spans="1:1">
      <c r="A469" s="36"/>
    </row>
    <row r="470" spans="1:1">
      <c r="A470" s="36"/>
    </row>
    <row r="471" spans="1:1">
      <c r="A471" s="36"/>
    </row>
    <row r="472" spans="1:1">
      <c r="A472" s="36"/>
    </row>
    <row r="473" spans="1:1">
      <c r="A473" s="36"/>
    </row>
    <row r="474" spans="1:1">
      <c r="A474" s="36"/>
    </row>
    <row r="475" spans="1:1">
      <c r="A475" s="36"/>
    </row>
    <row r="476" spans="1:1">
      <c r="A476" s="36"/>
    </row>
    <row r="477" spans="1:1">
      <c r="A477" s="36"/>
    </row>
    <row r="478" spans="1:1">
      <c r="A478" s="36"/>
    </row>
    <row r="479" spans="1:1">
      <c r="A479" s="36"/>
    </row>
    <row r="480" spans="1:1">
      <c r="A480" s="36"/>
    </row>
    <row r="481" spans="1:1">
      <c r="A481" s="36"/>
    </row>
    <row r="482" spans="1:1">
      <c r="A482" s="36"/>
    </row>
    <row r="483" spans="1:1">
      <c r="A483" s="36"/>
    </row>
    <row r="484" spans="1:1">
      <c r="A484" s="36"/>
    </row>
    <row r="485" spans="1:1">
      <c r="A485" s="36"/>
    </row>
    <row r="486" spans="1:1">
      <c r="A486" s="36"/>
    </row>
    <row r="487" spans="1:1">
      <c r="A487" s="36"/>
    </row>
    <row r="488" spans="1:1">
      <c r="A488" s="36"/>
    </row>
    <row r="489" spans="1:1">
      <c r="A489" s="36"/>
    </row>
    <row r="490" spans="1:1">
      <c r="A490" s="36"/>
    </row>
    <row r="491" spans="1:1">
      <c r="A491" s="36"/>
    </row>
    <row r="492" spans="1:1">
      <c r="A492" s="36"/>
    </row>
    <row r="493" spans="1:1">
      <c r="A493" s="36"/>
    </row>
    <row r="494" spans="1:1">
      <c r="A494" s="36"/>
    </row>
    <row r="495" spans="1:1">
      <c r="A495" s="36"/>
    </row>
    <row r="496" spans="1:1">
      <c r="A496" s="36"/>
    </row>
    <row r="497" spans="1:1">
      <c r="A497" s="36"/>
    </row>
    <row r="498" spans="1:1">
      <c r="A498" s="36"/>
    </row>
    <row r="499" spans="1:1">
      <c r="A499" s="36"/>
    </row>
    <row r="500" spans="1:1">
      <c r="A500" s="36"/>
    </row>
    <row r="501" spans="1:1">
      <c r="A501" s="36"/>
    </row>
    <row r="502" spans="1:1">
      <c r="A502" s="36"/>
    </row>
    <row r="503" spans="1:1">
      <c r="A503" s="36"/>
    </row>
    <row r="504" spans="1:1">
      <c r="A504" s="36"/>
    </row>
    <row r="505" spans="1:1">
      <c r="A505" s="36"/>
    </row>
    <row r="506" spans="1:1">
      <c r="A506" s="36"/>
    </row>
    <row r="507" spans="1:1">
      <c r="A507" s="36"/>
    </row>
    <row r="508" spans="1:1">
      <c r="A508" s="36"/>
    </row>
    <row r="509" spans="1:1">
      <c r="A509" s="36"/>
    </row>
    <row r="510" spans="1:1">
      <c r="A510" s="36"/>
    </row>
    <row r="511" spans="1:1">
      <c r="A511" s="36"/>
    </row>
    <row r="512" spans="1:1">
      <c r="A512" s="36"/>
    </row>
    <row r="513" spans="1:1">
      <c r="A513" s="36"/>
    </row>
    <row r="514" spans="1:1">
      <c r="A514" s="36"/>
    </row>
    <row r="515" spans="1:1">
      <c r="A515" s="36"/>
    </row>
    <row r="516" spans="1:1">
      <c r="A516" s="36"/>
    </row>
    <row r="517" spans="1:1">
      <c r="A517" s="36"/>
    </row>
    <row r="518" spans="1:1">
      <c r="A518" s="36"/>
    </row>
    <row r="519" spans="1:1">
      <c r="A519" s="36"/>
    </row>
    <row r="520" spans="1:1">
      <c r="A520" s="36"/>
    </row>
    <row r="521" spans="1:1">
      <c r="A521" s="36"/>
    </row>
    <row r="522" spans="1:1">
      <c r="A522" s="36"/>
    </row>
    <row r="523" spans="1:1">
      <c r="A523" s="36"/>
    </row>
    <row r="524" spans="1:1">
      <c r="A524" s="36"/>
    </row>
    <row r="525" spans="1:1">
      <c r="A525" s="36"/>
    </row>
    <row r="526" spans="1:1">
      <c r="A526" s="36"/>
    </row>
    <row r="527" spans="1:1">
      <c r="A527" s="36"/>
    </row>
    <row r="528" spans="1:1">
      <c r="A528" s="36"/>
    </row>
    <row r="529" spans="1:1">
      <c r="A529" s="36"/>
    </row>
    <row r="530" spans="1:1">
      <c r="A530" s="36"/>
    </row>
    <row r="531" spans="1:1">
      <c r="A531" s="36"/>
    </row>
    <row r="532" spans="1:1">
      <c r="A532" s="36"/>
    </row>
    <row r="533" spans="1:1">
      <c r="A533" s="36"/>
    </row>
    <row r="534" spans="1:1">
      <c r="A534" s="36"/>
    </row>
    <row r="535" spans="1:1">
      <c r="A535" s="36"/>
    </row>
    <row r="536" spans="1:1">
      <c r="A536" s="36"/>
    </row>
    <row r="537" spans="1:1">
      <c r="A537" s="36"/>
    </row>
    <row r="538" spans="1:1">
      <c r="A538" s="36"/>
    </row>
    <row r="539" spans="1:1">
      <c r="A539" s="36"/>
    </row>
    <row r="540" spans="1:1">
      <c r="A540" s="36"/>
    </row>
    <row r="541" spans="1:1">
      <c r="A541" s="36"/>
    </row>
    <row r="542" spans="1:1">
      <c r="A542" s="36"/>
    </row>
    <row r="543" spans="1:1">
      <c r="A543" s="36"/>
    </row>
    <row r="544" spans="1:1">
      <c r="A544" s="36"/>
    </row>
    <row r="545" spans="1:1">
      <c r="A545" s="36"/>
    </row>
    <row r="546" spans="1:1">
      <c r="A546" s="36"/>
    </row>
    <row r="547" spans="1:1">
      <c r="A547" s="36"/>
    </row>
    <row r="548" spans="1:1">
      <c r="A548" s="36"/>
    </row>
    <row r="549" spans="1:1">
      <c r="A549" s="36"/>
    </row>
    <row r="550" spans="1:1">
      <c r="A550" s="36"/>
    </row>
    <row r="551" spans="1:1">
      <c r="A551" s="36"/>
    </row>
    <row r="552" spans="1:1">
      <c r="A552" s="36"/>
    </row>
    <row r="553" spans="1:1">
      <c r="A553" s="36"/>
    </row>
    <row r="554" spans="1:1">
      <c r="A554" s="36"/>
    </row>
    <row r="555" spans="1:1">
      <c r="A555" s="36"/>
    </row>
    <row r="556" spans="1:1">
      <c r="A556" s="36"/>
    </row>
    <row r="557" spans="1:1">
      <c r="A557" s="36"/>
    </row>
    <row r="558" spans="1:1">
      <c r="A558" s="36"/>
    </row>
    <row r="559" spans="1:1">
      <c r="A559" s="36"/>
    </row>
    <row r="560" spans="1:1">
      <c r="A560" s="36"/>
    </row>
    <row r="561" spans="1:1">
      <c r="A561" s="36"/>
    </row>
    <row r="562" spans="1:1">
      <c r="A562" s="36"/>
    </row>
    <row r="563" spans="1:1">
      <c r="A563" s="36"/>
    </row>
    <row r="564" spans="1:1">
      <c r="A564" s="36"/>
    </row>
    <row r="565" spans="1:1">
      <c r="A565" s="36"/>
    </row>
    <row r="566" spans="1:1">
      <c r="A566" s="36"/>
    </row>
    <row r="567" spans="1:1">
      <c r="A567" s="36"/>
    </row>
    <row r="568" spans="1:1">
      <c r="A568" s="36"/>
    </row>
    <row r="569" spans="1:1">
      <c r="A569" s="36"/>
    </row>
    <row r="570" spans="1:1">
      <c r="A570" s="36"/>
    </row>
    <row r="571" spans="1:1">
      <c r="A571" s="36"/>
    </row>
    <row r="572" spans="1:1">
      <c r="A572" s="36"/>
    </row>
    <row r="573" spans="1:1">
      <c r="A573" s="36"/>
    </row>
    <row r="574" spans="1:1">
      <c r="A574" s="36"/>
    </row>
    <row r="575" spans="1:1">
      <c r="A575" s="36"/>
    </row>
    <row r="576" spans="1:1">
      <c r="A576" s="36"/>
    </row>
    <row r="577" spans="1:1">
      <c r="A577" s="36"/>
    </row>
    <row r="578" spans="1:1">
      <c r="A578" s="36"/>
    </row>
    <row r="579" spans="1:1">
      <c r="A579" s="36"/>
    </row>
    <row r="580" spans="1:1">
      <c r="A580" s="36"/>
    </row>
    <row r="581" spans="1:1">
      <c r="A581" s="36"/>
    </row>
    <row r="582" spans="1:1">
      <c r="A582" s="36"/>
    </row>
    <row r="583" spans="1:1">
      <c r="A583" s="36"/>
    </row>
    <row r="584" spans="1:1">
      <c r="A584" s="36"/>
    </row>
    <row r="585" spans="1:1">
      <c r="A585" s="36"/>
    </row>
    <row r="586" spans="1:1">
      <c r="A586" s="36"/>
    </row>
    <row r="587" spans="1:1">
      <c r="A587" s="36"/>
    </row>
    <row r="588" spans="1:1">
      <c r="A588" s="36"/>
    </row>
    <row r="589" spans="1:1">
      <c r="A589" s="36"/>
    </row>
    <row r="590" spans="1:1">
      <c r="A590" s="36"/>
    </row>
    <row r="591" spans="1:1">
      <c r="A591" s="36"/>
    </row>
    <row r="592" spans="1:1">
      <c r="A592" s="36"/>
    </row>
    <row r="593" spans="1:1">
      <c r="A593" s="36"/>
    </row>
    <row r="594" spans="1:1">
      <c r="A594" s="36"/>
    </row>
    <row r="595" spans="1:1">
      <c r="A595" s="36"/>
    </row>
    <row r="596" spans="1:1">
      <c r="A596" s="36"/>
    </row>
    <row r="597" spans="1:1">
      <c r="A597" s="36"/>
    </row>
    <row r="598" spans="1:1">
      <c r="A598" s="36"/>
    </row>
    <row r="599" spans="1:1">
      <c r="A599" s="36"/>
    </row>
    <row r="600" spans="1:1">
      <c r="A600" s="36"/>
    </row>
    <row r="601" spans="1:1">
      <c r="A601" s="36"/>
    </row>
    <row r="602" spans="1:1">
      <c r="A602" s="36"/>
    </row>
    <row r="603" spans="1:1">
      <c r="A603" s="36"/>
    </row>
    <row r="604" spans="1:1">
      <c r="A604" s="36"/>
    </row>
    <row r="605" spans="1:1">
      <c r="A605" s="36"/>
    </row>
    <row r="606" spans="1:1">
      <c r="A606" s="36"/>
    </row>
    <row r="607" spans="1:1">
      <c r="A607" s="36"/>
    </row>
    <row r="608" spans="1:1">
      <c r="A608" s="36"/>
    </row>
    <row r="609" spans="1:1">
      <c r="A609" s="36"/>
    </row>
    <row r="610" spans="1:1">
      <c r="A610" s="36"/>
    </row>
    <row r="611" spans="1:1">
      <c r="A611" s="36"/>
    </row>
    <row r="612" spans="1:1">
      <c r="A612" s="36"/>
    </row>
    <row r="613" spans="1:1">
      <c r="A613" s="36"/>
    </row>
    <row r="614" spans="1:1">
      <c r="A614" s="36"/>
    </row>
    <row r="615" spans="1:1">
      <c r="A615" s="36"/>
    </row>
    <row r="616" spans="1:1">
      <c r="A616" s="36"/>
    </row>
    <row r="617" spans="1:1">
      <c r="A617" s="36"/>
    </row>
    <row r="618" spans="1:1">
      <c r="A618" s="36"/>
    </row>
    <row r="619" spans="1:1">
      <c r="A619" s="36"/>
    </row>
    <row r="620" spans="1:1">
      <c r="A620" s="36"/>
    </row>
    <row r="621" spans="1:1">
      <c r="A621" s="36"/>
    </row>
    <row r="622" spans="1:1">
      <c r="A622" s="36"/>
    </row>
    <row r="623" spans="1:1">
      <c r="A623" s="36"/>
    </row>
    <row r="624" spans="1:1">
      <c r="A624" s="36"/>
    </row>
    <row r="625" spans="1:1">
      <c r="A625" s="36"/>
    </row>
    <row r="626" spans="1:1">
      <c r="A626" s="36"/>
    </row>
    <row r="627" spans="1:1">
      <c r="A627" s="36"/>
    </row>
    <row r="628" spans="1:1">
      <c r="A628" s="36"/>
    </row>
    <row r="629" spans="1:1">
      <c r="A629" s="36"/>
    </row>
    <row r="630" spans="1:1">
      <c r="A630" s="36"/>
    </row>
    <row r="631" spans="1:1">
      <c r="A631" s="36"/>
    </row>
    <row r="632" spans="1:1">
      <c r="A632" s="36"/>
    </row>
    <row r="633" spans="1:1">
      <c r="A633" s="36"/>
    </row>
    <row r="634" spans="1:1">
      <c r="A634" s="36"/>
    </row>
    <row r="635" spans="1:1">
      <c r="A635" s="36"/>
    </row>
    <row r="636" spans="1:1">
      <c r="A636" s="36"/>
    </row>
    <row r="637" spans="1:1">
      <c r="A637" s="36"/>
    </row>
    <row r="638" spans="1:1">
      <c r="A638" s="36"/>
    </row>
    <row r="639" spans="1:1">
      <c r="A639" s="36"/>
    </row>
    <row r="640" spans="1:1">
      <c r="A640" s="36"/>
    </row>
    <row r="641" spans="1:1">
      <c r="A641" s="36"/>
    </row>
    <row r="642" spans="1:1">
      <c r="A642" s="36"/>
    </row>
    <row r="643" spans="1:1">
      <c r="A643" s="36"/>
    </row>
    <row r="644" spans="1:1">
      <c r="A644" s="36"/>
    </row>
    <row r="645" spans="1:1">
      <c r="A645" s="36"/>
    </row>
    <row r="646" spans="1:1">
      <c r="A646" s="36"/>
    </row>
    <row r="647" spans="1:1">
      <c r="A647" s="36"/>
    </row>
    <row r="648" spans="1:1">
      <c r="A648" s="36"/>
    </row>
    <row r="649" spans="1:1">
      <c r="A649" s="36"/>
    </row>
    <row r="650" spans="1:1">
      <c r="A650" s="36"/>
    </row>
    <row r="651" spans="1:1">
      <c r="A651" s="36"/>
    </row>
    <row r="652" spans="1:1">
      <c r="A652" s="36"/>
    </row>
    <row r="653" spans="1:1">
      <c r="A653" s="36"/>
    </row>
    <row r="654" spans="1:1">
      <c r="A654" s="36"/>
    </row>
    <row r="655" spans="1:1">
      <c r="A655" s="36"/>
    </row>
    <row r="656" spans="1:1">
      <c r="A656" s="36"/>
    </row>
    <row r="657" spans="1:1">
      <c r="A657" s="36"/>
    </row>
    <row r="658" spans="1:1">
      <c r="A658" s="36"/>
    </row>
    <row r="659" spans="1:1">
      <c r="A659" s="36"/>
    </row>
    <row r="660" spans="1:1">
      <c r="A660" s="36"/>
    </row>
    <row r="661" spans="1:1">
      <c r="A661" s="36"/>
    </row>
    <row r="662" spans="1:1">
      <c r="A662" s="36"/>
    </row>
    <row r="663" spans="1:1">
      <c r="A663" s="36"/>
    </row>
    <row r="664" spans="1:1">
      <c r="A664" s="36"/>
    </row>
    <row r="665" spans="1:1">
      <c r="A665" s="36"/>
    </row>
    <row r="666" spans="1:1">
      <c r="A666" s="36"/>
    </row>
    <row r="667" spans="1:1">
      <c r="A667" s="36"/>
    </row>
    <row r="668" spans="1:1">
      <c r="A668" s="36"/>
    </row>
    <row r="669" spans="1:1">
      <c r="A669" s="36"/>
    </row>
    <row r="670" spans="1:1">
      <c r="A670" s="36"/>
    </row>
    <row r="671" spans="1:1">
      <c r="A671" s="36"/>
    </row>
    <row r="672" spans="1:1">
      <c r="A672" s="36"/>
    </row>
    <row r="673" spans="1:1">
      <c r="A673" s="36"/>
    </row>
    <row r="674" spans="1:1">
      <c r="A674" s="36"/>
    </row>
    <row r="675" spans="1:1">
      <c r="A675" s="36"/>
    </row>
    <row r="676" spans="1:1">
      <c r="A676" s="36"/>
    </row>
    <row r="677" spans="1:1">
      <c r="A677" s="36"/>
    </row>
    <row r="678" spans="1:1">
      <c r="A678" s="36"/>
    </row>
    <row r="679" spans="1:1">
      <c r="A679" s="36"/>
    </row>
    <row r="680" spans="1:1">
      <c r="A680" s="36"/>
    </row>
    <row r="681" spans="1:1">
      <c r="A681" s="36"/>
    </row>
    <row r="682" spans="1:1">
      <c r="A682" s="36"/>
    </row>
    <row r="683" spans="1:1">
      <c r="A683" s="36"/>
    </row>
    <row r="684" spans="1:1">
      <c r="A684" s="36"/>
    </row>
    <row r="685" spans="1:1">
      <c r="A685" s="36"/>
    </row>
    <row r="686" spans="1:1">
      <c r="A686" s="36"/>
    </row>
    <row r="687" spans="1:1">
      <c r="A687" s="36"/>
    </row>
    <row r="688" spans="1:1">
      <c r="A688" s="36"/>
    </row>
    <row r="689" spans="1:1">
      <c r="A689" s="36"/>
    </row>
    <row r="690" spans="1:1">
      <c r="A690" s="36"/>
    </row>
    <row r="691" spans="1:1">
      <c r="A691" s="36"/>
    </row>
    <row r="692" spans="1:1">
      <c r="A692" s="36"/>
    </row>
    <row r="693" spans="1:1">
      <c r="A693" s="36"/>
    </row>
    <row r="694" spans="1:1">
      <c r="A694" s="36"/>
    </row>
    <row r="695" spans="1:1">
      <c r="A695" s="36"/>
    </row>
    <row r="696" spans="1:1">
      <c r="A696" s="36"/>
    </row>
    <row r="697" spans="1:1">
      <c r="A697" s="36"/>
    </row>
    <row r="698" spans="1:1">
      <c r="A698" s="36"/>
    </row>
    <row r="699" spans="1:1">
      <c r="A699" s="36"/>
    </row>
    <row r="700" spans="1:1">
      <c r="A700" s="36"/>
    </row>
    <row r="701" spans="1:1">
      <c r="A701" s="36"/>
    </row>
    <row r="702" spans="1:1">
      <c r="A702" s="36"/>
    </row>
    <row r="703" spans="1:1">
      <c r="A703" s="36"/>
    </row>
    <row r="704" spans="1:1">
      <c r="A704" s="36"/>
    </row>
    <row r="705" spans="1:1">
      <c r="A705" s="36"/>
    </row>
    <row r="706" spans="1:1">
      <c r="A706" s="36"/>
    </row>
    <row r="707" spans="1:1">
      <c r="A707" s="36"/>
    </row>
    <row r="708" spans="1:1">
      <c r="A708" s="36"/>
    </row>
    <row r="709" spans="1:1">
      <c r="A709" s="36"/>
    </row>
    <row r="710" spans="1:1">
      <c r="A710" s="36"/>
    </row>
    <row r="711" spans="1:1">
      <c r="A711" s="36"/>
    </row>
    <row r="712" spans="1:1">
      <c r="A712" s="36"/>
    </row>
    <row r="713" spans="1:1">
      <c r="A713" s="36"/>
    </row>
    <row r="714" spans="1:1">
      <c r="A714" s="36"/>
    </row>
    <row r="715" spans="1:1">
      <c r="A715" s="36"/>
    </row>
    <row r="716" spans="1:1">
      <c r="A716" s="36"/>
    </row>
    <row r="717" spans="1:1">
      <c r="A717" s="36"/>
    </row>
    <row r="718" spans="1:1">
      <c r="A718" s="36"/>
    </row>
    <row r="719" spans="1:1">
      <c r="A719" s="36"/>
    </row>
    <row r="720" spans="1:1">
      <c r="A720" s="36"/>
    </row>
    <row r="721" spans="1:1">
      <c r="A721" s="36"/>
    </row>
    <row r="722" spans="1:1">
      <c r="A722" s="36"/>
    </row>
    <row r="723" spans="1:1">
      <c r="A723" s="36"/>
    </row>
    <row r="724" spans="1:1">
      <c r="A724" s="36"/>
    </row>
    <row r="725" spans="1:1">
      <c r="A725" s="36"/>
    </row>
    <row r="726" spans="1:1">
      <c r="A726" s="36"/>
    </row>
    <row r="727" spans="1:1">
      <c r="A727" s="36"/>
    </row>
    <row r="728" spans="1:1">
      <c r="A728" s="36"/>
    </row>
    <row r="729" spans="1:1">
      <c r="A729" s="36"/>
    </row>
    <row r="730" spans="1:1">
      <c r="A730" s="36"/>
    </row>
    <row r="731" spans="1:1">
      <c r="A731" s="36"/>
    </row>
    <row r="732" spans="1:1">
      <c r="A732" s="36"/>
    </row>
    <row r="733" spans="1:1">
      <c r="A733" s="36"/>
    </row>
    <row r="734" spans="1:1">
      <c r="A734" s="36"/>
    </row>
    <row r="735" spans="1:1">
      <c r="A735" s="36"/>
    </row>
    <row r="736" spans="1:1">
      <c r="A736" s="36"/>
    </row>
    <row r="737" spans="1:1">
      <c r="A737" s="36"/>
    </row>
    <row r="738" spans="1:1">
      <c r="A738" s="36"/>
    </row>
    <row r="739" spans="1:1">
      <c r="A739" s="36"/>
    </row>
    <row r="740" spans="1:1">
      <c r="A740" s="36"/>
    </row>
    <row r="741" spans="1:1">
      <c r="A741" s="36"/>
    </row>
    <row r="742" spans="1:1">
      <c r="A742" s="36"/>
    </row>
    <row r="743" spans="1:1">
      <c r="A743" s="36"/>
    </row>
    <row r="744" spans="1:1">
      <c r="A744" s="36"/>
    </row>
    <row r="745" spans="1:1">
      <c r="A745" s="36"/>
    </row>
    <row r="746" spans="1:1">
      <c r="A746" s="36"/>
    </row>
    <row r="747" spans="1:1">
      <c r="A747" s="36"/>
    </row>
    <row r="748" spans="1:1">
      <c r="A748" s="36"/>
    </row>
    <row r="749" spans="1:1">
      <c r="A749" s="36"/>
    </row>
    <row r="750" spans="1:1">
      <c r="A750" s="36"/>
    </row>
    <row r="751" spans="1:1">
      <c r="A751" s="36"/>
    </row>
    <row r="752" spans="1:1">
      <c r="A752" s="36"/>
    </row>
    <row r="753" spans="1:1">
      <c r="A753" s="36"/>
    </row>
    <row r="754" spans="1:1">
      <c r="A754" s="36"/>
    </row>
    <row r="755" spans="1:1">
      <c r="A755" s="36"/>
    </row>
    <row r="756" spans="1:1">
      <c r="A756" s="36"/>
    </row>
    <row r="757" spans="1:1">
      <c r="A757" s="36"/>
    </row>
    <row r="758" spans="1:1">
      <c r="A758" s="36"/>
    </row>
    <row r="759" spans="1:1">
      <c r="A759" s="36"/>
    </row>
    <row r="760" spans="1:1">
      <c r="A760" s="36"/>
    </row>
    <row r="761" spans="1:1">
      <c r="A761" s="36"/>
    </row>
    <row r="762" spans="1:1">
      <c r="A762" s="36"/>
    </row>
    <row r="763" spans="1:1">
      <c r="A763" s="36"/>
    </row>
    <row r="764" spans="1:1">
      <c r="A764" s="36"/>
    </row>
    <row r="765" spans="1:1">
      <c r="A765" s="36"/>
    </row>
    <row r="766" spans="1:1">
      <c r="A766" s="36"/>
    </row>
    <row r="767" spans="1:1">
      <c r="A767" s="36"/>
    </row>
    <row r="768" spans="1:1">
      <c r="A768" s="36"/>
    </row>
    <row r="769" spans="1:1">
      <c r="A769" s="36"/>
    </row>
    <row r="770" spans="1:1">
      <c r="A770" s="36"/>
    </row>
    <row r="771" spans="1:1">
      <c r="A771" s="36"/>
    </row>
    <row r="772" spans="1:1">
      <c r="A772" s="36"/>
    </row>
    <row r="773" spans="1:1">
      <c r="A773" s="36"/>
    </row>
    <row r="774" spans="1:1">
      <c r="A774" s="36"/>
    </row>
    <row r="775" spans="1:1">
      <c r="A775" s="36"/>
    </row>
    <row r="776" spans="1:1">
      <c r="A776" s="36"/>
    </row>
    <row r="777" spans="1:1">
      <c r="A777" s="36"/>
    </row>
    <row r="778" spans="1:1">
      <c r="A778" s="36"/>
    </row>
    <row r="779" spans="1:1">
      <c r="A779" s="36"/>
    </row>
    <row r="780" spans="1:1">
      <c r="A780" s="36"/>
    </row>
    <row r="781" spans="1:1">
      <c r="A781" s="36"/>
    </row>
    <row r="782" spans="1:1">
      <c r="A782" s="36"/>
    </row>
    <row r="783" spans="1:1">
      <c r="A783" s="36"/>
    </row>
    <row r="784" spans="1:1">
      <c r="A784" s="36"/>
    </row>
    <row r="785" spans="1:1">
      <c r="A785" s="36"/>
    </row>
    <row r="786" spans="1:1">
      <c r="A786" s="36"/>
    </row>
    <row r="787" spans="1:1">
      <c r="A787" s="36"/>
    </row>
    <row r="788" spans="1:1">
      <c r="A788" s="36"/>
    </row>
    <row r="789" spans="1:1">
      <c r="A789" s="36"/>
    </row>
    <row r="790" spans="1:1">
      <c r="A790" s="36"/>
    </row>
    <row r="791" spans="1:1">
      <c r="A791" s="36"/>
    </row>
    <row r="792" spans="1:1">
      <c r="A792" s="36"/>
    </row>
    <row r="793" spans="1:1">
      <c r="A793" s="36"/>
    </row>
    <row r="794" spans="1:1">
      <c r="A794" s="36"/>
    </row>
    <row r="795" spans="1:1">
      <c r="A795" s="36"/>
    </row>
    <row r="796" spans="1:1">
      <c r="A796" s="36"/>
    </row>
    <row r="797" spans="1:1">
      <c r="A797" s="36"/>
    </row>
    <row r="798" spans="1:1">
      <c r="A798" s="36"/>
    </row>
    <row r="799" spans="1:1">
      <c r="A799" s="36"/>
    </row>
    <row r="800" spans="1:1">
      <c r="A800" s="36"/>
    </row>
    <row r="801" spans="1:1">
      <c r="A801" s="36"/>
    </row>
    <row r="802" spans="1:1">
      <c r="A802" s="36"/>
    </row>
    <row r="803" spans="1:1">
      <c r="A803" s="36"/>
    </row>
    <row r="804" spans="1:1">
      <c r="A804" s="36"/>
    </row>
    <row r="805" spans="1:1">
      <c r="A805" s="36"/>
    </row>
    <row r="806" spans="1:1">
      <c r="A806" s="36"/>
    </row>
    <row r="807" spans="1:1">
      <c r="A807" s="36"/>
    </row>
    <row r="808" spans="1:1">
      <c r="A808" s="36"/>
    </row>
    <row r="809" spans="1:1">
      <c r="A809" s="36"/>
    </row>
    <row r="810" spans="1:1">
      <c r="A810" s="36"/>
    </row>
    <row r="811" spans="1:1">
      <c r="A811" s="36"/>
    </row>
    <row r="812" spans="1:1">
      <c r="A812" s="36"/>
    </row>
    <row r="813" spans="1:1">
      <c r="A813" s="36"/>
    </row>
    <row r="814" spans="1:1">
      <c r="A814" s="36"/>
    </row>
    <row r="815" spans="1:1">
      <c r="A815" s="36"/>
    </row>
    <row r="816" spans="1:1">
      <c r="A816" s="36"/>
    </row>
    <row r="817" spans="1:1">
      <c r="A817" s="36"/>
    </row>
    <row r="818" spans="1:1">
      <c r="A818" s="36"/>
    </row>
    <row r="819" spans="1:1">
      <c r="A819" s="36"/>
    </row>
    <row r="820" spans="1:1">
      <c r="A820" s="36"/>
    </row>
    <row r="821" spans="1:1">
      <c r="A821" s="36"/>
    </row>
    <row r="822" spans="1:1">
      <c r="A822" s="36"/>
    </row>
    <row r="823" spans="1:1">
      <c r="A823" s="36"/>
    </row>
    <row r="824" spans="1:1">
      <c r="A824" s="36"/>
    </row>
    <row r="825" spans="1:1">
      <c r="A825" s="36"/>
    </row>
    <row r="826" spans="1:1">
      <c r="A826" s="36"/>
    </row>
    <row r="827" spans="1:1">
      <c r="A827" s="36"/>
    </row>
    <row r="828" spans="1:1">
      <c r="A828" s="36"/>
    </row>
    <row r="829" spans="1:1">
      <c r="A829" s="36"/>
    </row>
    <row r="830" spans="1:1">
      <c r="A830" s="36"/>
    </row>
    <row r="831" spans="1:1">
      <c r="A831" s="36"/>
    </row>
    <row r="832" spans="1:1">
      <c r="A832" s="36"/>
    </row>
    <row r="833" spans="1:1">
      <c r="A833" s="36"/>
    </row>
    <row r="834" spans="1:1">
      <c r="A834" s="36"/>
    </row>
    <row r="835" spans="1:1">
      <c r="A835" s="36"/>
    </row>
    <row r="836" spans="1:1">
      <c r="A836" s="36"/>
    </row>
    <row r="837" spans="1:1">
      <c r="A837" s="36"/>
    </row>
    <row r="838" spans="1:1">
      <c r="A838" s="36"/>
    </row>
    <row r="839" spans="1:1">
      <c r="A839" s="36"/>
    </row>
    <row r="840" spans="1:1">
      <c r="A840" s="36"/>
    </row>
    <row r="841" spans="1:1">
      <c r="A841" s="36"/>
    </row>
    <row r="842" spans="1:1">
      <c r="A842" s="36"/>
    </row>
    <row r="843" spans="1:1">
      <c r="A843" s="36"/>
    </row>
    <row r="844" spans="1:1">
      <c r="A844" s="36"/>
    </row>
    <row r="845" spans="1:1">
      <c r="A845" s="36"/>
    </row>
    <row r="846" spans="1:1">
      <c r="A846" s="36"/>
    </row>
    <row r="847" spans="1:1">
      <c r="A847" s="36"/>
    </row>
    <row r="848" spans="1:1">
      <c r="A848" s="36"/>
    </row>
    <row r="849" spans="1:1">
      <c r="A849" s="36"/>
    </row>
    <row r="850" spans="1:1">
      <c r="A850" s="36"/>
    </row>
    <row r="851" spans="1:1">
      <c r="A851" s="36"/>
    </row>
    <row r="852" spans="1:1">
      <c r="A852" s="36"/>
    </row>
    <row r="853" spans="1:1">
      <c r="A853" s="36"/>
    </row>
    <row r="854" spans="1:1">
      <c r="A854" s="36"/>
    </row>
    <row r="855" spans="1:1">
      <c r="A855" s="36"/>
    </row>
    <row r="856" spans="1:1">
      <c r="A856" s="36"/>
    </row>
    <row r="857" spans="1:1">
      <c r="A857" s="36"/>
    </row>
    <row r="858" spans="1:1">
      <c r="A858" s="36"/>
    </row>
    <row r="859" spans="1:1">
      <c r="A859" s="36"/>
    </row>
    <row r="860" spans="1:1">
      <c r="A860" s="36"/>
    </row>
    <row r="861" spans="1:1">
      <c r="A861" s="36"/>
    </row>
    <row r="862" spans="1:1">
      <c r="A862" s="36"/>
    </row>
    <row r="863" spans="1:1">
      <c r="A863" s="36"/>
    </row>
    <row r="864" spans="1:1">
      <c r="A864" s="36"/>
    </row>
    <row r="865" spans="1:1">
      <c r="A865" s="36"/>
    </row>
    <row r="866" spans="1:1">
      <c r="A866" s="36"/>
    </row>
    <row r="867" spans="1:1">
      <c r="A867" s="36"/>
    </row>
    <row r="868" spans="1:1">
      <c r="A868" s="36"/>
    </row>
    <row r="869" spans="1:1">
      <c r="A869" s="36"/>
    </row>
    <row r="870" spans="1:1">
      <c r="A870" s="36"/>
    </row>
    <row r="871" spans="1:1">
      <c r="A871" s="36"/>
    </row>
    <row r="872" spans="1:1">
      <c r="A872" s="36"/>
    </row>
    <row r="873" spans="1:1">
      <c r="A873" s="36"/>
    </row>
    <row r="874" spans="1:1">
      <c r="A874" s="36"/>
    </row>
    <row r="875" spans="1:1">
      <c r="A875" s="36"/>
    </row>
    <row r="876" spans="1:1">
      <c r="A876" s="36"/>
    </row>
    <row r="877" spans="1:1">
      <c r="A877" s="36"/>
    </row>
    <row r="878" spans="1:1">
      <c r="A878" s="36"/>
    </row>
    <row r="879" spans="1:1">
      <c r="A879" s="36"/>
    </row>
    <row r="880" spans="1:1">
      <c r="A880" s="36"/>
    </row>
    <row r="881" spans="1:1">
      <c r="A881" s="36"/>
    </row>
    <row r="882" spans="1:1">
      <c r="A882" s="36"/>
    </row>
    <row r="883" spans="1:1">
      <c r="A883" s="36"/>
    </row>
    <row r="884" spans="1:1">
      <c r="A884" s="36"/>
    </row>
    <row r="885" spans="1:1">
      <c r="A885" s="36"/>
    </row>
    <row r="886" spans="1:1">
      <c r="A886" s="36"/>
    </row>
    <row r="887" spans="1:1">
      <c r="A887" s="36"/>
    </row>
    <row r="888" spans="1:1">
      <c r="A888" s="36"/>
    </row>
    <row r="889" spans="1:1">
      <c r="A889" s="36"/>
    </row>
    <row r="890" spans="1:1">
      <c r="A890" s="36"/>
    </row>
    <row r="891" spans="1:1">
      <c r="A891" s="36"/>
    </row>
    <row r="892" spans="1:1">
      <c r="A892" s="36"/>
    </row>
    <row r="893" spans="1:1">
      <c r="A893" s="36"/>
    </row>
    <row r="894" spans="1:1">
      <c r="A894" s="36"/>
    </row>
    <row r="895" spans="1:1">
      <c r="A895" s="36"/>
    </row>
    <row r="896" spans="1:1">
      <c r="A896" s="36"/>
    </row>
    <row r="897" spans="1:1">
      <c r="A897" s="36"/>
    </row>
    <row r="898" spans="1:1">
      <c r="A898" s="36"/>
    </row>
    <row r="899" spans="1:1">
      <c r="A899" s="36"/>
    </row>
    <row r="900" spans="1:1">
      <c r="A900" s="36"/>
    </row>
    <row r="901" spans="1:1">
      <c r="A901" s="36"/>
    </row>
    <row r="902" spans="1:1">
      <c r="A902" s="36"/>
    </row>
    <row r="903" spans="1:1">
      <c r="A903" s="36"/>
    </row>
    <row r="904" spans="1:1">
      <c r="A904" s="36"/>
    </row>
    <row r="905" spans="1:1">
      <c r="A905" s="36"/>
    </row>
    <row r="906" spans="1:1">
      <c r="A906" s="36"/>
    </row>
    <row r="907" spans="1:1">
      <c r="A907" s="36"/>
    </row>
    <row r="908" spans="1:1">
      <c r="A908" s="36"/>
    </row>
    <row r="909" spans="1:1">
      <c r="A909" s="36"/>
    </row>
    <row r="910" spans="1:1">
      <c r="A910" s="36"/>
    </row>
    <row r="911" spans="1:1">
      <c r="A911" s="36"/>
    </row>
    <row r="912" spans="1:1">
      <c r="A912" s="36"/>
    </row>
    <row r="913" spans="1:1">
      <c r="A913" s="36"/>
    </row>
    <row r="914" spans="1:1">
      <c r="A914" s="36"/>
    </row>
    <row r="915" spans="1:1">
      <c r="A915" s="36"/>
    </row>
    <row r="916" spans="1:1">
      <c r="A916" s="36"/>
    </row>
    <row r="917" spans="1:1">
      <c r="A917" s="36"/>
    </row>
    <row r="918" spans="1:1">
      <c r="A918" s="36"/>
    </row>
    <row r="919" spans="1:1">
      <c r="A919" s="36"/>
    </row>
    <row r="920" spans="1:1">
      <c r="A920" s="36"/>
    </row>
    <row r="921" spans="1:1">
      <c r="A921" s="36"/>
    </row>
    <row r="922" spans="1:1">
      <c r="A922" s="36"/>
    </row>
    <row r="923" spans="1:1">
      <c r="A923" s="36"/>
    </row>
    <row r="924" spans="1:1">
      <c r="A924" s="36"/>
    </row>
    <row r="925" spans="1:1">
      <c r="A925" s="36"/>
    </row>
    <row r="926" spans="1:1">
      <c r="A926" s="36"/>
    </row>
    <row r="927" spans="1:1">
      <c r="A927" s="36"/>
    </row>
    <row r="928" spans="1:1">
      <c r="A928" s="36"/>
    </row>
    <row r="929" spans="1:1">
      <c r="A929" s="36"/>
    </row>
    <row r="930" spans="1:1">
      <c r="A930" s="36"/>
    </row>
    <row r="931" spans="1:1">
      <c r="A931" s="36"/>
    </row>
    <row r="932" spans="1:1">
      <c r="A932" s="36"/>
    </row>
    <row r="933" spans="1:1">
      <c r="A933" s="36"/>
    </row>
    <row r="934" spans="1:1">
      <c r="A934" s="36"/>
    </row>
    <row r="935" spans="1:1">
      <c r="A935" s="36"/>
    </row>
    <row r="936" spans="1:1">
      <c r="A936" s="36"/>
    </row>
    <row r="937" spans="1:1">
      <c r="A937" s="36"/>
    </row>
    <row r="938" spans="1:1">
      <c r="A938" s="36"/>
    </row>
    <row r="939" spans="1:1">
      <c r="A939" s="36"/>
    </row>
    <row r="940" spans="1:1">
      <c r="A940" s="36"/>
    </row>
    <row r="941" spans="1:1">
      <c r="A941" s="36"/>
    </row>
    <row r="942" spans="1:1">
      <c r="A942" s="36"/>
    </row>
    <row r="943" spans="1:1">
      <c r="A943" s="36"/>
    </row>
    <row r="944" spans="1:1">
      <c r="A944" s="36"/>
    </row>
    <row r="945" spans="1:1">
      <c r="A945" s="36"/>
    </row>
    <row r="946" spans="1:1">
      <c r="A946" s="36"/>
    </row>
    <row r="947" spans="1:1">
      <c r="A947" s="36"/>
    </row>
    <row r="948" spans="1:1">
      <c r="A948" s="36"/>
    </row>
    <row r="949" spans="1:1">
      <c r="A949" s="36"/>
    </row>
    <row r="950" spans="1:1">
      <c r="A950" s="36"/>
    </row>
    <row r="951" spans="1:1">
      <c r="A951" s="36"/>
    </row>
    <row r="952" spans="1:1">
      <c r="A952" s="36"/>
    </row>
    <row r="953" spans="1:1">
      <c r="A953" s="36"/>
    </row>
    <row r="954" spans="1:1">
      <c r="A954" s="36"/>
    </row>
    <row r="955" spans="1:1">
      <c r="A955" s="36"/>
    </row>
    <row r="956" spans="1:1">
      <c r="A956" s="36"/>
    </row>
    <row r="957" spans="1:1">
      <c r="A957" s="36"/>
    </row>
    <row r="958" spans="1:1">
      <c r="A958" s="36"/>
    </row>
    <row r="959" spans="1:1">
      <c r="A959" s="36"/>
    </row>
    <row r="960" spans="1:1">
      <c r="A960" s="36"/>
    </row>
    <row r="961" spans="1:1">
      <c r="A961" s="36"/>
    </row>
    <row r="962" spans="1:1">
      <c r="A962" s="36"/>
    </row>
    <row r="963" spans="1:1">
      <c r="A963" s="36"/>
    </row>
    <row r="964" spans="1:1">
      <c r="A964" s="36"/>
    </row>
    <row r="965" spans="1:1">
      <c r="A965" s="36"/>
    </row>
    <row r="966" spans="1:1">
      <c r="A966" s="36"/>
    </row>
    <row r="967" spans="1:1">
      <c r="A967" s="36"/>
    </row>
    <row r="968" spans="1:1">
      <c r="A968" s="36"/>
    </row>
    <row r="969" spans="1:1">
      <c r="A969" s="36"/>
    </row>
    <row r="970" spans="1:1">
      <c r="A970" s="36"/>
    </row>
    <row r="971" spans="1:1">
      <c r="A971" s="36"/>
    </row>
    <row r="972" spans="1:1">
      <c r="A972" s="36"/>
    </row>
    <row r="973" spans="1:1">
      <c r="A973" s="36"/>
    </row>
    <row r="974" spans="1:1">
      <c r="A974" s="36"/>
    </row>
    <row r="975" spans="1:1">
      <c r="A975" s="36"/>
    </row>
    <row r="976" spans="1:1">
      <c r="A976" s="36"/>
    </row>
    <row r="977" spans="1:1">
      <c r="A977" s="36"/>
    </row>
    <row r="978" spans="1:1">
      <c r="A978" s="36"/>
    </row>
    <row r="979" spans="1:1">
      <c r="A979" s="36"/>
    </row>
    <row r="980" spans="1:1">
      <c r="A980" s="36"/>
    </row>
    <row r="981" spans="1:1">
      <c r="A981" s="36"/>
    </row>
    <row r="982" spans="1:1">
      <c r="A982" s="36"/>
    </row>
    <row r="983" spans="1:1">
      <c r="A983" s="36"/>
    </row>
    <row r="984" spans="1:1">
      <c r="A984" s="36"/>
    </row>
    <row r="985" spans="1:1">
      <c r="A985" s="36"/>
    </row>
    <row r="986" spans="1:1">
      <c r="A986" s="36"/>
    </row>
    <row r="987" spans="1:1">
      <c r="A987" s="36"/>
    </row>
    <row r="988" spans="1:1">
      <c r="A988" s="36"/>
    </row>
    <row r="989" spans="1:1">
      <c r="A989" s="36"/>
    </row>
    <row r="990" spans="1:1">
      <c r="A990" s="36"/>
    </row>
    <row r="991" spans="1:1">
      <c r="A991" s="36"/>
    </row>
    <row r="992" spans="1:1">
      <c r="A992" s="36"/>
    </row>
    <row r="993" spans="1:1">
      <c r="A993" s="36"/>
    </row>
    <row r="994" spans="1:1">
      <c r="A994" s="36"/>
    </row>
    <row r="995" spans="1:1">
      <c r="A995" s="36"/>
    </row>
    <row r="996" spans="1:1">
      <c r="A996" s="36"/>
    </row>
    <row r="997" spans="1:1">
      <c r="A997" s="36"/>
    </row>
    <row r="998" spans="1:1">
      <c r="A998" s="36"/>
    </row>
    <row r="999" spans="1:1">
      <c r="A999" s="3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990"/>
  <sheetViews>
    <sheetView topLeftCell="A72" workbookViewId="0">
      <selection activeCell="A2" sqref="A2:G72"/>
    </sheetView>
  </sheetViews>
  <sheetFormatPr defaultColWidth="14.42578125" defaultRowHeight="15" customHeight="1"/>
  <cols>
    <col min="3" max="3" width="34.42578125" customWidth="1"/>
    <col min="6" max="6" width="19.28515625" customWidth="1"/>
    <col min="7" max="7" width="33.42578125" customWidth="1"/>
  </cols>
  <sheetData>
    <row r="1" spans="1:7">
      <c r="A1" s="8" t="s">
        <v>10</v>
      </c>
      <c r="B1" s="8" t="s">
        <v>53</v>
      </c>
      <c r="C1" s="8" t="s">
        <v>54</v>
      </c>
      <c r="D1" s="8" t="s">
        <v>18</v>
      </c>
      <c r="E1" s="8" t="s">
        <v>20</v>
      </c>
      <c r="F1" s="8" t="s">
        <v>55</v>
      </c>
      <c r="G1" s="8" t="s">
        <v>24</v>
      </c>
    </row>
    <row r="2" spans="1:7">
      <c r="A2" s="35">
        <v>45444</v>
      </c>
      <c r="B2" s="11" t="s">
        <v>370</v>
      </c>
      <c r="C2" s="11"/>
      <c r="D2" s="11" t="s">
        <v>63</v>
      </c>
      <c r="E2" s="11"/>
      <c r="F2" s="11">
        <v>31000</v>
      </c>
      <c r="G2" s="11" t="s">
        <v>371</v>
      </c>
    </row>
    <row r="3" spans="1:7">
      <c r="A3" s="35">
        <v>45444</v>
      </c>
      <c r="B3" s="11" t="s">
        <v>372</v>
      </c>
      <c r="C3" s="11" t="s">
        <v>373</v>
      </c>
      <c r="D3" s="11" t="s">
        <v>276</v>
      </c>
      <c r="E3" s="11"/>
      <c r="F3" s="11">
        <v>200000</v>
      </c>
      <c r="G3" s="11"/>
    </row>
    <row r="4" spans="1:7">
      <c r="A4" s="35">
        <v>45445</v>
      </c>
      <c r="B4" s="11" t="s">
        <v>374</v>
      </c>
      <c r="C4" s="11" t="s">
        <v>152</v>
      </c>
      <c r="D4" s="11" t="s">
        <v>63</v>
      </c>
      <c r="E4" s="11" t="s">
        <v>59</v>
      </c>
      <c r="F4" s="11">
        <v>23000</v>
      </c>
      <c r="G4" s="11" t="s">
        <v>375</v>
      </c>
    </row>
    <row r="5" spans="1:7">
      <c r="A5" s="35">
        <v>45445</v>
      </c>
      <c r="B5" s="11" t="s">
        <v>376</v>
      </c>
      <c r="C5" s="11" t="s">
        <v>72</v>
      </c>
      <c r="D5" s="11" t="s">
        <v>63</v>
      </c>
      <c r="E5" s="11" t="s">
        <v>59</v>
      </c>
      <c r="F5" s="11">
        <v>172000</v>
      </c>
      <c r="G5" s="11" t="s">
        <v>377</v>
      </c>
    </row>
    <row r="6" spans="1:7">
      <c r="A6" s="35">
        <v>45445</v>
      </c>
      <c r="B6" s="11" t="s">
        <v>378</v>
      </c>
      <c r="C6" s="11" t="s">
        <v>75</v>
      </c>
      <c r="D6" s="11" t="s">
        <v>63</v>
      </c>
      <c r="E6" s="11" t="s">
        <v>59</v>
      </c>
      <c r="F6" s="11">
        <v>26000</v>
      </c>
      <c r="G6" s="11" t="s">
        <v>379</v>
      </c>
    </row>
    <row r="7" spans="1:7">
      <c r="A7" s="35">
        <v>45445</v>
      </c>
      <c r="B7" s="11" t="s">
        <v>380</v>
      </c>
      <c r="C7" s="11" t="s">
        <v>146</v>
      </c>
      <c r="D7" s="11" t="s">
        <v>63</v>
      </c>
      <c r="E7" s="11" t="s">
        <v>59</v>
      </c>
      <c r="F7" s="11">
        <v>47500</v>
      </c>
      <c r="G7" s="11" t="s">
        <v>381</v>
      </c>
    </row>
    <row r="8" spans="1:7">
      <c r="A8" s="35">
        <v>45447</v>
      </c>
      <c r="B8" s="11" t="s">
        <v>382</v>
      </c>
      <c r="C8" s="11" t="s">
        <v>383</v>
      </c>
      <c r="D8" s="11" t="s">
        <v>58</v>
      </c>
      <c r="E8" s="11"/>
      <c r="F8" s="11">
        <v>50500</v>
      </c>
      <c r="G8" s="11" t="s">
        <v>384</v>
      </c>
    </row>
    <row r="9" spans="1:7">
      <c r="A9" s="35">
        <v>45447</v>
      </c>
      <c r="B9" s="11" t="s">
        <v>385</v>
      </c>
      <c r="C9" s="11" t="s">
        <v>386</v>
      </c>
      <c r="D9" s="11" t="s">
        <v>66</v>
      </c>
      <c r="E9" s="11"/>
      <c r="F9" s="11">
        <v>57000</v>
      </c>
      <c r="G9" s="11"/>
    </row>
    <row r="10" spans="1:7">
      <c r="A10" s="35">
        <v>45448</v>
      </c>
      <c r="B10" s="11" t="s">
        <v>387</v>
      </c>
      <c r="C10" s="11" t="s">
        <v>383</v>
      </c>
      <c r="D10" s="11" t="s">
        <v>58</v>
      </c>
      <c r="E10" s="11"/>
      <c r="F10" s="11">
        <v>90000</v>
      </c>
      <c r="G10" s="11" t="s">
        <v>388</v>
      </c>
    </row>
    <row r="11" spans="1:7">
      <c r="A11" s="35">
        <v>45448</v>
      </c>
      <c r="B11" s="11" t="s">
        <v>389</v>
      </c>
      <c r="C11" s="11" t="s">
        <v>75</v>
      </c>
      <c r="D11" s="11" t="s">
        <v>63</v>
      </c>
      <c r="E11" s="11" t="s">
        <v>192</v>
      </c>
      <c r="F11" s="11">
        <v>35000</v>
      </c>
      <c r="G11" s="11" t="s">
        <v>390</v>
      </c>
    </row>
    <row r="12" spans="1:7">
      <c r="A12" s="35">
        <v>45448</v>
      </c>
      <c r="B12" s="11" t="s">
        <v>391</v>
      </c>
      <c r="C12" s="11" t="s">
        <v>392</v>
      </c>
      <c r="D12" s="11" t="s">
        <v>63</v>
      </c>
      <c r="E12" s="11" t="s">
        <v>192</v>
      </c>
      <c r="F12" s="11">
        <v>72000</v>
      </c>
      <c r="G12" s="11" t="s">
        <v>393</v>
      </c>
    </row>
    <row r="13" spans="1:7">
      <c r="A13" s="35">
        <v>45448</v>
      </c>
      <c r="B13" s="11" t="s">
        <v>394</v>
      </c>
      <c r="C13" s="11" t="s">
        <v>395</v>
      </c>
      <c r="D13" s="11" t="s">
        <v>66</v>
      </c>
      <c r="E13" s="11"/>
      <c r="F13" s="11">
        <v>57000</v>
      </c>
      <c r="G13" s="11"/>
    </row>
    <row r="14" spans="1:7">
      <c r="A14" s="35">
        <v>45449</v>
      </c>
      <c r="B14" s="11" t="s">
        <v>396</v>
      </c>
      <c r="C14" s="11" t="s">
        <v>397</v>
      </c>
      <c r="D14" s="11" t="s">
        <v>58</v>
      </c>
      <c r="E14" s="11"/>
      <c r="F14" s="11">
        <v>185000</v>
      </c>
      <c r="G14" s="11" t="s">
        <v>398</v>
      </c>
    </row>
    <row r="15" spans="1:7">
      <c r="A15" s="35">
        <v>45450</v>
      </c>
      <c r="B15" s="11" t="s">
        <v>399</v>
      </c>
      <c r="C15" s="11" t="s">
        <v>149</v>
      </c>
      <c r="D15" s="11" t="s">
        <v>63</v>
      </c>
      <c r="E15" s="11" t="s">
        <v>192</v>
      </c>
      <c r="F15" s="11">
        <v>116500</v>
      </c>
      <c r="G15" s="11" t="s">
        <v>400</v>
      </c>
    </row>
    <row r="16" spans="1:7">
      <c r="A16" s="35">
        <v>45450</v>
      </c>
      <c r="B16" s="11" t="s">
        <v>401</v>
      </c>
      <c r="C16" s="11" t="s">
        <v>170</v>
      </c>
      <c r="D16" s="11" t="s">
        <v>63</v>
      </c>
      <c r="E16" s="11" t="s">
        <v>192</v>
      </c>
      <c r="F16" s="11">
        <v>200000</v>
      </c>
      <c r="G16" s="11" t="s">
        <v>402</v>
      </c>
    </row>
    <row r="17" spans="1:16">
      <c r="A17" s="35">
        <v>45451</v>
      </c>
      <c r="B17" s="11" t="s">
        <v>403</v>
      </c>
      <c r="C17" s="11" t="s">
        <v>404</v>
      </c>
      <c r="D17" s="11" t="s">
        <v>58</v>
      </c>
      <c r="E17" s="11"/>
      <c r="F17" s="11">
        <v>26500</v>
      </c>
      <c r="G17" s="11" t="s">
        <v>405</v>
      </c>
    </row>
    <row r="18" spans="1:16">
      <c r="A18" s="35">
        <v>45451</v>
      </c>
      <c r="B18" s="11" t="s">
        <v>406</v>
      </c>
      <c r="C18" s="11" t="s">
        <v>292</v>
      </c>
      <c r="D18" s="11" t="s">
        <v>66</v>
      </c>
      <c r="E18" s="11"/>
      <c r="F18" s="11">
        <v>40600</v>
      </c>
      <c r="G18" s="11"/>
    </row>
    <row r="19" spans="1:16">
      <c r="A19" s="35">
        <v>45453</v>
      </c>
      <c r="B19" s="11" t="s">
        <v>407</v>
      </c>
      <c r="C19" s="11" t="s">
        <v>75</v>
      </c>
      <c r="D19" s="11" t="s">
        <v>63</v>
      </c>
      <c r="E19" s="11" t="s">
        <v>59</v>
      </c>
      <c r="F19" s="11">
        <v>45000</v>
      </c>
      <c r="G19" s="11" t="s">
        <v>408</v>
      </c>
    </row>
    <row r="20" spans="1:16">
      <c r="A20" s="35">
        <v>45453</v>
      </c>
      <c r="B20" s="11" t="s">
        <v>409</v>
      </c>
      <c r="C20" s="11" t="s">
        <v>185</v>
      </c>
      <c r="D20" s="11" t="s">
        <v>63</v>
      </c>
      <c r="E20" s="11" t="s">
        <v>59</v>
      </c>
      <c r="F20" s="11">
        <v>42000</v>
      </c>
      <c r="G20" s="11" t="s">
        <v>410</v>
      </c>
    </row>
    <row r="21" spans="1:16">
      <c r="A21" s="35">
        <v>45453</v>
      </c>
      <c r="B21" s="11" t="s">
        <v>411</v>
      </c>
      <c r="C21" s="11" t="s">
        <v>84</v>
      </c>
      <c r="D21" s="11" t="s">
        <v>63</v>
      </c>
      <c r="E21" s="11" t="s">
        <v>59</v>
      </c>
      <c r="F21" s="11">
        <v>25000</v>
      </c>
      <c r="G21" s="11" t="s">
        <v>412</v>
      </c>
    </row>
    <row r="22" spans="1:16">
      <c r="A22" s="35">
        <v>45453</v>
      </c>
      <c r="B22" s="11" t="s">
        <v>413</v>
      </c>
      <c r="C22" s="11" t="s">
        <v>152</v>
      </c>
      <c r="D22" s="11" t="s">
        <v>63</v>
      </c>
      <c r="E22" s="11" t="s">
        <v>192</v>
      </c>
      <c r="F22" s="11">
        <v>51000</v>
      </c>
      <c r="G22" s="11" t="s">
        <v>414</v>
      </c>
    </row>
    <row r="23" spans="1:16">
      <c r="A23" s="35">
        <v>45454</v>
      </c>
      <c r="B23" s="11" t="s">
        <v>415</v>
      </c>
      <c r="C23" s="11" t="s">
        <v>416</v>
      </c>
      <c r="D23" s="11" t="s">
        <v>58</v>
      </c>
      <c r="E23" s="11"/>
      <c r="F23" s="11">
        <v>72000</v>
      </c>
      <c r="G23" s="11" t="s">
        <v>417</v>
      </c>
    </row>
    <row r="24" spans="1:16">
      <c r="A24" s="35">
        <v>45454</v>
      </c>
      <c r="B24" s="11" t="s">
        <v>418</v>
      </c>
      <c r="C24" s="11" t="s">
        <v>419</v>
      </c>
      <c r="D24" s="11" t="s">
        <v>63</v>
      </c>
      <c r="E24" s="11"/>
      <c r="F24" s="11">
        <v>17000</v>
      </c>
      <c r="G24" s="11" t="s">
        <v>420</v>
      </c>
    </row>
    <row r="25" spans="1:16">
      <c r="A25" s="35">
        <v>45455</v>
      </c>
      <c r="B25" s="11" t="s">
        <v>421</v>
      </c>
      <c r="C25" s="11" t="s">
        <v>146</v>
      </c>
      <c r="D25" s="11" t="s">
        <v>63</v>
      </c>
      <c r="E25" s="11" t="s">
        <v>192</v>
      </c>
      <c r="F25" s="11">
        <v>21500</v>
      </c>
      <c r="G25" s="11" t="s">
        <v>422</v>
      </c>
    </row>
    <row r="26" spans="1:16">
      <c r="A26" s="35">
        <v>45455</v>
      </c>
      <c r="B26" s="11" t="s">
        <v>423</v>
      </c>
      <c r="C26" s="11" t="s">
        <v>188</v>
      </c>
      <c r="D26" s="11" t="s">
        <v>63</v>
      </c>
      <c r="E26" s="11" t="s">
        <v>192</v>
      </c>
      <c r="F26" s="11">
        <v>77000</v>
      </c>
      <c r="G26" s="11" t="s">
        <v>424</v>
      </c>
    </row>
    <row r="27" spans="1:16">
      <c r="A27" s="35">
        <v>45455</v>
      </c>
      <c r="B27" s="11" t="s">
        <v>425</v>
      </c>
      <c r="C27" s="11" t="s">
        <v>426</v>
      </c>
      <c r="D27" s="11" t="s">
        <v>63</v>
      </c>
      <c r="E27" s="11" t="s">
        <v>192</v>
      </c>
      <c r="F27" s="11">
        <v>159500</v>
      </c>
      <c r="G27" s="11" t="s">
        <v>427</v>
      </c>
    </row>
    <row r="28" spans="1:16">
      <c r="A28" s="35">
        <v>45455</v>
      </c>
      <c r="B28" s="11" t="s">
        <v>428</v>
      </c>
      <c r="C28" s="11"/>
      <c r="D28" s="11" t="s">
        <v>63</v>
      </c>
      <c r="E28" s="11"/>
      <c r="F28" s="11">
        <v>15000</v>
      </c>
      <c r="G28" s="11" t="s">
        <v>429</v>
      </c>
    </row>
    <row r="29" spans="1:16">
      <c r="A29" s="35">
        <v>45455</v>
      </c>
      <c r="B29" s="11" t="s">
        <v>430</v>
      </c>
      <c r="C29" s="11"/>
      <c r="D29" s="11" t="s">
        <v>63</v>
      </c>
      <c r="E29" s="11"/>
      <c r="F29" s="11">
        <v>35000</v>
      </c>
      <c r="G29" s="11" t="s">
        <v>431</v>
      </c>
    </row>
    <row r="30" spans="1:16">
      <c r="A30" s="35">
        <v>45455</v>
      </c>
      <c r="B30" s="11" t="s">
        <v>432</v>
      </c>
      <c r="C30" s="11" t="s">
        <v>433</v>
      </c>
      <c r="D30" s="11" t="s">
        <v>66</v>
      </c>
      <c r="E30" s="11"/>
      <c r="F30" s="11">
        <v>27000</v>
      </c>
      <c r="G30" s="11"/>
    </row>
    <row r="31" spans="1:16">
      <c r="A31" s="35">
        <v>45456</v>
      </c>
      <c r="B31" s="11" t="s">
        <v>434</v>
      </c>
      <c r="C31" s="11" t="s">
        <v>75</v>
      </c>
      <c r="D31" s="11" t="s">
        <v>63</v>
      </c>
      <c r="E31" s="11" t="s">
        <v>192</v>
      </c>
      <c r="F31" s="11">
        <v>35000</v>
      </c>
      <c r="G31" s="11" t="s">
        <v>435</v>
      </c>
      <c r="P31" s="27"/>
    </row>
    <row r="32" spans="1:16">
      <c r="A32" s="35">
        <v>45456</v>
      </c>
      <c r="B32" s="11" t="s">
        <v>436</v>
      </c>
      <c r="C32" s="11"/>
      <c r="D32" s="11" t="s">
        <v>63</v>
      </c>
      <c r="E32" s="11"/>
      <c r="F32" s="11">
        <v>15000</v>
      </c>
      <c r="G32" s="11" t="s">
        <v>437</v>
      </c>
      <c r="P32" s="27"/>
    </row>
    <row r="33" spans="1:16">
      <c r="A33" s="35">
        <v>45456</v>
      </c>
      <c r="B33" s="11" t="s">
        <v>438</v>
      </c>
      <c r="C33" s="11" t="s">
        <v>439</v>
      </c>
      <c r="D33" s="11" t="s">
        <v>342</v>
      </c>
      <c r="E33" s="11"/>
      <c r="F33" s="11">
        <v>20000</v>
      </c>
      <c r="G33" s="11"/>
      <c r="P33" s="27"/>
    </row>
    <row r="34" spans="1:16">
      <c r="A34" s="35">
        <v>45457</v>
      </c>
      <c r="B34" s="11" t="s">
        <v>440</v>
      </c>
      <c r="C34" s="11" t="s">
        <v>441</v>
      </c>
      <c r="D34" s="11" t="s">
        <v>66</v>
      </c>
      <c r="E34" s="11"/>
      <c r="F34" s="11">
        <v>45000</v>
      </c>
      <c r="G34" s="11"/>
      <c r="P34" s="27"/>
    </row>
    <row r="35" spans="1:16">
      <c r="A35" s="35">
        <v>45458</v>
      </c>
      <c r="B35" s="11" t="s">
        <v>442</v>
      </c>
      <c r="C35" s="11" t="s">
        <v>62</v>
      </c>
      <c r="D35" s="11" t="s">
        <v>63</v>
      </c>
      <c r="E35" s="11" t="s">
        <v>59</v>
      </c>
      <c r="F35" s="11">
        <v>36000</v>
      </c>
      <c r="G35" s="11" t="s">
        <v>443</v>
      </c>
      <c r="P35" s="27"/>
    </row>
    <row r="36" spans="1:16">
      <c r="A36" s="35">
        <v>45458</v>
      </c>
      <c r="B36" s="11" t="s">
        <v>444</v>
      </c>
      <c r="C36" s="11" t="s">
        <v>149</v>
      </c>
      <c r="D36" s="11" t="s">
        <v>63</v>
      </c>
      <c r="E36" s="11" t="s">
        <v>59</v>
      </c>
      <c r="F36" s="11">
        <v>142800</v>
      </c>
      <c r="G36" s="11" t="s">
        <v>445</v>
      </c>
      <c r="P36" s="27"/>
    </row>
    <row r="37" spans="1:16">
      <c r="A37" s="35">
        <v>45459</v>
      </c>
      <c r="B37" s="11" t="s">
        <v>446</v>
      </c>
      <c r="C37" s="11" t="s">
        <v>447</v>
      </c>
      <c r="D37" s="11" t="s">
        <v>63</v>
      </c>
      <c r="E37" s="11" t="s">
        <v>59</v>
      </c>
      <c r="F37" s="11">
        <v>107000</v>
      </c>
      <c r="G37" s="11" t="s">
        <v>448</v>
      </c>
      <c r="P37" s="27"/>
    </row>
    <row r="38" spans="1:16">
      <c r="A38" s="35">
        <v>45459</v>
      </c>
      <c r="B38" s="11" t="s">
        <v>449</v>
      </c>
      <c r="C38" s="11" t="s">
        <v>202</v>
      </c>
      <c r="D38" s="11" t="s">
        <v>63</v>
      </c>
      <c r="E38" s="11" t="s">
        <v>59</v>
      </c>
      <c r="F38" s="11">
        <v>59000</v>
      </c>
      <c r="G38" s="11" t="s">
        <v>450</v>
      </c>
      <c r="P38" s="27"/>
    </row>
    <row r="39" spans="1:16">
      <c r="A39" s="35">
        <v>45461</v>
      </c>
      <c r="B39" s="11" t="s">
        <v>451</v>
      </c>
      <c r="C39" s="11" t="s">
        <v>452</v>
      </c>
      <c r="D39" s="11" t="s">
        <v>66</v>
      </c>
      <c r="E39" s="11"/>
      <c r="F39" s="11">
        <v>17000</v>
      </c>
      <c r="G39" s="11"/>
      <c r="P39" s="27"/>
    </row>
    <row r="40" spans="1:16">
      <c r="A40" s="35">
        <v>45463</v>
      </c>
      <c r="B40" s="11" t="s">
        <v>453</v>
      </c>
      <c r="C40" s="11" t="s">
        <v>454</v>
      </c>
      <c r="D40" s="11" t="s">
        <v>58</v>
      </c>
      <c r="E40" s="11"/>
      <c r="F40" s="11">
        <v>81000</v>
      </c>
      <c r="G40" s="11" t="s">
        <v>455</v>
      </c>
      <c r="P40" s="27"/>
    </row>
    <row r="41" spans="1:16">
      <c r="A41" s="35">
        <v>45463</v>
      </c>
      <c r="B41" s="11" t="s">
        <v>456</v>
      </c>
      <c r="C41" s="11" t="s">
        <v>87</v>
      </c>
      <c r="D41" s="11" t="s">
        <v>58</v>
      </c>
      <c r="E41" s="11"/>
      <c r="F41" s="11">
        <v>60000</v>
      </c>
      <c r="G41" s="11" t="s">
        <v>457</v>
      </c>
      <c r="P41" s="27"/>
    </row>
    <row r="42" spans="1:16">
      <c r="A42" s="35">
        <v>45463</v>
      </c>
      <c r="B42" s="11" t="s">
        <v>458</v>
      </c>
      <c r="C42" s="11" t="s">
        <v>459</v>
      </c>
      <c r="D42" s="11" t="s">
        <v>58</v>
      </c>
      <c r="E42" s="11"/>
      <c r="F42" s="11">
        <v>30000</v>
      </c>
      <c r="G42" s="11" t="s">
        <v>460</v>
      </c>
      <c r="O42" s="37"/>
    </row>
    <row r="43" spans="1:16">
      <c r="A43" s="35">
        <v>45464</v>
      </c>
      <c r="B43" s="11" t="s">
        <v>461</v>
      </c>
      <c r="C43" s="11" t="s">
        <v>75</v>
      </c>
      <c r="D43" s="11" t="s">
        <v>58</v>
      </c>
      <c r="E43" s="11"/>
      <c r="F43" s="11">
        <v>115000</v>
      </c>
      <c r="G43" s="11" t="s">
        <v>462</v>
      </c>
      <c r="O43" s="37"/>
    </row>
    <row r="44" spans="1:16">
      <c r="A44" s="35">
        <v>45464</v>
      </c>
      <c r="B44" s="11" t="s">
        <v>463</v>
      </c>
      <c r="C44" s="11" t="s">
        <v>447</v>
      </c>
      <c r="D44" s="11" t="s">
        <v>58</v>
      </c>
      <c r="E44" s="11"/>
      <c r="F44" s="11">
        <v>37600</v>
      </c>
      <c r="G44" s="11" t="s">
        <v>464</v>
      </c>
      <c r="O44" s="37"/>
    </row>
    <row r="45" spans="1:16">
      <c r="A45" s="35">
        <v>45464</v>
      </c>
      <c r="B45" s="11" t="s">
        <v>465</v>
      </c>
      <c r="C45" s="11" t="s">
        <v>466</v>
      </c>
      <c r="D45" s="11" t="s">
        <v>63</v>
      </c>
      <c r="E45" s="11" t="s">
        <v>59</v>
      </c>
      <c r="F45" s="11">
        <v>63000</v>
      </c>
      <c r="G45" s="11" t="s">
        <v>467</v>
      </c>
      <c r="O45" s="37"/>
    </row>
    <row r="46" spans="1:16">
      <c r="A46" s="35">
        <v>45464</v>
      </c>
      <c r="B46" s="11" t="s">
        <v>468</v>
      </c>
      <c r="C46" s="11" t="s">
        <v>469</v>
      </c>
      <c r="D46" s="11" t="s">
        <v>63</v>
      </c>
      <c r="E46" s="11" t="s">
        <v>192</v>
      </c>
      <c r="F46" s="11">
        <v>70000</v>
      </c>
      <c r="G46" s="11" t="s">
        <v>470</v>
      </c>
      <c r="O46" s="37"/>
    </row>
    <row r="47" spans="1:16">
      <c r="A47" s="35">
        <v>45465</v>
      </c>
      <c r="B47" s="11" t="s">
        <v>471</v>
      </c>
      <c r="C47" s="11" t="s">
        <v>155</v>
      </c>
      <c r="D47" s="11" t="s">
        <v>58</v>
      </c>
      <c r="E47" s="11"/>
      <c r="F47" s="11">
        <v>22000</v>
      </c>
      <c r="G47" s="11" t="s">
        <v>472</v>
      </c>
      <c r="O47" s="37"/>
    </row>
    <row r="48" spans="1:16">
      <c r="A48" s="35">
        <v>45465</v>
      </c>
      <c r="B48" s="11" t="s">
        <v>473</v>
      </c>
      <c r="C48" s="11" t="s">
        <v>155</v>
      </c>
      <c r="D48" s="11" t="s">
        <v>58</v>
      </c>
      <c r="E48" s="11"/>
      <c r="F48" s="11">
        <v>23000</v>
      </c>
      <c r="G48" s="11" t="s">
        <v>474</v>
      </c>
      <c r="O48" s="37"/>
    </row>
    <row r="49" spans="1:17">
      <c r="A49" s="35">
        <v>45465</v>
      </c>
      <c r="B49" s="11" t="s">
        <v>475</v>
      </c>
      <c r="C49" s="11" t="s">
        <v>476</v>
      </c>
      <c r="D49" s="11" t="s">
        <v>58</v>
      </c>
      <c r="E49" s="11"/>
      <c r="F49" s="11">
        <v>105000</v>
      </c>
      <c r="G49" s="11" t="s">
        <v>477</v>
      </c>
      <c r="O49" s="37"/>
    </row>
    <row r="50" spans="1:17">
      <c r="A50" s="35">
        <v>45465</v>
      </c>
      <c r="B50" s="11" t="s">
        <v>478</v>
      </c>
      <c r="C50" s="11" t="s">
        <v>479</v>
      </c>
      <c r="D50" s="11" t="s">
        <v>66</v>
      </c>
      <c r="E50" s="11"/>
      <c r="F50" s="11">
        <v>66000</v>
      </c>
      <c r="G50" s="11"/>
      <c r="O50" s="37"/>
    </row>
    <row r="51" spans="1:17">
      <c r="A51" s="35">
        <v>45466</v>
      </c>
      <c r="B51" s="11" t="s">
        <v>480</v>
      </c>
      <c r="C51" s="11" t="s">
        <v>481</v>
      </c>
      <c r="D51" s="11" t="s">
        <v>63</v>
      </c>
      <c r="E51" s="11" t="s">
        <v>59</v>
      </c>
      <c r="F51" s="11">
        <v>103000</v>
      </c>
      <c r="G51" s="11" t="s">
        <v>482</v>
      </c>
      <c r="O51" s="37"/>
    </row>
    <row r="52" spans="1:17">
      <c r="A52" s="35">
        <v>45466</v>
      </c>
      <c r="B52" s="11" t="s">
        <v>483</v>
      </c>
      <c r="C52" s="11" t="s">
        <v>484</v>
      </c>
      <c r="D52" s="11" t="s">
        <v>485</v>
      </c>
      <c r="E52" s="11"/>
      <c r="F52" s="11">
        <v>27500</v>
      </c>
      <c r="G52" s="11"/>
      <c r="O52" s="37"/>
    </row>
    <row r="53" spans="1:17">
      <c r="A53" s="35">
        <v>45466</v>
      </c>
      <c r="B53" s="11" t="s">
        <v>486</v>
      </c>
      <c r="C53" s="11" t="s">
        <v>294</v>
      </c>
      <c r="D53" s="11" t="s">
        <v>342</v>
      </c>
      <c r="E53" s="11"/>
      <c r="F53" s="11">
        <v>14000</v>
      </c>
      <c r="G53" s="11"/>
      <c r="O53" s="37"/>
    </row>
    <row r="54" spans="1:17">
      <c r="A54" s="35">
        <v>45466</v>
      </c>
      <c r="B54" s="11" t="s">
        <v>487</v>
      </c>
      <c r="C54" s="11" t="s">
        <v>488</v>
      </c>
      <c r="D54" s="11" t="s">
        <v>276</v>
      </c>
      <c r="E54" s="11"/>
      <c r="F54" s="11">
        <v>148000</v>
      </c>
      <c r="G54" s="11"/>
      <c r="O54" s="37"/>
    </row>
    <row r="55" spans="1:17">
      <c r="A55" s="35">
        <v>45466</v>
      </c>
      <c r="B55" s="11" t="s">
        <v>489</v>
      </c>
      <c r="C55" s="11" t="s">
        <v>490</v>
      </c>
      <c r="D55" s="11" t="s">
        <v>276</v>
      </c>
      <c r="E55" s="11"/>
      <c r="F55" s="11">
        <v>30000</v>
      </c>
      <c r="G55" s="11"/>
      <c r="O55" s="38"/>
      <c r="P55" s="38"/>
      <c r="Q55" s="38"/>
    </row>
    <row r="56" spans="1:17">
      <c r="A56" s="35">
        <v>45467</v>
      </c>
      <c r="B56" s="11" t="s">
        <v>491</v>
      </c>
      <c r="C56" s="11" t="s">
        <v>75</v>
      </c>
      <c r="D56" s="11" t="s">
        <v>63</v>
      </c>
      <c r="E56" s="11" t="s">
        <v>59</v>
      </c>
      <c r="F56" s="11">
        <v>23500</v>
      </c>
      <c r="G56" s="11" t="s">
        <v>492</v>
      </c>
    </row>
    <row r="57" spans="1:17">
      <c r="A57" s="35">
        <v>45467</v>
      </c>
      <c r="B57" s="11" t="s">
        <v>493</v>
      </c>
      <c r="C57" s="11" t="s">
        <v>57</v>
      </c>
      <c r="D57" s="11" t="s">
        <v>63</v>
      </c>
      <c r="E57" s="11" t="s">
        <v>59</v>
      </c>
      <c r="F57" s="11">
        <v>42000</v>
      </c>
      <c r="G57" s="11" t="s">
        <v>494</v>
      </c>
    </row>
    <row r="58" spans="1:17">
      <c r="A58" s="35">
        <v>45467</v>
      </c>
      <c r="B58" s="11" t="s">
        <v>495</v>
      </c>
      <c r="C58" s="11" t="s">
        <v>496</v>
      </c>
      <c r="D58" s="11" t="s">
        <v>63</v>
      </c>
      <c r="E58" s="11" t="s">
        <v>192</v>
      </c>
      <c r="F58" s="11">
        <v>70000</v>
      </c>
      <c r="G58" s="11" t="s">
        <v>497</v>
      </c>
    </row>
    <row r="59" spans="1:17">
      <c r="A59" s="35">
        <v>45468</v>
      </c>
      <c r="B59" s="11" t="s">
        <v>498</v>
      </c>
      <c r="C59" s="11" t="s">
        <v>499</v>
      </c>
      <c r="D59" s="11" t="s">
        <v>66</v>
      </c>
      <c r="E59" s="11"/>
      <c r="F59" s="11">
        <v>47000</v>
      </c>
      <c r="G59" s="11"/>
    </row>
    <row r="60" spans="1:17">
      <c r="A60" s="35">
        <v>45469</v>
      </c>
      <c r="B60" s="11" t="s">
        <v>500</v>
      </c>
      <c r="C60" s="11" t="s">
        <v>501</v>
      </c>
      <c r="D60" s="11" t="s">
        <v>276</v>
      </c>
      <c r="E60" s="11"/>
      <c r="F60" s="11">
        <v>30000</v>
      </c>
      <c r="G60" s="11"/>
    </row>
    <row r="61" spans="1:17">
      <c r="A61" s="35">
        <v>45470</v>
      </c>
      <c r="B61" s="11" t="s">
        <v>502</v>
      </c>
      <c r="C61" s="11" t="s">
        <v>62</v>
      </c>
      <c r="D61" s="11" t="s">
        <v>63</v>
      </c>
      <c r="E61" s="11" t="s">
        <v>59</v>
      </c>
      <c r="F61" s="11">
        <v>23000</v>
      </c>
      <c r="G61" s="11" t="s">
        <v>503</v>
      </c>
    </row>
    <row r="62" spans="1:17">
      <c r="A62" s="35">
        <v>45470</v>
      </c>
      <c r="B62" s="11" t="s">
        <v>504</v>
      </c>
      <c r="C62" s="11" t="s">
        <v>505</v>
      </c>
      <c r="D62" s="11" t="s">
        <v>63</v>
      </c>
      <c r="E62" s="11" t="s">
        <v>192</v>
      </c>
      <c r="F62" s="11">
        <v>88000</v>
      </c>
      <c r="G62" s="11" t="s">
        <v>506</v>
      </c>
    </row>
    <row r="63" spans="1:17">
      <c r="A63" s="35">
        <v>45470</v>
      </c>
      <c r="B63" s="11" t="s">
        <v>507</v>
      </c>
      <c r="C63" s="11" t="s">
        <v>188</v>
      </c>
      <c r="D63" s="11" t="s">
        <v>63</v>
      </c>
      <c r="E63" s="11" t="s">
        <v>192</v>
      </c>
      <c r="F63" s="11">
        <v>53000</v>
      </c>
      <c r="G63" s="11" t="s">
        <v>508</v>
      </c>
    </row>
    <row r="64" spans="1:17">
      <c r="A64" s="35">
        <v>45470</v>
      </c>
      <c r="B64" s="11" t="s">
        <v>509</v>
      </c>
      <c r="C64" s="11" t="s">
        <v>146</v>
      </c>
      <c r="D64" s="11" t="s">
        <v>63</v>
      </c>
      <c r="E64" s="11" t="s">
        <v>192</v>
      </c>
      <c r="F64" s="11">
        <v>81000</v>
      </c>
      <c r="G64" s="11" t="s">
        <v>510</v>
      </c>
    </row>
    <row r="65" spans="1:7">
      <c r="A65" s="35">
        <v>45470</v>
      </c>
      <c r="B65" s="11" t="s">
        <v>511</v>
      </c>
      <c r="C65" s="11" t="s">
        <v>292</v>
      </c>
      <c r="D65" s="11" t="s">
        <v>66</v>
      </c>
      <c r="E65" s="11"/>
      <c r="F65" s="11">
        <v>23500</v>
      </c>
      <c r="G65" s="11"/>
    </row>
    <row r="66" spans="1:7">
      <c r="A66" s="35">
        <v>45471</v>
      </c>
      <c r="B66" s="11" t="s">
        <v>512</v>
      </c>
      <c r="C66" s="11" t="s">
        <v>358</v>
      </c>
      <c r="D66" s="11" t="s">
        <v>58</v>
      </c>
      <c r="E66" s="11"/>
      <c r="F66" s="11">
        <v>30000</v>
      </c>
      <c r="G66" s="11" t="s">
        <v>513</v>
      </c>
    </row>
    <row r="67" spans="1:7">
      <c r="A67" s="35">
        <v>45471</v>
      </c>
      <c r="B67" s="11" t="s">
        <v>514</v>
      </c>
      <c r="C67" s="11" t="s">
        <v>515</v>
      </c>
      <c r="D67" s="11" t="s">
        <v>66</v>
      </c>
      <c r="E67" s="11"/>
      <c r="F67" s="11">
        <v>55000</v>
      </c>
      <c r="G67" s="11"/>
    </row>
    <row r="68" spans="1:7">
      <c r="A68" s="35">
        <v>45472</v>
      </c>
      <c r="B68" s="11" t="s">
        <v>516</v>
      </c>
      <c r="C68" s="11" t="s">
        <v>517</v>
      </c>
      <c r="D68" s="11" t="s">
        <v>63</v>
      </c>
      <c r="E68" s="11" t="s">
        <v>192</v>
      </c>
      <c r="F68" s="11">
        <v>41500</v>
      </c>
      <c r="G68" s="11" t="s">
        <v>518</v>
      </c>
    </row>
    <row r="69" spans="1:7">
      <c r="A69" s="35">
        <v>45473</v>
      </c>
      <c r="B69" s="11" t="s">
        <v>519</v>
      </c>
      <c r="C69" s="11" t="s">
        <v>136</v>
      </c>
      <c r="D69" s="11" t="s">
        <v>58</v>
      </c>
      <c r="E69" s="11"/>
      <c r="F69" s="11">
        <v>40000</v>
      </c>
      <c r="G69" s="11" t="s">
        <v>520</v>
      </c>
    </row>
    <row r="70" spans="1:7">
      <c r="A70" s="35">
        <v>45473</v>
      </c>
      <c r="B70" s="11" t="s">
        <v>521</v>
      </c>
      <c r="C70" s="11" t="s">
        <v>188</v>
      </c>
      <c r="D70" s="11" t="s">
        <v>63</v>
      </c>
      <c r="E70" s="11" t="s">
        <v>192</v>
      </c>
      <c r="F70" s="11">
        <v>150000</v>
      </c>
      <c r="G70" s="11" t="s">
        <v>522</v>
      </c>
    </row>
    <row r="71" spans="1:7">
      <c r="A71" s="35">
        <v>45473</v>
      </c>
      <c r="B71" s="11" t="s">
        <v>523</v>
      </c>
      <c r="C71" s="11" t="s">
        <v>524</v>
      </c>
      <c r="D71" s="11" t="s">
        <v>342</v>
      </c>
      <c r="E71" s="11"/>
      <c r="F71" s="11">
        <v>45000</v>
      </c>
      <c r="G71" s="11"/>
    </row>
    <row r="72" spans="1:7">
      <c r="A72" s="35">
        <v>45473</v>
      </c>
      <c r="B72" s="11" t="s">
        <v>525</v>
      </c>
      <c r="C72" s="11" t="s">
        <v>526</v>
      </c>
      <c r="D72" s="11" t="s">
        <v>66</v>
      </c>
      <c r="E72" s="11"/>
      <c r="F72" s="11">
        <v>22000</v>
      </c>
      <c r="G72" s="11"/>
    </row>
    <row r="73" spans="1:7">
      <c r="A73" s="35"/>
    </row>
    <row r="74" spans="1:7">
      <c r="A74" s="35"/>
    </row>
    <row r="75" spans="1:7">
      <c r="A75" s="35"/>
    </row>
    <row r="76" spans="1:7">
      <c r="A76" s="35"/>
    </row>
    <row r="77" spans="1:7">
      <c r="A77" s="35"/>
    </row>
    <row r="78" spans="1:7">
      <c r="A78" s="35"/>
    </row>
    <row r="79" spans="1:7">
      <c r="A79" s="35"/>
    </row>
    <row r="80" spans="1:7">
      <c r="A80" s="35"/>
    </row>
    <row r="81" spans="1:1">
      <c r="A81" s="35"/>
    </row>
    <row r="82" spans="1:1">
      <c r="A82" s="35"/>
    </row>
    <row r="83" spans="1:1">
      <c r="A83" s="35"/>
    </row>
    <row r="84" spans="1:1">
      <c r="A84" s="35"/>
    </row>
    <row r="85" spans="1:1">
      <c r="A85" s="35"/>
    </row>
    <row r="86" spans="1:1">
      <c r="A86" s="35"/>
    </row>
    <row r="87" spans="1:1">
      <c r="A87" s="35"/>
    </row>
    <row r="88" spans="1:1">
      <c r="A88" s="35"/>
    </row>
    <row r="89" spans="1:1">
      <c r="A89" s="35"/>
    </row>
    <row r="90" spans="1:1">
      <c r="A90" s="35"/>
    </row>
    <row r="91" spans="1:1">
      <c r="A91" s="35"/>
    </row>
    <row r="92" spans="1:1">
      <c r="A92" s="35"/>
    </row>
    <row r="93" spans="1:1">
      <c r="A93" s="35"/>
    </row>
    <row r="94" spans="1:1">
      <c r="A94" s="35"/>
    </row>
    <row r="95" spans="1:1">
      <c r="A95" s="35"/>
    </row>
    <row r="96" spans="1:1">
      <c r="A96" s="35"/>
    </row>
    <row r="97" spans="1:1">
      <c r="A97" s="35"/>
    </row>
    <row r="98" spans="1:1">
      <c r="A98" s="35"/>
    </row>
    <row r="99" spans="1:1">
      <c r="A99" s="35"/>
    </row>
    <row r="100" spans="1:1">
      <c r="A100" s="35"/>
    </row>
    <row r="101" spans="1:1">
      <c r="A101" s="35"/>
    </row>
    <row r="102" spans="1:1">
      <c r="A102" s="35"/>
    </row>
    <row r="103" spans="1:1">
      <c r="A103" s="35"/>
    </row>
    <row r="104" spans="1:1">
      <c r="A104" s="35"/>
    </row>
    <row r="105" spans="1:1">
      <c r="A105" s="35"/>
    </row>
    <row r="106" spans="1:1">
      <c r="A106" s="35"/>
    </row>
    <row r="107" spans="1:1">
      <c r="A107" s="35"/>
    </row>
    <row r="108" spans="1:1">
      <c r="A108" s="35"/>
    </row>
    <row r="109" spans="1:1">
      <c r="A109" s="35"/>
    </row>
    <row r="110" spans="1:1">
      <c r="A110" s="35"/>
    </row>
    <row r="111" spans="1:1">
      <c r="A111" s="35"/>
    </row>
    <row r="112" spans="1:1">
      <c r="A112" s="35"/>
    </row>
    <row r="113" spans="1:1">
      <c r="A113" s="35"/>
    </row>
    <row r="114" spans="1:1">
      <c r="A114" s="35"/>
    </row>
    <row r="115" spans="1:1">
      <c r="A115" s="35"/>
    </row>
    <row r="116" spans="1:1">
      <c r="A116" s="35"/>
    </row>
    <row r="117" spans="1:1">
      <c r="A117" s="35"/>
    </row>
    <row r="118" spans="1:1">
      <c r="A118" s="35"/>
    </row>
    <row r="119" spans="1:1">
      <c r="A119" s="35"/>
    </row>
    <row r="120" spans="1:1">
      <c r="A120" s="35"/>
    </row>
    <row r="121" spans="1:1">
      <c r="A121" s="35"/>
    </row>
    <row r="122" spans="1:1">
      <c r="A122" s="35"/>
    </row>
    <row r="123" spans="1:1">
      <c r="A123" s="35"/>
    </row>
    <row r="124" spans="1:1">
      <c r="A124" s="35"/>
    </row>
    <row r="125" spans="1:1">
      <c r="A125" s="35"/>
    </row>
    <row r="126" spans="1:1">
      <c r="A126" s="35"/>
    </row>
    <row r="127" spans="1:1">
      <c r="A127" s="35"/>
    </row>
    <row r="128" spans="1:1">
      <c r="A128" s="35"/>
    </row>
    <row r="129" spans="1:1">
      <c r="A129" s="35"/>
    </row>
    <row r="130" spans="1:1">
      <c r="A130" s="35"/>
    </row>
    <row r="131" spans="1:1">
      <c r="A131" s="35"/>
    </row>
    <row r="132" spans="1:1">
      <c r="A132" s="35"/>
    </row>
    <row r="133" spans="1:1">
      <c r="A133" s="35"/>
    </row>
    <row r="134" spans="1:1">
      <c r="A134" s="35"/>
    </row>
    <row r="135" spans="1:1">
      <c r="A135" s="35"/>
    </row>
    <row r="136" spans="1:1">
      <c r="A136" s="35"/>
    </row>
    <row r="137" spans="1:1">
      <c r="A137" s="35"/>
    </row>
    <row r="138" spans="1:1">
      <c r="A138" s="35"/>
    </row>
    <row r="139" spans="1:1">
      <c r="A139" s="35"/>
    </row>
    <row r="140" spans="1:1">
      <c r="A140" s="35"/>
    </row>
    <row r="141" spans="1:1">
      <c r="A141" s="35"/>
    </row>
    <row r="142" spans="1:1">
      <c r="A142" s="35"/>
    </row>
    <row r="143" spans="1:1">
      <c r="A143" s="35"/>
    </row>
    <row r="144" spans="1:1">
      <c r="A144" s="35"/>
    </row>
    <row r="145" spans="1:1">
      <c r="A145" s="35"/>
    </row>
    <row r="146" spans="1:1">
      <c r="A146" s="35"/>
    </row>
    <row r="147" spans="1:1">
      <c r="A147" s="35"/>
    </row>
    <row r="148" spans="1:1">
      <c r="A148" s="35"/>
    </row>
    <row r="149" spans="1:1">
      <c r="A149" s="35"/>
    </row>
    <row r="150" spans="1:1">
      <c r="A150" s="35"/>
    </row>
    <row r="151" spans="1:1">
      <c r="A151" s="35"/>
    </row>
    <row r="152" spans="1:1">
      <c r="A152" s="35"/>
    </row>
    <row r="153" spans="1:1">
      <c r="A153" s="35"/>
    </row>
    <row r="154" spans="1:1">
      <c r="A154" s="35"/>
    </row>
    <row r="155" spans="1:1">
      <c r="A155" s="35"/>
    </row>
    <row r="156" spans="1:1">
      <c r="A156" s="35"/>
    </row>
    <row r="157" spans="1:1">
      <c r="A157" s="35"/>
    </row>
    <row r="158" spans="1:1">
      <c r="A158" s="35"/>
    </row>
    <row r="159" spans="1:1">
      <c r="A159" s="35"/>
    </row>
    <row r="160" spans="1:1">
      <c r="A160" s="35"/>
    </row>
    <row r="161" spans="1:1">
      <c r="A161" s="35"/>
    </row>
    <row r="162" spans="1:1">
      <c r="A162" s="35"/>
    </row>
    <row r="163" spans="1:1">
      <c r="A163" s="35"/>
    </row>
    <row r="164" spans="1:1">
      <c r="A164" s="35"/>
    </row>
    <row r="165" spans="1:1">
      <c r="A165" s="35"/>
    </row>
    <row r="166" spans="1:1">
      <c r="A166" s="35"/>
    </row>
    <row r="167" spans="1:1">
      <c r="A167" s="35"/>
    </row>
    <row r="168" spans="1:1">
      <c r="A168" s="35"/>
    </row>
    <row r="169" spans="1:1">
      <c r="A169" s="35"/>
    </row>
    <row r="170" spans="1:1">
      <c r="A170" s="35"/>
    </row>
    <row r="171" spans="1:1">
      <c r="A171" s="35"/>
    </row>
    <row r="172" spans="1:1">
      <c r="A172" s="35"/>
    </row>
    <row r="173" spans="1:1">
      <c r="A173" s="35"/>
    </row>
    <row r="174" spans="1:1">
      <c r="A174" s="35"/>
    </row>
    <row r="175" spans="1:1">
      <c r="A175" s="35"/>
    </row>
    <row r="176" spans="1:1">
      <c r="A176" s="35"/>
    </row>
    <row r="177" spans="1:1">
      <c r="A177" s="35"/>
    </row>
    <row r="178" spans="1:1">
      <c r="A178" s="35"/>
    </row>
    <row r="179" spans="1:1">
      <c r="A179" s="35"/>
    </row>
    <row r="180" spans="1:1">
      <c r="A180" s="35"/>
    </row>
    <row r="181" spans="1:1">
      <c r="A181" s="35"/>
    </row>
    <row r="182" spans="1:1">
      <c r="A182" s="35"/>
    </row>
    <row r="183" spans="1:1">
      <c r="A183" s="35"/>
    </row>
    <row r="184" spans="1:1">
      <c r="A184" s="35"/>
    </row>
    <row r="185" spans="1:1">
      <c r="A185" s="35"/>
    </row>
    <row r="186" spans="1:1">
      <c r="A186" s="35"/>
    </row>
    <row r="187" spans="1:1">
      <c r="A187" s="35"/>
    </row>
    <row r="188" spans="1:1">
      <c r="A188" s="35"/>
    </row>
    <row r="189" spans="1:1">
      <c r="A189" s="35"/>
    </row>
    <row r="190" spans="1:1">
      <c r="A190" s="35"/>
    </row>
    <row r="191" spans="1:1">
      <c r="A191" s="35"/>
    </row>
    <row r="192" spans="1:1">
      <c r="A192" s="35"/>
    </row>
    <row r="193" spans="1:1">
      <c r="A193" s="35"/>
    </row>
    <row r="194" spans="1:1">
      <c r="A194" s="35"/>
    </row>
    <row r="195" spans="1:1">
      <c r="A195" s="35"/>
    </row>
    <row r="196" spans="1:1">
      <c r="A196" s="35"/>
    </row>
    <row r="197" spans="1:1">
      <c r="A197" s="35"/>
    </row>
    <row r="198" spans="1:1">
      <c r="A198" s="35"/>
    </row>
    <row r="199" spans="1:1">
      <c r="A199" s="35"/>
    </row>
    <row r="200" spans="1:1">
      <c r="A200" s="35"/>
    </row>
    <row r="201" spans="1:1">
      <c r="A201" s="35"/>
    </row>
    <row r="202" spans="1:1">
      <c r="A202" s="35"/>
    </row>
    <row r="203" spans="1:1">
      <c r="A203" s="35"/>
    </row>
    <row r="204" spans="1:1">
      <c r="A204" s="35"/>
    </row>
    <row r="205" spans="1:1">
      <c r="A205" s="35"/>
    </row>
    <row r="206" spans="1:1">
      <c r="A206" s="35"/>
    </row>
    <row r="207" spans="1:1">
      <c r="A207" s="35"/>
    </row>
    <row r="208" spans="1:1">
      <c r="A208" s="35"/>
    </row>
    <row r="209" spans="1:1">
      <c r="A209" s="35"/>
    </row>
    <row r="210" spans="1:1">
      <c r="A210" s="35"/>
    </row>
    <row r="211" spans="1:1">
      <c r="A211" s="35"/>
    </row>
    <row r="212" spans="1:1">
      <c r="A212" s="35"/>
    </row>
    <row r="213" spans="1:1">
      <c r="A213" s="35"/>
    </row>
    <row r="214" spans="1:1">
      <c r="A214" s="35"/>
    </row>
    <row r="215" spans="1:1">
      <c r="A215" s="35"/>
    </row>
    <row r="216" spans="1:1">
      <c r="A216" s="35"/>
    </row>
    <row r="217" spans="1:1">
      <c r="A217" s="35"/>
    </row>
    <row r="218" spans="1:1">
      <c r="A218" s="35"/>
    </row>
    <row r="219" spans="1:1">
      <c r="A219" s="35"/>
    </row>
    <row r="220" spans="1:1">
      <c r="A220" s="35"/>
    </row>
    <row r="221" spans="1:1">
      <c r="A221" s="35"/>
    </row>
    <row r="222" spans="1:1">
      <c r="A222" s="35"/>
    </row>
    <row r="223" spans="1:1">
      <c r="A223" s="35"/>
    </row>
    <row r="224" spans="1:1">
      <c r="A224" s="35"/>
    </row>
    <row r="225" spans="1:1">
      <c r="A225" s="35"/>
    </row>
    <row r="226" spans="1:1">
      <c r="A226" s="35"/>
    </row>
    <row r="227" spans="1:1">
      <c r="A227" s="35"/>
    </row>
    <row r="228" spans="1:1">
      <c r="A228" s="35"/>
    </row>
    <row r="229" spans="1:1">
      <c r="A229" s="35"/>
    </row>
    <row r="230" spans="1:1">
      <c r="A230" s="35"/>
    </row>
    <row r="231" spans="1:1">
      <c r="A231" s="35"/>
    </row>
    <row r="232" spans="1:1">
      <c r="A232" s="35"/>
    </row>
    <row r="233" spans="1:1">
      <c r="A233" s="35"/>
    </row>
    <row r="234" spans="1:1">
      <c r="A234" s="35"/>
    </row>
    <row r="235" spans="1:1">
      <c r="A235" s="35"/>
    </row>
    <row r="236" spans="1:1">
      <c r="A236" s="35"/>
    </row>
    <row r="237" spans="1:1">
      <c r="A237" s="35"/>
    </row>
    <row r="238" spans="1:1">
      <c r="A238" s="35"/>
    </row>
    <row r="239" spans="1:1">
      <c r="A239" s="35"/>
    </row>
    <row r="240" spans="1:1">
      <c r="A240" s="35"/>
    </row>
    <row r="241" spans="1:1">
      <c r="A241" s="35"/>
    </row>
    <row r="242" spans="1:1">
      <c r="A242" s="35"/>
    </row>
    <row r="243" spans="1:1">
      <c r="A243" s="35"/>
    </row>
    <row r="244" spans="1:1">
      <c r="A244" s="35"/>
    </row>
    <row r="245" spans="1:1">
      <c r="A245" s="35"/>
    </row>
    <row r="246" spans="1:1">
      <c r="A246" s="35"/>
    </row>
    <row r="247" spans="1:1">
      <c r="A247" s="35"/>
    </row>
    <row r="248" spans="1:1">
      <c r="A248" s="35"/>
    </row>
    <row r="249" spans="1:1">
      <c r="A249" s="35"/>
    </row>
    <row r="250" spans="1:1">
      <c r="A250" s="35"/>
    </row>
    <row r="251" spans="1:1">
      <c r="A251" s="35"/>
    </row>
    <row r="252" spans="1:1">
      <c r="A252" s="35"/>
    </row>
    <row r="253" spans="1:1">
      <c r="A253" s="35"/>
    </row>
    <row r="254" spans="1:1">
      <c r="A254" s="35"/>
    </row>
    <row r="255" spans="1:1">
      <c r="A255" s="35"/>
    </row>
    <row r="256" spans="1:1">
      <c r="A256" s="35"/>
    </row>
    <row r="257" spans="1:1">
      <c r="A257" s="35"/>
    </row>
    <row r="258" spans="1:1">
      <c r="A258" s="35"/>
    </row>
    <row r="259" spans="1:1">
      <c r="A259" s="35"/>
    </row>
    <row r="260" spans="1:1">
      <c r="A260" s="35"/>
    </row>
    <row r="261" spans="1:1">
      <c r="A261" s="35"/>
    </row>
    <row r="262" spans="1:1">
      <c r="A262" s="35"/>
    </row>
    <row r="263" spans="1:1">
      <c r="A263" s="35"/>
    </row>
    <row r="264" spans="1:1">
      <c r="A264" s="35"/>
    </row>
    <row r="265" spans="1:1">
      <c r="A265" s="35"/>
    </row>
    <row r="266" spans="1:1">
      <c r="A266" s="35"/>
    </row>
    <row r="267" spans="1:1">
      <c r="A267" s="35"/>
    </row>
    <row r="268" spans="1:1">
      <c r="A268" s="35"/>
    </row>
    <row r="269" spans="1:1">
      <c r="A269" s="35"/>
    </row>
    <row r="270" spans="1:1">
      <c r="A270" s="35"/>
    </row>
    <row r="271" spans="1:1">
      <c r="A271" s="35"/>
    </row>
    <row r="272" spans="1:1">
      <c r="A272" s="35"/>
    </row>
    <row r="273" spans="1:1">
      <c r="A273" s="35"/>
    </row>
    <row r="274" spans="1:1">
      <c r="A274" s="35"/>
    </row>
    <row r="275" spans="1:1">
      <c r="A275" s="35"/>
    </row>
    <row r="276" spans="1:1">
      <c r="A276" s="35"/>
    </row>
    <row r="277" spans="1:1">
      <c r="A277" s="35"/>
    </row>
    <row r="278" spans="1:1">
      <c r="A278" s="35"/>
    </row>
    <row r="279" spans="1:1">
      <c r="A279" s="35"/>
    </row>
    <row r="280" spans="1:1">
      <c r="A280" s="35"/>
    </row>
    <row r="281" spans="1:1">
      <c r="A281" s="35"/>
    </row>
    <row r="282" spans="1:1">
      <c r="A282" s="35"/>
    </row>
    <row r="283" spans="1:1">
      <c r="A283" s="35"/>
    </row>
    <row r="284" spans="1:1">
      <c r="A284" s="35"/>
    </row>
    <row r="285" spans="1:1">
      <c r="A285" s="35"/>
    </row>
    <row r="286" spans="1:1">
      <c r="A286" s="35"/>
    </row>
    <row r="287" spans="1:1">
      <c r="A287" s="35"/>
    </row>
    <row r="288" spans="1:1">
      <c r="A288" s="35"/>
    </row>
    <row r="289" spans="1:1">
      <c r="A289" s="35"/>
    </row>
    <row r="290" spans="1:1">
      <c r="A290" s="35"/>
    </row>
    <row r="291" spans="1:1">
      <c r="A291" s="35"/>
    </row>
    <row r="292" spans="1:1">
      <c r="A292" s="35"/>
    </row>
    <row r="293" spans="1:1">
      <c r="A293" s="35"/>
    </row>
    <row r="294" spans="1:1">
      <c r="A294" s="35"/>
    </row>
    <row r="295" spans="1:1">
      <c r="A295" s="35"/>
    </row>
    <row r="296" spans="1:1">
      <c r="A296" s="35"/>
    </row>
    <row r="297" spans="1:1">
      <c r="A297" s="35"/>
    </row>
    <row r="298" spans="1:1">
      <c r="A298" s="35"/>
    </row>
    <row r="299" spans="1:1">
      <c r="A299" s="35"/>
    </row>
    <row r="300" spans="1:1">
      <c r="A300" s="35"/>
    </row>
    <row r="301" spans="1:1">
      <c r="A301" s="35"/>
    </row>
    <row r="302" spans="1:1">
      <c r="A302" s="35"/>
    </row>
    <row r="303" spans="1:1">
      <c r="A303" s="35"/>
    </row>
    <row r="304" spans="1:1">
      <c r="A304" s="35"/>
    </row>
    <row r="305" spans="1:1">
      <c r="A305" s="35"/>
    </row>
    <row r="306" spans="1:1">
      <c r="A306" s="35"/>
    </row>
    <row r="307" spans="1:1">
      <c r="A307" s="35"/>
    </row>
    <row r="308" spans="1:1">
      <c r="A308" s="35"/>
    </row>
    <row r="309" spans="1:1">
      <c r="A309" s="35"/>
    </row>
    <row r="310" spans="1:1">
      <c r="A310" s="35"/>
    </row>
    <row r="311" spans="1:1">
      <c r="A311" s="35"/>
    </row>
    <row r="312" spans="1:1">
      <c r="A312" s="35"/>
    </row>
    <row r="313" spans="1:1">
      <c r="A313" s="35"/>
    </row>
    <row r="314" spans="1:1">
      <c r="A314" s="35"/>
    </row>
    <row r="315" spans="1:1">
      <c r="A315" s="35"/>
    </row>
    <row r="316" spans="1:1">
      <c r="A316" s="35"/>
    </row>
    <row r="317" spans="1:1">
      <c r="A317" s="35"/>
    </row>
    <row r="318" spans="1:1">
      <c r="A318" s="35"/>
    </row>
    <row r="319" spans="1:1">
      <c r="A319" s="35"/>
    </row>
    <row r="320" spans="1:1">
      <c r="A320" s="35"/>
    </row>
    <row r="321" spans="1:1">
      <c r="A321" s="35"/>
    </row>
    <row r="322" spans="1:1">
      <c r="A322" s="35"/>
    </row>
    <row r="323" spans="1:1">
      <c r="A323" s="35"/>
    </row>
    <row r="324" spans="1:1">
      <c r="A324" s="35"/>
    </row>
    <row r="325" spans="1:1">
      <c r="A325" s="35"/>
    </row>
    <row r="326" spans="1:1">
      <c r="A326" s="35"/>
    </row>
    <row r="327" spans="1:1">
      <c r="A327" s="35"/>
    </row>
    <row r="328" spans="1:1">
      <c r="A328" s="35"/>
    </row>
    <row r="329" spans="1:1">
      <c r="A329" s="35"/>
    </row>
    <row r="330" spans="1:1">
      <c r="A330" s="35"/>
    </row>
    <row r="331" spans="1:1">
      <c r="A331" s="35"/>
    </row>
    <row r="332" spans="1:1">
      <c r="A332" s="35"/>
    </row>
    <row r="333" spans="1:1">
      <c r="A333" s="35"/>
    </row>
    <row r="334" spans="1:1">
      <c r="A334" s="35"/>
    </row>
    <row r="335" spans="1:1">
      <c r="A335" s="35"/>
    </row>
    <row r="336" spans="1:1">
      <c r="A336" s="35"/>
    </row>
    <row r="337" spans="1:1">
      <c r="A337" s="35"/>
    </row>
    <row r="338" spans="1:1">
      <c r="A338" s="35"/>
    </row>
    <row r="339" spans="1:1">
      <c r="A339" s="35"/>
    </row>
    <row r="340" spans="1:1">
      <c r="A340" s="35"/>
    </row>
    <row r="341" spans="1:1">
      <c r="A341" s="35"/>
    </row>
    <row r="342" spans="1:1">
      <c r="A342" s="35"/>
    </row>
    <row r="343" spans="1:1">
      <c r="A343" s="35"/>
    </row>
    <row r="344" spans="1:1">
      <c r="A344" s="35"/>
    </row>
    <row r="345" spans="1:1">
      <c r="A345" s="35"/>
    </row>
    <row r="346" spans="1:1">
      <c r="A346" s="35"/>
    </row>
    <row r="347" spans="1:1">
      <c r="A347" s="35"/>
    </row>
    <row r="348" spans="1:1">
      <c r="A348" s="35"/>
    </row>
    <row r="349" spans="1:1">
      <c r="A349" s="35"/>
    </row>
    <row r="350" spans="1:1">
      <c r="A350" s="35"/>
    </row>
    <row r="351" spans="1:1">
      <c r="A351" s="35"/>
    </row>
    <row r="352" spans="1:1">
      <c r="A352" s="35"/>
    </row>
    <row r="353" spans="1:1">
      <c r="A353" s="35"/>
    </row>
    <row r="354" spans="1:1">
      <c r="A354" s="35"/>
    </row>
    <row r="355" spans="1:1">
      <c r="A355" s="35"/>
    </row>
    <row r="356" spans="1:1">
      <c r="A356" s="35"/>
    </row>
    <row r="357" spans="1:1">
      <c r="A357" s="35"/>
    </row>
    <row r="358" spans="1:1">
      <c r="A358" s="35"/>
    </row>
    <row r="359" spans="1:1">
      <c r="A359" s="35"/>
    </row>
    <row r="360" spans="1:1">
      <c r="A360" s="35"/>
    </row>
    <row r="361" spans="1:1">
      <c r="A361" s="35"/>
    </row>
    <row r="362" spans="1:1">
      <c r="A362" s="35"/>
    </row>
    <row r="363" spans="1:1">
      <c r="A363" s="35"/>
    </row>
    <row r="364" spans="1:1">
      <c r="A364" s="35"/>
    </row>
    <row r="365" spans="1:1">
      <c r="A365" s="35"/>
    </row>
    <row r="366" spans="1:1">
      <c r="A366" s="35"/>
    </row>
    <row r="367" spans="1:1">
      <c r="A367" s="35"/>
    </row>
    <row r="368" spans="1:1">
      <c r="A368" s="35"/>
    </row>
    <row r="369" spans="1:1">
      <c r="A369" s="35"/>
    </row>
    <row r="370" spans="1:1">
      <c r="A370" s="35"/>
    </row>
    <row r="371" spans="1:1">
      <c r="A371" s="35"/>
    </row>
    <row r="372" spans="1:1">
      <c r="A372" s="35"/>
    </row>
    <row r="373" spans="1:1">
      <c r="A373" s="35"/>
    </row>
    <row r="374" spans="1:1">
      <c r="A374" s="35"/>
    </row>
    <row r="375" spans="1:1">
      <c r="A375" s="35"/>
    </row>
    <row r="376" spans="1:1">
      <c r="A376" s="35"/>
    </row>
    <row r="377" spans="1:1">
      <c r="A377" s="35"/>
    </row>
    <row r="378" spans="1:1">
      <c r="A378" s="35"/>
    </row>
    <row r="379" spans="1:1">
      <c r="A379" s="35"/>
    </row>
    <row r="380" spans="1:1">
      <c r="A380" s="35"/>
    </row>
    <row r="381" spans="1:1">
      <c r="A381" s="35"/>
    </row>
    <row r="382" spans="1:1">
      <c r="A382" s="35"/>
    </row>
    <row r="383" spans="1:1">
      <c r="A383" s="35"/>
    </row>
    <row r="384" spans="1:1">
      <c r="A384" s="35"/>
    </row>
    <row r="385" spans="1:1">
      <c r="A385" s="35"/>
    </row>
    <row r="386" spans="1:1">
      <c r="A386" s="35"/>
    </row>
    <row r="387" spans="1:1">
      <c r="A387" s="35"/>
    </row>
    <row r="388" spans="1:1">
      <c r="A388" s="35"/>
    </row>
    <row r="389" spans="1:1">
      <c r="A389" s="35"/>
    </row>
    <row r="390" spans="1:1">
      <c r="A390" s="35"/>
    </row>
    <row r="391" spans="1:1">
      <c r="A391" s="35"/>
    </row>
    <row r="392" spans="1:1">
      <c r="A392" s="35"/>
    </row>
    <row r="393" spans="1:1">
      <c r="A393" s="35"/>
    </row>
    <row r="394" spans="1:1">
      <c r="A394" s="35"/>
    </row>
    <row r="395" spans="1:1">
      <c r="A395" s="35"/>
    </row>
    <row r="396" spans="1:1">
      <c r="A396" s="35"/>
    </row>
    <row r="397" spans="1:1">
      <c r="A397" s="35"/>
    </row>
    <row r="398" spans="1:1">
      <c r="A398" s="35"/>
    </row>
    <row r="399" spans="1:1">
      <c r="A399" s="35"/>
    </row>
    <row r="400" spans="1:1">
      <c r="A400" s="35"/>
    </row>
    <row r="401" spans="1:1">
      <c r="A401" s="35"/>
    </row>
    <row r="402" spans="1:1">
      <c r="A402" s="35"/>
    </row>
    <row r="403" spans="1:1">
      <c r="A403" s="35"/>
    </row>
    <row r="404" spans="1:1">
      <c r="A404" s="35"/>
    </row>
    <row r="405" spans="1:1">
      <c r="A405" s="35"/>
    </row>
    <row r="406" spans="1:1">
      <c r="A406" s="35"/>
    </row>
    <row r="407" spans="1:1">
      <c r="A407" s="35"/>
    </row>
    <row r="408" spans="1:1">
      <c r="A408" s="35"/>
    </row>
    <row r="409" spans="1:1">
      <c r="A409" s="35"/>
    </row>
    <row r="410" spans="1:1">
      <c r="A410" s="35"/>
    </row>
    <row r="411" spans="1:1">
      <c r="A411" s="35"/>
    </row>
    <row r="412" spans="1:1">
      <c r="A412" s="35"/>
    </row>
    <row r="413" spans="1:1">
      <c r="A413" s="35"/>
    </row>
    <row r="414" spans="1:1">
      <c r="A414" s="35"/>
    </row>
    <row r="415" spans="1:1">
      <c r="A415" s="35"/>
    </row>
    <row r="416" spans="1:1">
      <c r="A416" s="35"/>
    </row>
    <row r="417" spans="1:1">
      <c r="A417" s="35"/>
    </row>
    <row r="418" spans="1:1">
      <c r="A418" s="35"/>
    </row>
    <row r="419" spans="1:1">
      <c r="A419" s="35"/>
    </row>
    <row r="420" spans="1:1">
      <c r="A420" s="35"/>
    </row>
    <row r="421" spans="1:1">
      <c r="A421" s="35"/>
    </row>
    <row r="422" spans="1:1">
      <c r="A422" s="35"/>
    </row>
    <row r="423" spans="1:1">
      <c r="A423" s="35"/>
    </row>
    <row r="424" spans="1:1">
      <c r="A424" s="35"/>
    </row>
    <row r="425" spans="1:1">
      <c r="A425" s="35"/>
    </row>
    <row r="426" spans="1:1">
      <c r="A426" s="35"/>
    </row>
    <row r="427" spans="1:1">
      <c r="A427" s="35"/>
    </row>
    <row r="428" spans="1:1">
      <c r="A428" s="35"/>
    </row>
    <row r="429" spans="1:1">
      <c r="A429" s="35"/>
    </row>
    <row r="430" spans="1:1">
      <c r="A430" s="35"/>
    </row>
    <row r="431" spans="1:1">
      <c r="A431" s="35"/>
    </row>
    <row r="432" spans="1:1">
      <c r="A432" s="35"/>
    </row>
    <row r="433" spans="1:1">
      <c r="A433" s="35"/>
    </row>
    <row r="434" spans="1:1">
      <c r="A434" s="35"/>
    </row>
    <row r="435" spans="1:1">
      <c r="A435" s="35"/>
    </row>
    <row r="436" spans="1:1">
      <c r="A436" s="35"/>
    </row>
    <row r="437" spans="1:1">
      <c r="A437" s="35"/>
    </row>
    <row r="438" spans="1:1">
      <c r="A438" s="35"/>
    </row>
    <row r="439" spans="1:1">
      <c r="A439" s="35"/>
    </row>
    <row r="440" spans="1:1">
      <c r="A440" s="35"/>
    </row>
    <row r="441" spans="1:1">
      <c r="A441" s="35"/>
    </row>
    <row r="442" spans="1:1">
      <c r="A442" s="35"/>
    </row>
    <row r="443" spans="1:1">
      <c r="A443" s="35"/>
    </row>
    <row r="444" spans="1:1">
      <c r="A444" s="35"/>
    </row>
    <row r="445" spans="1:1">
      <c r="A445" s="35"/>
    </row>
    <row r="446" spans="1:1">
      <c r="A446" s="35"/>
    </row>
    <row r="447" spans="1:1">
      <c r="A447" s="35"/>
    </row>
    <row r="448" spans="1:1">
      <c r="A448" s="35"/>
    </row>
    <row r="449" spans="1:1">
      <c r="A449" s="35"/>
    </row>
    <row r="450" spans="1:1">
      <c r="A450" s="35"/>
    </row>
    <row r="451" spans="1:1">
      <c r="A451" s="35"/>
    </row>
    <row r="452" spans="1:1">
      <c r="A452" s="35"/>
    </row>
    <row r="453" spans="1:1">
      <c r="A453" s="35"/>
    </row>
    <row r="454" spans="1:1">
      <c r="A454" s="35"/>
    </row>
    <row r="455" spans="1:1">
      <c r="A455" s="35"/>
    </row>
    <row r="456" spans="1:1">
      <c r="A456" s="35"/>
    </row>
    <row r="457" spans="1:1">
      <c r="A457" s="35"/>
    </row>
    <row r="458" spans="1:1">
      <c r="A458" s="35"/>
    </row>
    <row r="459" spans="1:1">
      <c r="A459" s="35"/>
    </row>
    <row r="460" spans="1:1">
      <c r="A460" s="35"/>
    </row>
    <row r="461" spans="1:1">
      <c r="A461" s="35"/>
    </row>
    <row r="462" spans="1:1">
      <c r="A462" s="35"/>
    </row>
    <row r="463" spans="1:1">
      <c r="A463" s="35"/>
    </row>
    <row r="464" spans="1:1">
      <c r="A464" s="35"/>
    </row>
    <row r="465" spans="1:1">
      <c r="A465" s="35"/>
    </row>
    <row r="466" spans="1:1">
      <c r="A466" s="35"/>
    </row>
    <row r="467" spans="1:1">
      <c r="A467" s="35"/>
    </row>
    <row r="468" spans="1:1">
      <c r="A468" s="35"/>
    </row>
    <row r="469" spans="1:1">
      <c r="A469" s="35"/>
    </row>
    <row r="470" spans="1:1">
      <c r="A470" s="35"/>
    </row>
    <row r="471" spans="1:1">
      <c r="A471" s="35"/>
    </row>
    <row r="472" spans="1:1">
      <c r="A472" s="35"/>
    </row>
    <row r="473" spans="1:1">
      <c r="A473" s="35"/>
    </row>
    <row r="474" spans="1:1">
      <c r="A474" s="35"/>
    </row>
    <row r="475" spans="1:1">
      <c r="A475" s="35"/>
    </row>
    <row r="476" spans="1:1">
      <c r="A476" s="35"/>
    </row>
    <row r="477" spans="1:1">
      <c r="A477" s="35"/>
    </row>
    <row r="478" spans="1:1">
      <c r="A478" s="35"/>
    </row>
    <row r="479" spans="1:1">
      <c r="A479" s="35"/>
    </row>
    <row r="480" spans="1:1">
      <c r="A480" s="35"/>
    </row>
    <row r="481" spans="1:1">
      <c r="A481" s="35"/>
    </row>
    <row r="482" spans="1:1">
      <c r="A482" s="35"/>
    </row>
    <row r="483" spans="1:1">
      <c r="A483" s="35"/>
    </row>
    <row r="484" spans="1:1">
      <c r="A484" s="35"/>
    </row>
    <row r="485" spans="1:1">
      <c r="A485" s="35"/>
    </row>
    <row r="486" spans="1:1">
      <c r="A486" s="35"/>
    </row>
    <row r="487" spans="1:1">
      <c r="A487" s="35"/>
    </row>
    <row r="488" spans="1:1">
      <c r="A488" s="35"/>
    </row>
    <row r="489" spans="1:1">
      <c r="A489" s="35"/>
    </row>
    <row r="490" spans="1:1">
      <c r="A490" s="35"/>
    </row>
    <row r="491" spans="1:1">
      <c r="A491" s="35"/>
    </row>
    <row r="492" spans="1:1">
      <c r="A492" s="35"/>
    </row>
    <row r="493" spans="1:1">
      <c r="A493" s="35"/>
    </row>
    <row r="494" spans="1:1">
      <c r="A494" s="35"/>
    </row>
    <row r="495" spans="1:1">
      <c r="A495" s="35"/>
    </row>
    <row r="496" spans="1:1">
      <c r="A496" s="35"/>
    </row>
    <row r="497" spans="1:1">
      <c r="A497" s="35"/>
    </row>
    <row r="498" spans="1:1">
      <c r="A498" s="35"/>
    </row>
    <row r="499" spans="1:1">
      <c r="A499" s="35"/>
    </row>
    <row r="500" spans="1:1">
      <c r="A500" s="35"/>
    </row>
    <row r="501" spans="1:1">
      <c r="A501" s="35"/>
    </row>
    <row r="502" spans="1:1">
      <c r="A502" s="35"/>
    </row>
    <row r="503" spans="1:1">
      <c r="A503" s="35"/>
    </row>
    <row r="504" spans="1:1">
      <c r="A504" s="35"/>
    </row>
    <row r="505" spans="1:1">
      <c r="A505" s="35"/>
    </row>
    <row r="506" spans="1:1">
      <c r="A506" s="35"/>
    </row>
    <row r="507" spans="1:1">
      <c r="A507" s="35"/>
    </row>
    <row r="508" spans="1:1">
      <c r="A508" s="35"/>
    </row>
    <row r="509" spans="1:1">
      <c r="A509" s="35"/>
    </row>
    <row r="510" spans="1:1">
      <c r="A510" s="35"/>
    </row>
    <row r="511" spans="1:1">
      <c r="A511" s="35"/>
    </row>
    <row r="512" spans="1:1">
      <c r="A512" s="35"/>
    </row>
    <row r="513" spans="1:1">
      <c r="A513" s="35"/>
    </row>
    <row r="514" spans="1:1">
      <c r="A514" s="35"/>
    </row>
    <row r="515" spans="1:1">
      <c r="A515" s="35"/>
    </row>
    <row r="516" spans="1:1">
      <c r="A516" s="35"/>
    </row>
    <row r="517" spans="1:1">
      <c r="A517" s="35"/>
    </row>
    <row r="518" spans="1:1">
      <c r="A518" s="35"/>
    </row>
    <row r="519" spans="1:1">
      <c r="A519" s="35"/>
    </row>
    <row r="520" spans="1:1">
      <c r="A520" s="35"/>
    </row>
    <row r="521" spans="1:1">
      <c r="A521" s="35"/>
    </row>
    <row r="522" spans="1:1">
      <c r="A522" s="35"/>
    </row>
    <row r="523" spans="1:1">
      <c r="A523" s="35"/>
    </row>
    <row r="524" spans="1:1">
      <c r="A524" s="35"/>
    </row>
    <row r="525" spans="1:1">
      <c r="A525" s="35"/>
    </row>
    <row r="526" spans="1:1">
      <c r="A526" s="35"/>
    </row>
    <row r="527" spans="1:1">
      <c r="A527" s="35"/>
    </row>
    <row r="528" spans="1:1">
      <c r="A528" s="35"/>
    </row>
    <row r="529" spans="1:1">
      <c r="A529" s="35"/>
    </row>
    <row r="530" spans="1:1">
      <c r="A530" s="35"/>
    </row>
    <row r="531" spans="1:1">
      <c r="A531" s="35"/>
    </row>
    <row r="532" spans="1:1">
      <c r="A532" s="35"/>
    </row>
    <row r="533" spans="1:1">
      <c r="A533" s="35"/>
    </row>
    <row r="534" spans="1:1">
      <c r="A534" s="35"/>
    </row>
    <row r="535" spans="1:1">
      <c r="A535" s="35"/>
    </row>
    <row r="536" spans="1:1">
      <c r="A536" s="35"/>
    </row>
    <row r="537" spans="1:1">
      <c r="A537" s="35"/>
    </row>
    <row r="538" spans="1:1">
      <c r="A538" s="35"/>
    </row>
    <row r="539" spans="1:1">
      <c r="A539" s="35"/>
    </row>
    <row r="540" spans="1:1">
      <c r="A540" s="35"/>
    </row>
    <row r="541" spans="1:1">
      <c r="A541" s="35"/>
    </row>
    <row r="542" spans="1:1">
      <c r="A542" s="35"/>
    </row>
    <row r="543" spans="1:1">
      <c r="A543" s="35"/>
    </row>
    <row r="544" spans="1:1">
      <c r="A544" s="35"/>
    </row>
    <row r="545" spans="1:1">
      <c r="A545" s="35"/>
    </row>
    <row r="546" spans="1:1">
      <c r="A546" s="35"/>
    </row>
    <row r="547" spans="1:1">
      <c r="A547" s="35"/>
    </row>
    <row r="548" spans="1:1">
      <c r="A548" s="35"/>
    </row>
    <row r="549" spans="1:1">
      <c r="A549" s="35"/>
    </row>
    <row r="550" spans="1:1">
      <c r="A550" s="35"/>
    </row>
    <row r="551" spans="1:1">
      <c r="A551" s="35"/>
    </row>
    <row r="552" spans="1:1">
      <c r="A552" s="35"/>
    </row>
    <row r="553" spans="1:1">
      <c r="A553" s="35"/>
    </row>
    <row r="554" spans="1:1">
      <c r="A554" s="35"/>
    </row>
    <row r="555" spans="1:1">
      <c r="A555" s="35"/>
    </row>
    <row r="556" spans="1:1">
      <c r="A556" s="35"/>
    </row>
    <row r="557" spans="1:1">
      <c r="A557" s="35"/>
    </row>
    <row r="558" spans="1:1">
      <c r="A558" s="35"/>
    </row>
    <row r="559" spans="1:1">
      <c r="A559" s="35"/>
    </row>
    <row r="560" spans="1:1">
      <c r="A560" s="35"/>
    </row>
    <row r="561" spans="1:1">
      <c r="A561" s="35"/>
    </row>
    <row r="562" spans="1:1">
      <c r="A562" s="35"/>
    </row>
    <row r="563" spans="1:1">
      <c r="A563" s="35"/>
    </row>
    <row r="564" spans="1:1">
      <c r="A564" s="35"/>
    </row>
    <row r="565" spans="1:1">
      <c r="A565" s="35"/>
    </row>
    <row r="566" spans="1:1">
      <c r="A566" s="35"/>
    </row>
    <row r="567" spans="1:1">
      <c r="A567" s="35"/>
    </row>
    <row r="568" spans="1:1">
      <c r="A568" s="35"/>
    </row>
    <row r="569" spans="1:1">
      <c r="A569" s="35"/>
    </row>
    <row r="570" spans="1:1">
      <c r="A570" s="35"/>
    </row>
    <row r="571" spans="1:1">
      <c r="A571" s="35"/>
    </row>
    <row r="572" spans="1:1">
      <c r="A572" s="35"/>
    </row>
    <row r="573" spans="1:1">
      <c r="A573" s="35"/>
    </row>
    <row r="574" spans="1:1">
      <c r="A574" s="35"/>
    </row>
    <row r="575" spans="1:1">
      <c r="A575" s="35"/>
    </row>
    <row r="576" spans="1:1">
      <c r="A576" s="35"/>
    </row>
    <row r="577" spans="1:1">
      <c r="A577" s="35"/>
    </row>
    <row r="578" spans="1:1">
      <c r="A578" s="35"/>
    </row>
    <row r="579" spans="1:1">
      <c r="A579" s="35"/>
    </row>
    <row r="580" spans="1:1">
      <c r="A580" s="35"/>
    </row>
    <row r="581" spans="1:1">
      <c r="A581" s="35"/>
    </row>
    <row r="582" spans="1:1">
      <c r="A582" s="35"/>
    </row>
    <row r="583" spans="1:1">
      <c r="A583" s="35"/>
    </row>
    <row r="584" spans="1:1">
      <c r="A584" s="35"/>
    </row>
    <row r="585" spans="1:1">
      <c r="A585" s="35"/>
    </row>
    <row r="586" spans="1:1">
      <c r="A586" s="35"/>
    </row>
    <row r="587" spans="1:1">
      <c r="A587" s="35"/>
    </row>
    <row r="588" spans="1:1">
      <c r="A588" s="35"/>
    </row>
    <row r="589" spans="1:1">
      <c r="A589" s="35"/>
    </row>
    <row r="590" spans="1:1">
      <c r="A590" s="35"/>
    </row>
    <row r="591" spans="1:1">
      <c r="A591" s="35"/>
    </row>
    <row r="592" spans="1:1">
      <c r="A592" s="35"/>
    </row>
    <row r="593" spans="1:1">
      <c r="A593" s="35"/>
    </row>
    <row r="594" spans="1:1">
      <c r="A594" s="35"/>
    </row>
    <row r="595" spans="1:1">
      <c r="A595" s="35"/>
    </row>
    <row r="596" spans="1:1">
      <c r="A596" s="35"/>
    </row>
    <row r="597" spans="1:1">
      <c r="A597" s="35"/>
    </row>
    <row r="598" spans="1:1">
      <c r="A598" s="35"/>
    </row>
    <row r="599" spans="1:1">
      <c r="A599" s="35"/>
    </row>
    <row r="600" spans="1:1">
      <c r="A600" s="35"/>
    </row>
    <row r="601" spans="1:1">
      <c r="A601" s="35"/>
    </row>
    <row r="602" spans="1:1">
      <c r="A602" s="35"/>
    </row>
    <row r="603" spans="1:1">
      <c r="A603" s="35"/>
    </row>
    <row r="604" spans="1:1">
      <c r="A604" s="35"/>
    </row>
    <row r="605" spans="1:1">
      <c r="A605" s="35"/>
    </row>
    <row r="606" spans="1:1">
      <c r="A606" s="35"/>
    </row>
    <row r="607" spans="1:1">
      <c r="A607" s="35"/>
    </row>
    <row r="608" spans="1:1">
      <c r="A608" s="35"/>
    </row>
    <row r="609" spans="1:1">
      <c r="A609" s="35"/>
    </row>
    <row r="610" spans="1:1">
      <c r="A610" s="35"/>
    </row>
    <row r="611" spans="1:1">
      <c r="A611" s="35"/>
    </row>
    <row r="612" spans="1:1">
      <c r="A612" s="35"/>
    </row>
    <row r="613" spans="1:1">
      <c r="A613" s="35"/>
    </row>
    <row r="614" spans="1:1">
      <c r="A614" s="35"/>
    </row>
    <row r="615" spans="1:1">
      <c r="A615" s="35"/>
    </row>
    <row r="616" spans="1:1">
      <c r="A616" s="35"/>
    </row>
    <row r="617" spans="1:1">
      <c r="A617" s="35"/>
    </row>
    <row r="618" spans="1:1">
      <c r="A618" s="35"/>
    </row>
    <row r="619" spans="1:1">
      <c r="A619" s="35"/>
    </row>
    <row r="620" spans="1:1">
      <c r="A620" s="35"/>
    </row>
    <row r="621" spans="1:1">
      <c r="A621" s="35"/>
    </row>
    <row r="622" spans="1:1">
      <c r="A622" s="35"/>
    </row>
    <row r="623" spans="1:1">
      <c r="A623" s="35"/>
    </row>
    <row r="624" spans="1:1">
      <c r="A624" s="35"/>
    </row>
    <row r="625" spans="1:1">
      <c r="A625" s="35"/>
    </row>
    <row r="626" spans="1:1">
      <c r="A626" s="35"/>
    </row>
    <row r="627" spans="1:1">
      <c r="A627" s="35"/>
    </row>
    <row r="628" spans="1:1">
      <c r="A628" s="35"/>
    </row>
    <row r="629" spans="1:1">
      <c r="A629" s="35"/>
    </row>
    <row r="630" spans="1:1">
      <c r="A630" s="35"/>
    </row>
    <row r="631" spans="1:1">
      <c r="A631" s="35"/>
    </row>
    <row r="632" spans="1:1">
      <c r="A632" s="35"/>
    </row>
    <row r="633" spans="1:1">
      <c r="A633" s="35"/>
    </row>
    <row r="634" spans="1:1">
      <c r="A634" s="35"/>
    </row>
    <row r="635" spans="1:1">
      <c r="A635" s="35"/>
    </row>
    <row r="636" spans="1:1">
      <c r="A636" s="35"/>
    </row>
    <row r="637" spans="1:1">
      <c r="A637" s="35"/>
    </row>
    <row r="638" spans="1:1">
      <c r="A638" s="35"/>
    </row>
    <row r="639" spans="1:1">
      <c r="A639" s="35"/>
    </row>
    <row r="640" spans="1:1">
      <c r="A640" s="35"/>
    </row>
    <row r="641" spans="1:1">
      <c r="A641" s="35"/>
    </row>
    <row r="642" spans="1:1">
      <c r="A642" s="35"/>
    </row>
    <row r="643" spans="1:1">
      <c r="A643" s="35"/>
    </row>
    <row r="644" spans="1:1">
      <c r="A644" s="35"/>
    </row>
    <row r="645" spans="1:1">
      <c r="A645" s="35"/>
    </row>
    <row r="646" spans="1:1">
      <c r="A646" s="35"/>
    </row>
    <row r="647" spans="1:1">
      <c r="A647" s="35"/>
    </row>
    <row r="648" spans="1:1">
      <c r="A648" s="35"/>
    </row>
    <row r="649" spans="1:1">
      <c r="A649" s="35"/>
    </row>
    <row r="650" spans="1:1">
      <c r="A650" s="35"/>
    </row>
    <row r="651" spans="1:1">
      <c r="A651" s="35"/>
    </row>
    <row r="652" spans="1:1">
      <c r="A652" s="35"/>
    </row>
    <row r="653" spans="1:1">
      <c r="A653" s="35"/>
    </row>
    <row r="654" spans="1:1">
      <c r="A654" s="35"/>
    </row>
    <row r="655" spans="1:1">
      <c r="A655" s="35"/>
    </row>
    <row r="656" spans="1:1">
      <c r="A656" s="35"/>
    </row>
    <row r="657" spans="1:1">
      <c r="A657" s="35"/>
    </row>
    <row r="658" spans="1:1">
      <c r="A658" s="35"/>
    </row>
    <row r="659" spans="1:1">
      <c r="A659" s="35"/>
    </row>
    <row r="660" spans="1:1">
      <c r="A660" s="35"/>
    </row>
    <row r="661" spans="1:1">
      <c r="A661" s="35"/>
    </row>
    <row r="662" spans="1:1">
      <c r="A662" s="35"/>
    </row>
    <row r="663" spans="1:1">
      <c r="A663" s="35"/>
    </row>
    <row r="664" spans="1:1">
      <c r="A664" s="35"/>
    </row>
    <row r="665" spans="1:1">
      <c r="A665" s="35"/>
    </row>
    <row r="666" spans="1:1">
      <c r="A666" s="35"/>
    </row>
    <row r="667" spans="1:1">
      <c r="A667" s="35"/>
    </row>
    <row r="668" spans="1:1">
      <c r="A668" s="35"/>
    </row>
    <row r="669" spans="1:1">
      <c r="A669" s="35"/>
    </row>
    <row r="670" spans="1:1">
      <c r="A670" s="35"/>
    </row>
    <row r="671" spans="1:1">
      <c r="A671" s="35"/>
    </row>
    <row r="672" spans="1:1">
      <c r="A672" s="35"/>
    </row>
    <row r="673" spans="1:1">
      <c r="A673" s="35"/>
    </row>
    <row r="674" spans="1:1">
      <c r="A674" s="35"/>
    </row>
    <row r="675" spans="1:1">
      <c r="A675" s="35"/>
    </row>
    <row r="676" spans="1:1">
      <c r="A676" s="35"/>
    </row>
    <row r="677" spans="1:1">
      <c r="A677" s="35"/>
    </row>
    <row r="678" spans="1:1">
      <c r="A678" s="35"/>
    </row>
    <row r="679" spans="1:1">
      <c r="A679" s="35"/>
    </row>
    <row r="680" spans="1:1">
      <c r="A680" s="35"/>
    </row>
    <row r="681" spans="1:1">
      <c r="A681" s="35"/>
    </row>
    <row r="682" spans="1:1">
      <c r="A682" s="35"/>
    </row>
    <row r="683" spans="1:1">
      <c r="A683" s="35"/>
    </row>
    <row r="684" spans="1:1">
      <c r="A684" s="35"/>
    </row>
    <row r="685" spans="1:1">
      <c r="A685" s="35"/>
    </row>
    <row r="686" spans="1:1">
      <c r="A686" s="35"/>
    </row>
    <row r="687" spans="1:1">
      <c r="A687" s="35"/>
    </row>
    <row r="688" spans="1:1">
      <c r="A688" s="35"/>
    </row>
    <row r="689" spans="1:1">
      <c r="A689" s="35"/>
    </row>
    <row r="690" spans="1:1">
      <c r="A690" s="35"/>
    </row>
    <row r="691" spans="1:1">
      <c r="A691" s="35"/>
    </row>
    <row r="692" spans="1:1">
      <c r="A692" s="35"/>
    </row>
    <row r="693" spans="1:1">
      <c r="A693" s="35"/>
    </row>
    <row r="694" spans="1:1">
      <c r="A694" s="35"/>
    </row>
    <row r="695" spans="1:1">
      <c r="A695" s="35"/>
    </row>
    <row r="696" spans="1:1">
      <c r="A696" s="35"/>
    </row>
    <row r="697" spans="1:1">
      <c r="A697" s="35"/>
    </row>
    <row r="698" spans="1:1">
      <c r="A698" s="35"/>
    </row>
    <row r="699" spans="1:1">
      <c r="A699" s="35"/>
    </row>
    <row r="700" spans="1:1">
      <c r="A700" s="35"/>
    </row>
    <row r="701" spans="1:1">
      <c r="A701" s="35"/>
    </row>
    <row r="702" spans="1:1">
      <c r="A702" s="35"/>
    </row>
    <row r="703" spans="1:1">
      <c r="A703" s="35"/>
    </row>
    <row r="704" spans="1:1">
      <c r="A704" s="35"/>
    </row>
    <row r="705" spans="1:1">
      <c r="A705" s="35"/>
    </row>
    <row r="706" spans="1:1">
      <c r="A706" s="35"/>
    </row>
    <row r="707" spans="1:1">
      <c r="A707" s="35"/>
    </row>
    <row r="708" spans="1:1">
      <c r="A708" s="35"/>
    </row>
    <row r="709" spans="1:1">
      <c r="A709" s="35"/>
    </row>
    <row r="710" spans="1:1">
      <c r="A710" s="35"/>
    </row>
    <row r="711" spans="1:1">
      <c r="A711" s="35"/>
    </row>
    <row r="712" spans="1:1">
      <c r="A712" s="35"/>
    </row>
    <row r="713" spans="1:1">
      <c r="A713" s="35"/>
    </row>
    <row r="714" spans="1:1">
      <c r="A714" s="35"/>
    </row>
    <row r="715" spans="1:1">
      <c r="A715" s="35"/>
    </row>
    <row r="716" spans="1:1">
      <c r="A716" s="35"/>
    </row>
    <row r="717" spans="1:1">
      <c r="A717" s="35"/>
    </row>
    <row r="718" spans="1:1">
      <c r="A718" s="35"/>
    </row>
    <row r="719" spans="1:1">
      <c r="A719" s="35"/>
    </row>
    <row r="720" spans="1:1">
      <c r="A720" s="35"/>
    </row>
    <row r="721" spans="1:1">
      <c r="A721" s="35"/>
    </row>
    <row r="722" spans="1:1">
      <c r="A722" s="35"/>
    </row>
    <row r="723" spans="1:1">
      <c r="A723" s="35"/>
    </row>
    <row r="724" spans="1:1">
      <c r="A724" s="35"/>
    </row>
    <row r="725" spans="1:1">
      <c r="A725" s="35"/>
    </row>
    <row r="726" spans="1:1">
      <c r="A726" s="35"/>
    </row>
    <row r="727" spans="1:1">
      <c r="A727" s="35"/>
    </row>
    <row r="728" spans="1:1">
      <c r="A728" s="35"/>
    </row>
    <row r="729" spans="1:1">
      <c r="A729" s="35"/>
    </row>
    <row r="730" spans="1:1">
      <c r="A730" s="35"/>
    </row>
    <row r="731" spans="1:1">
      <c r="A731" s="35"/>
    </row>
    <row r="732" spans="1:1">
      <c r="A732" s="35"/>
    </row>
    <row r="733" spans="1:1">
      <c r="A733" s="35"/>
    </row>
    <row r="734" spans="1:1">
      <c r="A734" s="35"/>
    </row>
    <row r="735" spans="1:1">
      <c r="A735" s="35"/>
    </row>
    <row r="736" spans="1:1">
      <c r="A736" s="35"/>
    </row>
    <row r="737" spans="1:1">
      <c r="A737" s="35"/>
    </row>
    <row r="738" spans="1:1">
      <c r="A738" s="35"/>
    </row>
    <row r="739" spans="1:1">
      <c r="A739" s="35"/>
    </row>
    <row r="740" spans="1:1">
      <c r="A740" s="35"/>
    </row>
    <row r="741" spans="1:1">
      <c r="A741" s="35"/>
    </row>
    <row r="742" spans="1:1">
      <c r="A742" s="35"/>
    </row>
    <row r="743" spans="1:1">
      <c r="A743" s="35"/>
    </row>
    <row r="744" spans="1:1">
      <c r="A744" s="35"/>
    </row>
    <row r="745" spans="1:1">
      <c r="A745" s="35"/>
    </row>
    <row r="746" spans="1:1">
      <c r="A746" s="35"/>
    </row>
    <row r="747" spans="1:1">
      <c r="A747" s="35"/>
    </row>
    <row r="748" spans="1:1">
      <c r="A748" s="35"/>
    </row>
    <row r="749" spans="1:1">
      <c r="A749" s="35"/>
    </row>
    <row r="750" spans="1:1">
      <c r="A750" s="35"/>
    </row>
    <row r="751" spans="1:1">
      <c r="A751" s="35"/>
    </row>
    <row r="752" spans="1:1">
      <c r="A752" s="35"/>
    </row>
    <row r="753" spans="1:1">
      <c r="A753" s="35"/>
    </row>
    <row r="754" spans="1:1">
      <c r="A754" s="35"/>
    </row>
    <row r="755" spans="1:1">
      <c r="A755" s="35"/>
    </row>
    <row r="756" spans="1:1">
      <c r="A756" s="35"/>
    </row>
    <row r="757" spans="1:1">
      <c r="A757" s="35"/>
    </row>
    <row r="758" spans="1:1">
      <c r="A758" s="35"/>
    </row>
    <row r="759" spans="1:1">
      <c r="A759" s="35"/>
    </row>
    <row r="760" spans="1:1">
      <c r="A760" s="35"/>
    </row>
    <row r="761" spans="1:1">
      <c r="A761" s="35"/>
    </row>
    <row r="762" spans="1:1">
      <c r="A762" s="35"/>
    </row>
    <row r="763" spans="1:1">
      <c r="A763" s="35"/>
    </row>
    <row r="764" spans="1:1">
      <c r="A764" s="35"/>
    </row>
    <row r="765" spans="1:1">
      <c r="A765" s="35"/>
    </row>
    <row r="766" spans="1:1">
      <c r="A766" s="35"/>
    </row>
    <row r="767" spans="1:1">
      <c r="A767" s="35"/>
    </row>
    <row r="768" spans="1:1">
      <c r="A768" s="35"/>
    </row>
    <row r="769" spans="1:1">
      <c r="A769" s="35"/>
    </row>
    <row r="770" spans="1:1">
      <c r="A770" s="35"/>
    </row>
    <row r="771" spans="1:1">
      <c r="A771" s="35"/>
    </row>
    <row r="772" spans="1:1">
      <c r="A772" s="35"/>
    </row>
    <row r="773" spans="1:1">
      <c r="A773" s="35"/>
    </row>
    <row r="774" spans="1:1">
      <c r="A774" s="35"/>
    </row>
    <row r="775" spans="1:1">
      <c r="A775" s="35"/>
    </row>
    <row r="776" spans="1:1">
      <c r="A776" s="35"/>
    </row>
    <row r="777" spans="1:1">
      <c r="A777" s="35"/>
    </row>
    <row r="778" spans="1:1">
      <c r="A778" s="35"/>
    </row>
    <row r="779" spans="1:1">
      <c r="A779" s="35"/>
    </row>
    <row r="780" spans="1:1">
      <c r="A780" s="35"/>
    </row>
    <row r="781" spans="1:1">
      <c r="A781" s="35"/>
    </row>
    <row r="782" spans="1:1">
      <c r="A782" s="35"/>
    </row>
    <row r="783" spans="1:1">
      <c r="A783" s="35"/>
    </row>
    <row r="784" spans="1:1">
      <c r="A784" s="35"/>
    </row>
    <row r="785" spans="1:1">
      <c r="A785" s="35"/>
    </row>
    <row r="786" spans="1:1">
      <c r="A786" s="35"/>
    </row>
    <row r="787" spans="1:1">
      <c r="A787" s="35"/>
    </row>
    <row r="788" spans="1:1">
      <c r="A788" s="35"/>
    </row>
    <row r="789" spans="1:1">
      <c r="A789" s="35"/>
    </row>
    <row r="790" spans="1:1">
      <c r="A790" s="35"/>
    </row>
    <row r="791" spans="1:1">
      <c r="A791" s="35"/>
    </row>
    <row r="792" spans="1:1">
      <c r="A792" s="35"/>
    </row>
    <row r="793" spans="1:1">
      <c r="A793" s="35"/>
    </row>
    <row r="794" spans="1:1">
      <c r="A794" s="35"/>
    </row>
    <row r="795" spans="1:1">
      <c r="A795" s="35"/>
    </row>
    <row r="796" spans="1:1">
      <c r="A796" s="35"/>
    </row>
    <row r="797" spans="1:1">
      <c r="A797" s="35"/>
    </row>
    <row r="798" spans="1:1">
      <c r="A798" s="35"/>
    </row>
    <row r="799" spans="1:1">
      <c r="A799" s="35"/>
    </row>
    <row r="800" spans="1:1">
      <c r="A800" s="35"/>
    </row>
    <row r="801" spans="1:1">
      <c r="A801" s="35"/>
    </row>
    <row r="802" spans="1:1">
      <c r="A802" s="35"/>
    </row>
    <row r="803" spans="1:1">
      <c r="A803" s="35"/>
    </row>
    <row r="804" spans="1:1">
      <c r="A804" s="35"/>
    </row>
    <row r="805" spans="1:1">
      <c r="A805" s="35"/>
    </row>
    <row r="806" spans="1:1">
      <c r="A806" s="35"/>
    </row>
    <row r="807" spans="1:1">
      <c r="A807" s="35"/>
    </row>
    <row r="808" spans="1:1">
      <c r="A808" s="35"/>
    </row>
    <row r="809" spans="1:1">
      <c r="A809" s="35"/>
    </row>
    <row r="810" spans="1:1">
      <c r="A810" s="35"/>
    </row>
    <row r="811" spans="1:1">
      <c r="A811" s="35"/>
    </row>
    <row r="812" spans="1:1">
      <c r="A812" s="35"/>
    </row>
    <row r="813" spans="1:1">
      <c r="A813" s="35"/>
    </row>
    <row r="814" spans="1:1">
      <c r="A814" s="35"/>
    </row>
    <row r="815" spans="1:1">
      <c r="A815" s="35"/>
    </row>
    <row r="816" spans="1:1">
      <c r="A816" s="35"/>
    </row>
    <row r="817" spans="1:1">
      <c r="A817" s="35"/>
    </row>
    <row r="818" spans="1:1">
      <c r="A818" s="35"/>
    </row>
    <row r="819" spans="1:1">
      <c r="A819" s="35"/>
    </row>
    <row r="820" spans="1:1">
      <c r="A820" s="35"/>
    </row>
    <row r="821" spans="1:1">
      <c r="A821" s="35"/>
    </row>
    <row r="822" spans="1:1">
      <c r="A822" s="35"/>
    </row>
    <row r="823" spans="1:1">
      <c r="A823" s="35"/>
    </row>
    <row r="824" spans="1:1">
      <c r="A824" s="35"/>
    </row>
    <row r="825" spans="1:1">
      <c r="A825" s="35"/>
    </row>
    <row r="826" spans="1:1">
      <c r="A826" s="35"/>
    </row>
    <row r="827" spans="1:1">
      <c r="A827" s="35"/>
    </row>
    <row r="828" spans="1:1">
      <c r="A828" s="35"/>
    </row>
    <row r="829" spans="1:1">
      <c r="A829" s="35"/>
    </row>
    <row r="830" spans="1:1">
      <c r="A830" s="35"/>
    </row>
    <row r="831" spans="1:1">
      <c r="A831" s="35"/>
    </row>
    <row r="832" spans="1:1">
      <c r="A832" s="35"/>
    </row>
    <row r="833" spans="1:1">
      <c r="A833" s="35"/>
    </row>
    <row r="834" spans="1:1">
      <c r="A834" s="35"/>
    </row>
    <row r="835" spans="1:1">
      <c r="A835" s="35"/>
    </row>
    <row r="836" spans="1:1">
      <c r="A836" s="35"/>
    </row>
    <row r="837" spans="1:1">
      <c r="A837" s="35"/>
    </row>
    <row r="838" spans="1:1">
      <c r="A838" s="35"/>
    </row>
    <row r="839" spans="1:1">
      <c r="A839" s="35"/>
    </row>
    <row r="840" spans="1:1">
      <c r="A840" s="35"/>
    </row>
    <row r="841" spans="1:1">
      <c r="A841" s="35"/>
    </row>
    <row r="842" spans="1:1">
      <c r="A842" s="35"/>
    </row>
    <row r="843" spans="1:1">
      <c r="A843" s="35"/>
    </row>
    <row r="844" spans="1:1">
      <c r="A844" s="35"/>
    </row>
    <row r="845" spans="1:1">
      <c r="A845" s="35"/>
    </row>
    <row r="846" spans="1:1">
      <c r="A846" s="35"/>
    </row>
    <row r="847" spans="1:1">
      <c r="A847" s="35"/>
    </row>
    <row r="848" spans="1:1">
      <c r="A848" s="35"/>
    </row>
    <row r="849" spans="1:1">
      <c r="A849" s="35"/>
    </row>
    <row r="850" spans="1:1">
      <c r="A850" s="35"/>
    </row>
    <row r="851" spans="1:1">
      <c r="A851" s="35"/>
    </row>
    <row r="852" spans="1:1">
      <c r="A852" s="35"/>
    </row>
    <row r="853" spans="1:1">
      <c r="A853" s="35"/>
    </row>
    <row r="854" spans="1:1">
      <c r="A854" s="35"/>
    </row>
    <row r="855" spans="1:1">
      <c r="A855" s="35"/>
    </row>
    <row r="856" spans="1:1">
      <c r="A856" s="35"/>
    </row>
    <row r="857" spans="1:1">
      <c r="A857" s="35"/>
    </row>
    <row r="858" spans="1:1">
      <c r="A858" s="35"/>
    </row>
    <row r="859" spans="1:1">
      <c r="A859" s="35"/>
    </row>
    <row r="860" spans="1:1">
      <c r="A860" s="35"/>
    </row>
    <row r="861" spans="1:1">
      <c r="A861" s="35"/>
    </row>
    <row r="862" spans="1:1">
      <c r="A862" s="35"/>
    </row>
    <row r="863" spans="1:1">
      <c r="A863" s="35"/>
    </row>
    <row r="864" spans="1:1">
      <c r="A864" s="35"/>
    </row>
    <row r="865" spans="1:1">
      <c r="A865" s="35"/>
    </row>
    <row r="866" spans="1:1">
      <c r="A866" s="35"/>
    </row>
    <row r="867" spans="1:1">
      <c r="A867" s="35"/>
    </row>
    <row r="868" spans="1:1">
      <c r="A868" s="35"/>
    </row>
    <row r="869" spans="1:1">
      <c r="A869" s="35"/>
    </row>
    <row r="870" spans="1:1">
      <c r="A870" s="35"/>
    </row>
    <row r="871" spans="1:1">
      <c r="A871" s="35"/>
    </row>
    <row r="872" spans="1:1">
      <c r="A872" s="35"/>
    </row>
    <row r="873" spans="1:1">
      <c r="A873" s="35"/>
    </row>
    <row r="874" spans="1:1">
      <c r="A874" s="35"/>
    </row>
    <row r="875" spans="1:1">
      <c r="A875" s="35"/>
    </row>
    <row r="876" spans="1:1">
      <c r="A876" s="35"/>
    </row>
    <row r="877" spans="1:1">
      <c r="A877" s="35"/>
    </row>
    <row r="878" spans="1:1">
      <c r="A878" s="35"/>
    </row>
    <row r="879" spans="1:1">
      <c r="A879" s="35"/>
    </row>
    <row r="880" spans="1:1">
      <c r="A880" s="35"/>
    </row>
    <row r="881" spans="1:1">
      <c r="A881" s="35"/>
    </row>
    <row r="882" spans="1:1">
      <c r="A882" s="35"/>
    </row>
    <row r="883" spans="1:1">
      <c r="A883" s="35"/>
    </row>
    <row r="884" spans="1:1">
      <c r="A884" s="35"/>
    </row>
    <row r="885" spans="1:1">
      <c r="A885" s="35"/>
    </row>
    <row r="886" spans="1:1">
      <c r="A886" s="35"/>
    </row>
    <row r="887" spans="1:1">
      <c r="A887" s="35"/>
    </row>
    <row r="888" spans="1:1">
      <c r="A888" s="35"/>
    </row>
    <row r="889" spans="1:1">
      <c r="A889" s="35"/>
    </row>
    <row r="890" spans="1:1">
      <c r="A890" s="35"/>
    </row>
    <row r="891" spans="1:1">
      <c r="A891" s="35"/>
    </row>
    <row r="892" spans="1:1">
      <c r="A892" s="35"/>
    </row>
    <row r="893" spans="1:1">
      <c r="A893" s="35"/>
    </row>
    <row r="894" spans="1:1">
      <c r="A894" s="35"/>
    </row>
    <row r="895" spans="1:1">
      <c r="A895" s="35"/>
    </row>
    <row r="896" spans="1:1">
      <c r="A896" s="35"/>
    </row>
    <row r="897" spans="1:1">
      <c r="A897" s="35"/>
    </row>
    <row r="898" spans="1:1">
      <c r="A898" s="35"/>
    </row>
    <row r="899" spans="1:1">
      <c r="A899" s="35"/>
    </row>
    <row r="900" spans="1:1">
      <c r="A900" s="35"/>
    </row>
    <row r="901" spans="1:1">
      <c r="A901" s="35"/>
    </row>
    <row r="902" spans="1:1">
      <c r="A902" s="35"/>
    </row>
    <row r="903" spans="1:1">
      <c r="A903" s="35"/>
    </row>
    <row r="904" spans="1:1">
      <c r="A904" s="35"/>
    </row>
    <row r="905" spans="1:1">
      <c r="A905" s="35"/>
    </row>
    <row r="906" spans="1:1">
      <c r="A906" s="35"/>
    </row>
    <row r="907" spans="1:1">
      <c r="A907" s="35"/>
    </row>
    <row r="908" spans="1:1">
      <c r="A908" s="35"/>
    </row>
    <row r="909" spans="1:1">
      <c r="A909" s="35"/>
    </row>
    <row r="910" spans="1:1">
      <c r="A910" s="35"/>
    </row>
    <row r="911" spans="1:1">
      <c r="A911" s="35"/>
    </row>
    <row r="912" spans="1:1">
      <c r="A912" s="35"/>
    </row>
    <row r="913" spans="1:1">
      <c r="A913" s="35"/>
    </row>
    <row r="914" spans="1:1">
      <c r="A914" s="35"/>
    </row>
    <row r="915" spans="1:1">
      <c r="A915" s="35"/>
    </row>
    <row r="916" spans="1:1">
      <c r="A916" s="35"/>
    </row>
    <row r="917" spans="1:1">
      <c r="A917" s="35"/>
    </row>
    <row r="918" spans="1:1">
      <c r="A918" s="35"/>
    </row>
    <row r="919" spans="1:1">
      <c r="A919" s="35"/>
    </row>
    <row r="920" spans="1:1">
      <c r="A920" s="35"/>
    </row>
    <row r="921" spans="1:1">
      <c r="A921" s="35"/>
    </row>
    <row r="922" spans="1:1">
      <c r="A922" s="35"/>
    </row>
    <row r="923" spans="1:1">
      <c r="A923" s="35"/>
    </row>
    <row r="924" spans="1:1">
      <c r="A924" s="35"/>
    </row>
    <row r="925" spans="1:1">
      <c r="A925" s="35"/>
    </row>
    <row r="926" spans="1:1">
      <c r="A926" s="35"/>
    </row>
    <row r="927" spans="1:1">
      <c r="A927" s="35"/>
    </row>
    <row r="928" spans="1:1">
      <c r="A928" s="35"/>
    </row>
    <row r="929" spans="1:1">
      <c r="A929" s="35"/>
    </row>
    <row r="930" spans="1:1">
      <c r="A930" s="35"/>
    </row>
    <row r="931" spans="1:1">
      <c r="A931" s="35"/>
    </row>
    <row r="932" spans="1:1">
      <c r="A932" s="35"/>
    </row>
    <row r="933" spans="1:1">
      <c r="A933" s="35"/>
    </row>
    <row r="934" spans="1:1">
      <c r="A934" s="35"/>
    </row>
    <row r="935" spans="1:1">
      <c r="A935" s="35"/>
    </row>
    <row r="936" spans="1:1">
      <c r="A936" s="35"/>
    </row>
    <row r="937" spans="1:1">
      <c r="A937" s="35"/>
    </row>
    <row r="938" spans="1:1">
      <c r="A938" s="35"/>
    </row>
    <row r="939" spans="1:1">
      <c r="A939" s="35"/>
    </row>
    <row r="940" spans="1:1">
      <c r="A940" s="35"/>
    </row>
    <row r="941" spans="1:1">
      <c r="A941" s="35"/>
    </row>
    <row r="942" spans="1:1">
      <c r="A942" s="35"/>
    </row>
    <row r="943" spans="1:1">
      <c r="A943" s="35"/>
    </row>
    <row r="944" spans="1:1">
      <c r="A944" s="35"/>
    </row>
    <row r="945" spans="1:1">
      <c r="A945" s="35"/>
    </row>
    <row r="946" spans="1:1">
      <c r="A946" s="35"/>
    </row>
    <row r="947" spans="1:1">
      <c r="A947" s="35"/>
    </row>
    <row r="948" spans="1:1">
      <c r="A948" s="35"/>
    </row>
    <row r="949" spans="1:1">
      <c r="A949" s="35"/>
    </row>
    <row r="950" spans="1:1">
      <c r="A950" s="35"/>
    </row>
    <row r="951" spans="1:1">
      <c r="A951" s="35"/>
    </row>
    <row r="952" spans="1:1">
      <c r="A952" s="35"/>
    </row>
    <row r="953" spans="1:1">
      <c r="A953" s="35"/>
    </row>
    <row r="954" spans="1:1">
      <c r="A954" s="35"/>
    </row>
    <row r="955" spans="1:1">
      <c r="A955" s="35"/>
    </row>
    <row r="956" spans="1:1">
      <c r="A956" s="35"/>
    </row>
    <row r="957" spans="1:1">
      <c r="A957" s="35"/>
    </row>
    <row r="958" spans="1:1">
      <c r="A958" s="35"/>
    </row>
    <row r="959" spans="1:1">
      <c r="A959" s="35"/>
    </row>
    <row r="960" spans="1:1">
      <c r="A960" s="35"/>
    </row>
    <row r="961" spans="1:1">
      <c r="A961" s="35"/>
    </row>
    <row r="962" spans="1:1">
      <c r="A962" s="35"/>
    </row>
    <row r="963" spans="1:1">
      <c r="A963" s="35"/>
    </row>
    <row r="964" spans="1:1">
      <c r="A964" s="35"/>
    </row>
    <row r="965" spans="1:1">
      <c r="A965" s="35"/>
    </row>
    <row r="966" spans="1:1">
      <c r="A966" s="35"/>
    </row>
    <row r="967" spans="1:1">
      <c r="A967" s="35"/>
    </row>
    <row r="968" spans="1:1">
      <c r="A968" s="35"/>
    </row>
    <row r="969" spans="1:1">
      <c r="A969" s="35"/>
    </row>
    <row r="970" spans="1:1">
      <c r="A970" s="35"/>
    </row>
    <row r="971" spans="1:1">
      <c r="A971" s="35"/>
    </row>
    <row r="972" spans="1:1">
      <c r="A972" s="35"/>
    </row>
    <row r="973" spans="1:1">
      <c r="A973" s="35"/>
    </row>
    <row r="974" spans="1:1">
      <c r="A974" s="35"/>
    </row>
    <row r="975" spans="1:1">
      <c r="A975" s="35"/>
    </row>
    <row r="976" spans="1:1">
      <c r="A976" s="35"/>
    </row>
    <row r="977" spans="1:1">
      <c r="A977" s="35"/>
    </row>
    <row r="978" spans="1:1">
      <c r="A978" s="35"/>
    </row>
    <row r="979" spans="1:1">
      <c r="A979" s="35"/>
    </row>
    <row r="980" spans="1:1">
      <c r="A980" s="35"/>
    </row>
    <row r="981" spans="1:1">
      <c r="A981" s="35"/>
    </row>
    <row r="982" spans="1:1">
      <c r="A982" s="35"/>
    </row>
    <row r="983" spans="1:1">
      <c r="A983" s="35"/>
    </row>
    <row r="984" spans="1:1">
      <c r="A984" s="35"/>
    </row>
    <row r="985" spans="1:1">
      <c r="A985" s="35"/>
    </row>
    <row r="986" spans="1:1">
      <c r="A986" s="35"/>
    </row>
    <row r="987" spans="1:1">
      <c r="A987" s="35"/>
    </row>
    <row r="988" spans="1:1">
      <c r="A988" s="35"/>
    </row>
    <row r="989" spans="1:1">
      <c r="A989" s="35"/>
    </row>
    <row r="990" spans="1:1">
      <c r="A990" s="3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992"/>
  <sheetViews>
    <sheetView topLeftCell="A33" workbookViewId="0">
      <selection activeCell="A41" sqref="A1:G92"/>
    </sheetView>
  </sheetViews>
  <sheetFormatPr defaultColWidth="14.42578125" defaultRowHeight="15" customHeight="1"/>
  <cols>
    <col min="3" max="3" width="22.7109375" customWidth="1"/>
    <col min="6" max="6" width="19.28515625" customWidth="1"/>
    <col min="7" max="7" width="36" customWidth="1"/>
  </cols>
  <sheetData>
    <row r="1" spans="1:7">
      <c r="A1" s="8" t="s">
        <v>10</v>
      </c>
      <c r="B1" s="8" t="s">
        <v>53</v>
      </c>
      <c r="C1" s="8" t="s">
        <v>54</v>
      </c>
      <c r="D1" s="8" t="s">
        <v>18</v>
      </c>
      <c r="E1" s="8" t="s">
        <v>20</v>
      </c>
      <c r="F1" s="8" t="s">
        <v>55</v>
      </c>
      <c r="G1" s="8" t="s">
        <v>24</v>
      </c>
    </row>
    <row r="2" spans="1:7">
      <c r="A2" s="35">
        <v>45474</v>
      </c>
      <c r="B2" s="11" t="s">
        <v>527</v>
      </c>
      <c r="C2" s="11" t="s">
        <v>528</v>
      </c>
      <c r="D2" s="11" t="s">
        <v>63</v>
      </c>
      <c r="E2" s="11" t="s">
        <v>59</v>
      </c>
      <c r="F2" s="11">
        <v>14000</v>
      </c>
      <c r="G2" s="11" t="s">
        <v>529</v>
      </c>
    </row>
    <row r="3" spans="1:7">
      <c r="A3" s="35">
        <v>45474</v>
      </c>
      <c r="B3" s="11" t="s">
        <v>530</v>
      </c>
      <c r="C3" s="11" t="s">
        <v>349</v>
      </c>
      <c r="D3" s="11" t="s">
        <v>63</v>
      </c>
      <c r="E3" s="11" t="s">
        <v>59</v>
      </c>
      <c r="F3" s="11">
        <v>65000</v>
      </c>
      <c r="G3" s="11" t="s">
        <v>531</v>
      </c>
    </row>
    <row r="4" spans="1:7">
      <c r="A4" s="35">
        <v>45474</v>
      </c>
      <c r="B4" s="11" t="s">
        <v>532</v>
      </c>
      <c r="C4" s="11"/>
      <c r="D4" s="11" t="s">
        <v>63</v>
      </c>
      <c r="E4" s="11"/>
      <c r="F4" s="11">
        <v>18300</v>
      </c>
      <c r="G4" s="11" t="s">
        <v>533</v>
      </c>
    </row>
    <row r="5" spans="1:7">
      <c r="A5" s="35">
        <v>45474</v>
      </c>
      <c r="B5" s="11" t="s">
        <v>534</v>
      </c>
      <c r="C5" s="11" t="s">
        <v>535</v>
      </c>
      <c r="D5" s="11" t="s">
        <v>63</v>
      </c>
      <c r="E5" s="11" t="s">
        <v>192</v>
      </c>
      <c r="F5" s="11">
        <v>102000</v>
      </c>
      <c r="G5" s="11" t="s">
        <v>536</v>
      </c>
    </row>
    <row r="6" spans="1:7">
      <c r="A6" s="35">
        <v>45474</v>
      </c>
      <c r="B6" s="11" t="s">
        <v>537</v>
      </c>
      <c r="C6" s="11" t="s">
        <v>146</v>
      </c>
      <c r="D6" s="11" t="s">
        <v>63</v>
      </c>
      <c r="E6" s="11" t="s">
        <v>192</v>
      </c>
      <c r="F6" s="11">
        <v>28500</v>
      </c>
      <c r="G6" s="11" t="s">
        <v>538</v>
      </c>
    </row>
    <row r="7" spans="1:7">
      <c r="A7" s="35">
        <v>45474</v>
      </c>
      <c r="B7" s="11" t="s">
        <v>539</v>
      </c>
      <c r="C7" s="11" t="s">
        <v>540</v>
      </c>
      <c r="D7" s="11" t="s">
        <v>63</v>
      </c>
      <c r="E7" s="11" t="s">
        <v>192</v>
      </c>
      <c r="F7" s="11">
        <v>53500</v>
      </c>
      <c r="G7" s="11" t="s">
        <v>541</v>
      </c>
    </row>
    <row r="8" spans="1:7">
      <c r="A8" s="35">
        <v>45474</v>
      </c>
      <c r="B8" s="11" t="s">
        <v>542</v>
      </c>
      <c r="C8" s="11" t="s">
        <v>543</v>
      </c>
      <c r="D8" s="11" t="s">
        <v>66</v>
      </c>
      <c r="E8" s="11"/>
      <c r="F8" s="11">
        <v>9100</v>
      </c>
      <c r="G8" s="11"/>
    </row>
    <row r="9" spans="1:7">
      <c r="A9" s="35">
        <v>45474</v>
      </c>
      <c r="B9" s="11" t="s">
        <v>544</v>
      </c>
      <c r="C9" s="11" t="s">
        <v>545</v>
      </c>
      <c r="D9" s="11" t="s">
        <v>66</v>
      </c>
      <c r="E9" s="11"/>
      <c r="F9" s="11">
        <v>165000</v>
      </c>
      <c r="G9" s="11"/>
    </row>
    <row r="10" spans="1:7">
      <c r="A10" s="35">
        <v>45475</v>
      </c>
      <c r="B10" s="11" t="s">
        <v>546</v>
      </c>
      <c r="C10" s="11" t="s">
        <v>441</v>
      </c>
      <c r="D10" s="11" t="s">
        <v>66</v>
      </c>
      <c r="E10" s="11"/>
      <c r="F10" s="11">
        <v>65000</v>
      </c>
      <c r="G10" s="11"/>
    </row>
    <row r="11" spans="1:7">
      <c r="A11" s="35">
        <v>45476</v>
      </c>
      <c r="B11" s="11" t="s">
        <v>547</v>
      </c>
      <c r="C11" s="11" t="s">
        <v>548</v>
      </c>
      <c r="D11" s="11" t="s">
        <v>63</v>
      </c>
      <c r="E11" s="11" t="s">
        <v>59</v>
      </c>
      <c r="F11" s="11">
        <v>32000</v>
      </c>
      <c r="G11" s="11" t="s">
        <v>549</v>
      </c>
    </row>
    <row r="12" spans="1:7">
      <c r="A12" s="35">
        <v>45476</v>
      </c>
      <c r="B12" s="11" t="s">
        <v>550</v>
      </c>
      <c r="C12" s="11" t="s">
        <v>540</v>
      </c>
      <c r="D12" s="11" t="s">
        <v>63</v>
      </c>
      <c r="E12" s="11"/>
      <c r="F12" s="11">
        <v>42000</v>
      </c>
      <c r="G12" s="11" t="s">
        <v>551</v>
      </c>
    </row>
    <row r="13" spans="1:7">
      <c r="A13" s="35">
        <v>45476</v>
      </c>
      <c r="B13" s="11" t="s">
        <v>552</v>
      </c>
      <c r="C13" s="11" t="s">
        <v>543</v>
      </c>
      <c r="D13" s="11" t="s">
        <v>63</v>
      </c>
      <c r="E13" s="11"/>
      <c r="F13" s="11">
        <v>13000</v>
      </c>
      <c r="G13" s="11" t="s">
        <v>553</v>
      </c>
    </row>
    <row r="14" spans="1:7">
      <c r="A14" s="35">
        <v>45476</v>
      </c>
      <c r="B14" s="11" t="s">
        <v>554</v>
      </c>
      <c r="C14" s="11" t="s">
        <v>545</v>
      </c>
      <c r="D14" s="11" t="s">
        <v>63</v>
      </c>
      <c r="E14" s="11"/>
      <c r="F14" s="11">
        <v>25000</v>
      </c>
      <c r="G14" s="11" t="s">
        <v>555</v>
      </c>
    </row>
    <row r="15" spans="1:7">
      <c r="A15" s="35">
        <v>45476</v>
      </c>
      <c r="B15" s="11" t="s">
        <v>556</v>
      </c>
      <c r="C15" s="11" t="s">
        <v>441</v>
      </c>
      <c r="D15" s="11" t="s">
        <v>63</v>
      </c>
      <c r="E15" s="11"/>
      <c r="F15" s="11">
        <v>85000</v>
      </c>
      <c r="G15" s="11" t="s">
        <v>557</v>
      </c>
    </row>
    <row r="16" spans="1:7">
      <c r="A16" s="35">
        <v>45476</v>
      </c>
      <c r="B16" s="11" t="s">
        <v>558</v>
      </c>
      <c r="C16" s="11" t="s">
        <v>205</v>
      </c>
      <c r="D16" s="11" t="s">
        <v>485</v>
      </c>
      <c r="E16" s="11"/>
      <c r="F16" s="11">
        <v>72000</v>
      </c>
      <c r="G16" s="11"/>
    </row>
    <row r="17" spans="1:7">
      <c r="A17" s="35">
        <v>45477</v>
      </c>
      <c r="B17" s="11" t="s">
        <v>559</v>
      </c>
      <c r="C17" s="11" t="s">
        <v>57</v>
      </c>
      <c r="D17" s="11" t="s">
        <v>63</v>
      </c>
      <c r="E17" s="11" t="s">
        <v>59</v>
      </c>
      <c r="F17" s="11">
        <v>34300</v>
      </c>
      <c r="G17" s="11" t="s">
        <v>560</v>
      </c>
    </row>
    <row r="18" spans="1:7">
      <c r="A18" s="35">
        <v>45479</v>
      </c>
      <c r="B18" s="11" t="s">
        <v>561</v>
      </c>
      <c r="C18" s="11" t="s">
        <v>114</v>
      </c>
      <c r="D18" s="11" t="s">
        <v>58</v>
      </c>
      <c r="E18" s="11"/>
      <c r="F18" s="11">
        <v>25000</v>
      </c>
      <c r="G18" s="11" t="s">
        <v>562</v>
      </c>
    </row>
    <row r="19" spans="1:7">
      <c r="A19" s="35">
        <v>45479</v>
      </c>
      <c r="B19" s="11" t="s">
        <v>563</v>
      </c>
      <c r="C19" s="11" t="s">
        <v>564</v>
      </c>
      <c r="D19" s="11" t="s">
        <v>63</v>
      </c>
      <c r="E19" s="11" t="s">
        <v>192</v>
      </c>
      <c r="F19" s="11">
        <v>25000</v>
      </c>
      <c r="G19" s="11" t="s">
        <v>565</v>
      </c>
    </row>
    <row r="20" spans="1:7">
      <c r="A20" s="35">
        <v>45479</v>
      </c>
      <c r="B20" s="11" t="s">
        <v>566</v>
      </c>
      <c r="C20" s="11" t="s">
        <v>205</v>
      </c>
      <c r="D20" s="11" t="s">
        <v>485</v>
      </c>
      <c r="E20" s="11"/>
      <c r="F20" s="11">
        <v>45000</v>
      </c>
      <c r="G20" s="11"/>
    </row>
    <row r="21" spans="1:7">
      <c r="A21" s="35">
        <v>45480</v>
      </c>
      <c r="B21" s="11" t="s">
        <v>567</v>
      </c>
      <c r="C21" s="11" t="s">
        <v>152</v>
      </c>
      <c r="D21" s="11" t="s">
        <v>58</v>
      </c>
      <c r="E21" s="11"/>
      <c r="F21" s="11">
        <v>27000</v>
      </c>
      <c r="G21" s="11" t="s">
        <v>568</v>
      </c>
    </row>
    <row r="22" spans="1:7">
      <c r="A22" s="35">
        <v>45480</v>
      </c>
      <c r="B22" s="11" t="s">
        <v>569</v>
      </c>
      <c r="C22" s="11"/>
      <c r="D22" s="11" t="s">
        <v>63</v>
      </c>
      <c r="E22" s="11"/>
      <c r="F22" s="11">
        <v>14000</v>
      </c>
      <c r="G22" s="11" t="s">
        <v>570</v>
      </c>
    </row>
    <row r="23" spans="1:7">
      <c r="A23" s="35">
        <v>45480</v>
      </c>
      <c r="B23" s="11" t="s">
        <v>571</v>
      </c>
      <c r="C23" s="11"/>
      <c r="D23" s="11" t="s">
        <v>63</v>
      </c>
      <c r="E23" s="11"/>
      <c r="F23" s="11">
        <v>145000</v>
      </c>
      <c r="G23" s="11"/>
    </row>
    <row r="24" spans="1:7">
      <c r="A24" s="35">
        <v>45480</v>
      </c>
      <c r="B24" s="11" t="s">
        <v>572</v>
      </c>
      <c r="C24" s="11" t="s">
        <v>573</v>
      </c>
      <c r="D24" s="11" t="s">
        <v>63</v>
      </c>
      <c r="E24" s="11" t="s">
        <v>192</v>
      </c>
      <c r="F24" s="11">
        <v>75000</v>
      </c>
      <c r="G24" s="11" t="s">
        <v>574</v>
      </c>
    </row>
    <row r="25" spans="1:7">
      <c r="A25" s="35">
        <v>45480</v>
      </c>
      <c r="B25" s="11" t="s">
        <v>575</v>
      </c>
      <c r="C25" s="11" t="s">
        <v>249</v>
      </c>
      <c r="D25" s="11" t="s">
        <v>63</v>
      </c>
      <c r="E25" s="11" t="s">
        <v>192</v>
      </c>
      <c r="F25" s="11">
        <v>13500</v>
      </c>
      <c r="G25" s="11" t="s">
        <v>576</v>
      </c>
    </row>
    <row r="26" spans="1:7">
      <c r="A26" s="35">
        <v>45481</v>
      </c>
      <c r="B26" s="11" t="s">
        <v>227</v>
      </c>
      <c r="C26" s="11" t="s">
        <v>228</v>
      </c>
      <c r="D26" s="11" t="s">
        <v>58</v>
      </c>
      <c r="E26" s="11"/>
      <c r="F26" s="11">
        <v>105000</v>
      </c>
      <c r="G26" s="11" t="s">
        <v>577</v>
      </c>
    </row>
    <row r="27" spans="1:7">
      <c r="A27" s="35">
        <v>45481</v>
      </c>
      <c r="B27" s="11" t="s">
        <v>578</v>
      </c>
      <c r="C27" s="11" t="s">
        <v>75</v>
      </c>
      <c r="D27" s="11" t="s">
        <v>63</v>
      </c>
      <c r="E27" s="11" t="s">
        <v>59</v>
      </c>
      <c r="F27" s="11">
        <v>14000</v>
      </c>
      <c r="G27" s="11" t="s">
        <v>579</v>
      </c>
    </row>
    <row r="28" spans="1:7">
      <c r="A28" s="35">
        <v>45481</v>
      </c>
      <c r="B28" s="11" t="s">
        <v>580</v>
      </c>
      <c r="C28" s="11" t="s">
        <v>581</v>
      </c>
      <c r="D28" s="11" t="s">
        <v>276</v>
      </c>
      <c r="E28" s="11"/>
      <c r="F28" s="11">
        <v>36000</v>
      </c>
      <c r="G28" s="11"/>
    </row>
    <row r="29" spans="1:7">
      <c r="A29" s="35">
        <v>45481</v>
      </c>
      <c r="B29" s="11" t="s">
        <v>582</v>
      </c>
      <c r="C29" s="11" t="s">
        <v>205</v>
      </c>
      <c r="D29" s="11" t="s">
        <v>66</v>
      </c>
      <c r="E29" s="11"/>
      <c r="F29" s="11">
        <v>32000</v>
      </c>
      <c r="G29" s="11"/>
    </row>
    <row r="30" spans="1:7">
      <c r="A30" s="35">
        <v>45482</v>
      </c>
      <c r="B30" s="11" t="s">
        <v>583</v>
      </c>
      <c r="C30" s="11" t="s">
        <v>584</v>
      </c>
      <c r="D30" s="11" t="s">
        <v>58</v>
      </c>
      <c r="E30" s="11"/>
      <c r="F30" s="11">
        <v>177000</v>
      </c>
      <c r="G30" s="11" t="s">
        <v>585</v>
      </c>
    </row>
    <row r="31" spans="1:7">
      <c r="A31" s="35">
        <v>45482</v>
      </c>
      <c r="B31" s="11" t="s">
        <v>586</v>
      </c>
      <c r="C31" s="11" t="s">
        <v>587</v>
      </c>
      <c r="D31" s="11" t="s">
        <v>58</v>
      </c>
      <c r="E31" s="11"/>
      <c r="F31" s="11">
        <v>173000</v>
      </c>
      <c r="G31" s="11" t="s">
        <v>585</v>
      </c>
    </row>
    <row r="32" spans="1:7">
      <c r="A32" s="35">
        <v>45482</v>
      </c>
      <c r="B32" s="11" t="s">
        <v>588</v>
      </c>
      <c r="C32" s="11" t="s">
        <v>96</v>
      </c>
      <c r="D32" s="11" t="s">
        <v>63</v>
      </c>
      <c r="E32" s="11" t="s">
        <v>192</v>
      </c>
      <c r="F32" s="11">
        <v>165000</v>
      </c>
      <c r="G32" s="11" t="s">
        <v>589</v>
      </c>
    </row>
    <row r="33" spans="1:7">
      <c r="A33" s="35">
        <v>45483</v>
      </c>
      <c r="B33" s="11" t="s">
        <v>590</v>
      </c>
      <c r="C33" s="11" t="s">
        <v>591</v>
      </c>
      <c r="D33" s="11" t="s">
        <v>63</v>
      </c>
      <c r="E33" s="11" t="s">
        <v>192</v>
      </c>
      <c r="F33" s="11">
        <v>50000</v>
      </c>
      <c r="G33" s="11" t="s">
        <v>592</v>
      </c>
    </row>
    <row r="34" spans="1:7">
      <c r="A34" s="35">
        <v>45483</v>
      </c>
      <c r="B34" s="11" t="s">
        <v>593</v>
      </c>
      <c r="C34" s="11" t="s">
        <v>57</v>
      </c>
      <c r="D34" s="11" t="s">
        <v>63</v>
      </c>
      <c r="E34" s="11" t="s">
        <v>192</v>
      </c>
      <c r="F34" s="11">
        <v>38000</v>
      </c>
      <c r="G34" s="11" t="s">
        <v>594</v>
      </c>
    </row>
    <row r="35" spans="1:7">
      <c r="A35" s="35">
        <v>45485</v>
      </c>
      <c r="B35" s="11" t="s">
        <v>595</v>
      </c>
      <c r="C35" s="11" t="s">
        <v>596</v>
      </c>
      <c r="D35" s="11" t="s">
        <v>58</v>
      </c>
      <c r="E35" s="11"/>
      <c r="F35" s="11">
        <v>25000</v>
      </c>
      <c r="G35" s="11" t="s">
        <v>597</v>
      </c>
    </row>
    <row r="36" spans="1:7">
      <c r="A36" s="35">
        <v>45485</v>
      </c>
      <c r="B36" s="11" t="s">
        <v>598</v>
      </c>
      <c r="C36" s="11" t="s">
        <v>599</v>
      </c>
      <c r="D36" s="11" t="s">
        <v>63</v>
      </c>
      <c r="E36" s="11" t="s">
        <v>59</v>
      </c>
      <c r="F36" s="11">
        <v>90000</v>
      </c>
      <c r="G36" s="11" t="s">
        <v>600</v>
      </c>
    </row>
    <row r="37" spans="1:7">
      <c r="A37" s="35">
        <v>45485</v>
      </c>
      <c r="B37" s="11" t="s">
        <v>601</v>
      </c>
      <c r="C37" s="11" t="s">
        <v>602</v>
      </c>
      <c r="D37" s="11" t="s">
        <v>63</v>
      </c>
      <c r="E37" s="11" t="s">
        <v>59</v>
      </c>
      <c r="F37" s="11">
        <v>20000</v>
      </c>
      <c r="G37" s="11" t="s">
        <v>603</v>
      </c>
    </row>
    <row r="38" spans="1:7">
      <c r="A38" s="35">
        <v>45485</v>
      </c>
      <c r="B38" s="11" t="s">
        <v>604</v>
      </c>
      <c r="C38" s="11" t="s">
        <v>75</v>
      </c>
      <c r="D38" s="11" t="s">
        <v>63</v>
      </c>
      <c r="E38" s="11" t="s">
        <v>59</v>
      </c>
      <c r="F38" s="11">
        <v>65000</v>
      </c>
      <c r="G38" s="11" t="s">
        <v>605</v>
      </c>
    </row>
    <row r="39" spans="1:7">
      <c r="A39" s="35">
        <v>45485</v>
      </c>
      <c r="B39" s="11" t="s">
        <v>606</v>
      </c>
      <c r="C39" s="11" t="s">
        <v>607</v>
      </c>
      <c r="D39" s="11" t="s">
        <v>342</v>
      </c>
      <c r="E39" s="11"/>
      <c r="F39" s="11">
        <v>28500</v>
      </c>
      <c r="G39" s="11"/>
    </row>
    <row r="40" spans="1:7">
      <c r="A40" s="35">
        <v>45485</v>
      </c>
      <c r="B40" s="11" t="s">
        <v>608</v>
      </c>
      <c r="C40" s="11" t="s">
        <v>609</v>
      </c>
      <c r="D40" s="11" t="s">
        <v>66</v>
      </c>
      <c r="E40" s="11"/>
      <c r="F40" s="11">
        <v>142000</v>
      </c>
      <c r="G40" s="11"/>
    </row>
    <row r="41" spans="1:7">
      <c r="A41" s="35">
        <v>45486</v>
      </c>
      <c r="B41" s="11" t="s">
        <v>610</v>
      </c>
      <c r="C41" s="11"/>
      <c r="D41" s="11" t="s">
        <v>63</v>
      </c>
      <c r="E41" s="11"/>
      <c r="F41" s="11">
        <v>65000</v>
      </c>
      <c r="G41" s="11" t="s">
        <v>611</v>
      </c>
    </row>
    <row r="42" spans="1:7">
      <c r="A42" s="35">
        <v>45486</v>
      </c>
      <c r="B42" s="11" t="s">
        <v>612</v>
      </c>
      <c r="C42" s="11"/>
      <c r="D42" s="11" t="s">
        <v>63</v>
      </c>
      <c r="E42" s="11"/>
      <c r="F42" s="11">
        <v>70000</v>
      </c>
      <c r="G42" s="11" t="s">
        <v>613</v>
      </c>
    </row>
    <row r="43" spans="1:7">
      <c r="A43" s="35">
        <v>45486</v>
      </c>
      <c r="B43" s="11" t="s">
        <v>614</v>
      </c>
      <c r="C43" s="11" t="s">
        <v>615</v>
      </c>
      <c r="D43" s="11" t="s">
        <v>485</v>
      </c>
      <c r="E43" s="11"/>
      <c r="F43" s="11">
        <v>25000</v>
      </c>
      <c r="G43" s="11"/>
    </row>
    <row r="44" spans="1:7">
      <c r="A44" s="35">
        <v>45487</v>
      </c>
      <c r="B44" s="11" t="s">
        <v>616</v>
      </c>
      <c r="C44" s="11" t="s">
        <v>499</v>
      </c>
      <c r="D44" s="11" t="s">
        <v>342</v>
      </c>
      <c r="E44" s="11"/>
      <c r="F44" s="11">
        <v>190000</v>
      </c>
      <c r="G44" s="11"/>
    </row>
    <row r="45" spans="1:7">
      <c r="A45" s="35">
        <v>45488</v>
      </c>
      <c r="B45" s="11" t="s">
        <v>617</v>
      </c>
      <c r="C45" s="11" t="s">
        <v>75</v>
      </c>
      <c r="D45" s="11" t="s">
        <v>58</v>
      </c>
      <c r="E45" s="11"/>
      <c r="F45" s="11">
        <v>113000</v>
      </c>
      <c r="G45" s="11" t="s">
        <v>618</v>
      </c>
    </row>
    <row r="46" spans="1:7">
      <c r="A46" s="35">
        <v>45488</v>
      </c>
      <c r="B46" s="11" t="s">
        <v>619</v>
      </c>
      <c r="C46" s="11" t="s">
        <v>620</v>
      </c>
      <c r="D46" s="11" t="s">
        <v>58</v>
      </c>
      <c r="E46" s="11"/>
      <c r="F46" s="11">
        <v>30000</v>
      </c>
      <c r="G46" s="11" t="s">
        <v>621</v>
      </c>
    </row>
    <row r="47" spans="1:7">
      <c r="A47" s="35">
        <v>45488</v>
      </c>
      <c r="B47" s="11" t="s">
        <v>622</v>
      </c>
      <c r="C47" s="11" t="s">
        <v>152</v>
      </c>
      <c r="D47" s="11" t="s">
        <v>58</v>
      </c>
      <c r="E47" s="11"/>
      <c r="F47" s="11">
        <v>30000</v>
      </c>
      <c r="G47" s="11" t="s">
        <v>623</v>
      </c>
    </row>
    <row r="48" spans="1:7">
      <c r="A48" s="35">
        <v>45489</v>
      </c>
      <c r="B48" s="11" t="s">
        <v>624</v>
      </c>
      <c r="C48" s="11" t="s">
        <v>625</v>
      </c>
      <c r="D48" s="11" t="s">
        <v>58</v>
      </c>
      <c r="E48" s="11"/>
      <c r="F48" s="11">
        <v>130000</v>
      </c>
      <c r="G48" s="11" t="s">
        <v>626</v>
      </c>
    </row>
    <row r="49" spans="1:17">
      <c r="A49" s="35">
        <v>45490</v>
      </c>
      <c r="B49" s="11" t="s">
        <v>627</v>
      </c>
      <c r="C49" s="11" t="s">
        <v>72</v>
      </c>
      <c r="D49" s="11" t="s">
        <v>63</v>
      </c>
      <c r="E49" s="11" t="s">
        <v>59</v>
      </c>
      <c r="F49" s="11">
        <v>75000</v>
      </c>
      <c r="G49" s="11" t="s">
        <v>628</v>
      </c>
    </row>
    <row r="50" spans="1:17">
      <c r="A50" s="35">
        <v>45490</v>
      </c>
      <c r="B50" s="11" t="s">
        <v>629</v>
      </c>
      <c r="C50" s="11" t="s">
        <v>72</v>
      </c>
      <c r="D50" s="11" t="s">
        <v>63</v>
      </c>
      <c r="E50" s="11" t="s">
        <v>59</v>
      </c>
      <c r="F50" s="11">
        <v>20000</v>
      </c>
      <c r="G50" s="11" t="s">
        <v>630</v>
      </c>
    </row>
    <row r="51" spans="1:17">
      <c r="A51" s="35">
        <v>45491</v>
      </c>
      <c r="B51" s="11" t="s">
        <v>631</v>
      </c>
      <c r="C51" s="11"/>
      <c r="D51" s="11" t="s">
        <v>63</v>
      </c>
      <c r="E51" s="11"/>
      <c r="F51" s="11">
        <v>180000</v>
      </c>
      <c r="G51" s="11" t="s">
        <v>632</v>
      </c>
    </row>
    <row r="52" spans="1:17">
      <c r="A52" s="35">
        <v>45491</v>
      </c>
      <c r="B52" s="11" t="s">
        <v>633</v>
      </c>
      <c r="C52" s="11" t="s">
        <v>188</v>
      </c>
      <c r="D52" s="11" t="s">
        <v>63</v>
      </c>
      <c r="E52" s="11" t="s">
        <v>192</v>
      </c>
      <c r="F52" s="11">
        <v>40000</v>
      </c>
      <c r="G52" s="11" t="s">
        <v>634</v>
      </c>
    </row>
    <row r="53" spans="1:17">
      <c r="A53" s="35">
        <v>45491</v>
      </c>
      <c r="B53" s="11" t="s">
        <v>635</v>
      </c>
      <c r="C53" s="11" t="s">
        <v>636</v>
      </c>
      <c r="D53" s="11" t="s">
        <v>66</v>
      </c>
      <c r="E53" s="11"/>
      <c r="F53" s="11">
        <v>40000</v>
      </c>
      <c r="G53" s="11"/>
    </row>
    <row r="54" spans="1:17">
      <c r="A54" s="35">
        <v>45492</v>
      </c>
      <c r="B54" s="11" t="s">
        <v>637</v>
      </c>
      <c r="C54" s="11" t="s">
        <v>75</v>
      </c>
      <c r="D54" s="11" t="s">
        <v>63</v>
      </c>
      <c r="E54" s="11" t="s">
        <v>59</v>
      </c>
      <c r="F54" s="11">
        <v>53500</v>
      </c>
      <c r="G54" s="11" t="s">
        <v>638</v>
      </c>
    </row>
    <row r="55" spans="1:17">
      <c r="A55" s="35">
        <v>45493</v>
      </c>
      <c r="B55" s="11" t="s">
        <v>639</v>
      </c>
      <c r="C55" s="11" t="s">
        <v>188</v>
      </c>
      <c r="D55" s="11" t="s">
        <v>63</v>
      </c>
      <c r="E55" s="11"/>
      <c r="F55" s="11">
        <v>173000</v>
      </c>
      <c r="G55" s="11" t="s">
        <v>640</v>
      </c>
    </row>
    <row r="56" spans="1:17">
      <c r="A56" s="35">
        <v>45493</v>
      </c>
      <c r="B56" s="11" t="s">
        <v>641</v>
      </c>
      <c r="C56" s="11" t="s">
        <v>636</v>
      </c>
      <c r="D56" s="11" t="s">
        <v>63</v>
      </c>
      <c r="E56" s="11"/>
      <c r="F56" s="11">
        <v>20500</v>
      </c>
      <c r="G56" s="11" t="s">
        <v>640</v>
      </c>
    </row>
    <row r="57" spans="1:17">
      <c r="A57" s="35">
        <v>45493</v>
      </c>
      <c r="B57" s="11" t="s">
        <v>642</v>
      </c>
      <c r="C57" s="11" t="s">
        <v>260</v>
      </c>
      <c r="D57" s="11" t="s">
        <v>63</v>
      </c>
      <c r="E57" s="11"/>
      <c r="F57" s="11">
        <v>57000</v>
      </c>
      <c r="G57" s="11" t="s">
        <v>643</v>
      </c>
    </row>
    <row r="58" spans="1:17">
      <c r="A58" s="35">
        <v>45494</v>
      </c>
      <c r="B58" s="11" t="s">
        <v>644</v>
      </c>
      <c r="C58" s="11" t="s">
        <v>188</v>
      </c>
      <c r="D58" s="11" t="s">
        <v>63</v>
      </c>
      <c r="E58" s="11" t="s">
        <v>59</v>
      </c>
      <c r="F58" s="11">
        <v>35000</v>
      </c>
      <c r="G58" s="11" t="s">
        <v>645</v>
      </c>
    </row>
    <row r="59" spans="1:17">
      <c r="A59" s="35">
        <v>45494</v>
      </c>
      <c r="B59" s="11" t="s">
        <v>646</v>
      </c>
      <c r="C59" s="11" t="s">
        <v>84</v>
      </c>
      <c r="D59" s="11" t="s">
        <v>63</v>
      </c>
      <c r="E59" s="11" t="s">
        <v>59</v>
      </c>
      <c r="F59" s="11">
        <v>70000</v>
      </c>
      <c r="G59" s="11" t="s">
        <v>647</v>
      </c>
    </row>
    <row r="60" spans="1:17">
      <c r="A60" s="35">
        <v>45494</v>
      </c>
      <c r="B60" s="11" t="s">
        <v>648</v>
      </c>
      <c r="C60" s="11" t="s">
        <v>499</v>
      </c>
      <c r="D60" s="11" t="s">
        <v>63</v>
      </c>
      <c r="E60" s="11"/>
      <c r="F60" s="11">
        <v>58500</v>
      </c>
      <c r="G60" s="11" t="s">
        <v>649</v>
      </c>
    </row>
    <row r="61" spans="1:17">
      <c r="A61" s="35">
        <v>45494</v>
      </c>
      <c r="B61" s="11" t="s">
        <v>650</v>
      </c>
      <c r="C61" s="11" t="s">
        <v>75</v>
      </c>
      <c r="D61" s="11" t="s">
        <v>63</v>
      </c>
      <c r="E61" s="11"/>
      <c r="F61" s="11">
        <v>36000</v>
      </c>
      <c r="G61" s="11" t="s">
        <v>651</v>
      </c>
      <c r="P61" s="27"/>
      <c r="Q61" s="27"/>
    </row>
    <row r="62" spans="1:17">
      <c r="A62" s="35">
        <v>45494</v>
      </c>
      <c r="B62" s="11" t="s">
        <v>652</v>
      </c>
      <c r="C62" s="11" t="s">
        <v>620</v>
      </c>
      <c r="D62" s="11" t="s">
        <v>63</v>
      </c>
      <c r="E62" s="11"/>
      <c r="F62" s="11">
        <v>27000</v>
      </c>
      <c r="G62" s="11" t="s">
        <v>653</v>
      </c>
      <c r="P62" s="27"/>
      <c r="Q62" s="27"/>
    </row>
    <row r="63" spans="1:17">
      <c r="A63" s="35">
        <v>45494</v>
      </c>
      <c r="B63" s="11" t="s">
        <v>654</v>
      </c>
      <c r="C63" s="11" t="s">
        <v>152</v>
      </c>
      <c r="D63" s="11" t="s">
        <v>63</v>
      </c>
      <c r="E63" s="11"/>
      <c r="F63" s="11">
        <v>21000</v>
      </c>
      <c r="G63" s="11" t="s">
        <v>655</v>
      </c>
      <c r="P63" s="27"/>
      <c r="Q63" s="27"/>
    </row>
    <row r="64" spans="1:17">
      <c r="A64" s="35">
        <v>45494</v>
      </c>
      <c r="B64" s="11" t="s">
        <v>656</v>
      </c>
      <c r="C64" s="11" t="s">
        <v>625</v>
      </c>
      <c r="D64" s="11" t="s">
        <v>63</v>
      </c>
      <c r="E64" s="11"/>
      <c r="F64" s="11">
        <v>145000</v>
      </c>
      <c r="G64" s="11" t="s">
        <v>657</v>
      </c>
      <c r="P64" s="27"/>
      <c r="Q64" s="27"/>
    </row>
    <row r="65" spans="1:17">
      <c r="A65" s="35">
        <v>45495</v>
      </c>
      <c r="B65" s="11" t="s">
        <v>658</v>
      </c>
      <c r="C65" s="11" t="s">
        <v>72</v>
      </c>
      <c r="D65" s="11" t="s">
        <v>63</v>
      </c>
      <c r="E65" s="11"/>
      <c r="F65" s="11">
        <v>9100</v>
      </c>
      <c r="G65" s="11" t="s">
        <v>659</v>
      </c>
      <c r="P65" s="27"/>
      <c r="Q65" s="27"/>
    </row>
    <row r="66" spans="1:17">
      <c r="A66" s="35">
        <v>45495</v>
      </c>
      <c r="B66" s="11" t="s">
        <v>660</v>
      </c>
      <c r="C66" s="11" t="s">
        <v>72</v>
      </c>
      <c r="D66" s="11" t="s">
        <v>63</v>
      </c>
      <c r="E66" s="11"/>
      <c r="F66" s="11">
        <v>34300</v>
      </c>
      <c r="G66" s="11" t="s">
        <v>661</v>
      </c>
      <c r="P66" s="27"/>
      <c r="Q66" s="27"/>
    </row>
    <row r="67" spans="1:17">
      <c r="A67" s="35">
        <v>45495</v>
      </c>
      <c r="B67" s="11" t="s">
        <v>662</v>
      </c>
      <c r="C67" s="11" t="s">
        <v>620</v>
      </c>
      <c r="D67" s="11" t="s">
        <v>63</v>
      </c>
      <c r="E67" s="11"/>
      <c r="F67" s="11">
        <v>18000</v>
      </c>
      <c r="G67" s="11" t="s">
        <v>663</v>
      </c>
      <c r="P67" s="27"/>
      <c r="Q67" s="27"/>
    </row>
    <row r="68" spans="1:17">
      <c r="A68" s="35">
        <v>45495</v>
      </c>
      <c r="B68" s="11" t="s">
        <v>664</v>
      </c>
      <c r="C68" s="11" t="s">
        <v>152</v>
      </c>
      <c r="D68" s="11" t="s">
        <v>63</v>
      </c>
      <c r="E68" s="11"/>
      <c r="F68" s="11">
        <v>15000</v>
      </c>
      <c r="G68" s="11" t="s">
        <v>665</v>
      </c>
      <c r="P68" s="27"/>
      <c r="Q68" s="27"/>
    </row>
    <row r="69" spans="1:17">
      <c r="A69" s="35">
        <v>45495</v>
      </c>
      <c r="B69" s="11" t="s">
        <v>666</v>
      </c>
      <c r="C69" s="11" t="s">
        <v>625</v>
      </c>
      <c r="D69" s="11" t="s">
        <v>63</v>
      </c>
      <c r="E69" s="11"/>
      <c r="F69" s="11">
        <v>142000</v>
      </c>
      <c r="G69" s="11" t="s">
        <v>667</v>
      </c>
      <c r="P69" s="27"/>
      <c r="Q69" s="27"/>
    </row>
    <row r="70" spans="1:17">
      <c r="A70" s="35">
        <v>45496</v>
      </c>
      <c r="B70" s="11" t="s">
        <v>668</v>
      </c>
      <c r="C70" s="11" t="s">
        <v>152</v>
      </c>
      <c r="D70" s="11" t="s">
        <v>63</v>
      </c>
      <c r="E70" s="11" t="s">
        <v>59</v>
      </c>
      <c r="F70" s="11">
        <v>24000</v>
      </c>
      <c r="G70" s="11" t="s">
        <v>669</v>
      </c>
      <c r="P70" s="27"/>
      <c r="Q70" s="27"/>
    </row>
    <row r="71" spans="1:17">
      <c r="A71" s="35">
        <v>45496</v>
      </c>
      <c r="B71" s="11" t="s">
        <v>670</v>
      </c>
      <c r="C71" s="11" t="s">
        <v>671</v>
      </c>
      <c r="D71" s="11" t="s">
        <v>63</v>
      </c>
      <c r="E71" s="11" t="s">
        <v>59</v>
      </c>
      <c r="F71" s="11">
        <v>135000</v>
      </c>
      <c r="G71" s="11" t="s">
        <v>672</v>
      </c>
      <c r="N71" s="27"/>
      <c r="O71" s="27"/>
      <c r="P71" s="27"/>
      <c r="Q71" s="27"/>
    </row>
    <row r="72" spans="1:17">
      <c r="A72" s="35">
        <v>45496</v>
      </c>
      <c r="B72" s="11" t="s">
        <v>673</v>
      </c>
      <c r="C72" s="11" t="s">
        <v>72</v>
      </c>
      <c r="D72" s="11" t="s">
        <v>63</v>
      </c>
      <c r="E72" s="11" t="s">
        <v>59</v>
      </c>
      <c r="F72" s="11">
        <v>18000</v>
      </c>
      <c r="G72" s="11" t="s">
        <v>674</v>
      </c>
      <c r="N72" s="27"/>
      <c r="O72" s="27"/>
      <c r="P72" s="27"/>
      <c r="Q72" s="27"/>
    </row>
    <row r="73" spans="1:17">
      <c r="A73" s="35">
        <v>45496</v>
      </c>
      <c r="B73" s="11" t="s">
        <v>675</v>
      </c>
      <c r="C73" s="11" t="s">
        <v>676</v>
      </c>
      <c r="D73" s="11" t="s">
        <v>63</v>
      </c>
      <c r="E73" s="11"/>
      <c r="F73" s="11">
        <v>108000</v>
      </c>
      <c r="G73" s="11" t="s">
        <v>677</v>
      </c>
      <c r="N73" s="27"/>
      <c r="O73" s="27"/>
      <c r="P73" s="27"/>
      <c r="Q73" s="27"/>
    </row>
    <row r="74" spans="1:17">
      <c r="A74" s="35">
        <v>45496</v>
      </c>
      <c r="B74" s="11" t="s">
        <v>678</v>
      </c>
      <c r="C74" s="11" t="s">
        <v>155</v>
      </c>
      <c r="D74" s="11" t="s">
        <v>63</v>
      </c>
      <c r="E74" s="11" t="s">
        <v>192</v>
      </c>
      <c r="F74" s="11">
        <v>51000</v>
      </c>
      <c r="G74" s="11"/>
      <c r="N74" s="27"/>
      <c r="O74" s="27"/>
      <c r="P74" s="27"/>
      <c r="Q74" s="27"/>
    </row>
    <row r="75" spans="1:17">
      <c r="A75" s="35">
        <v>45496</v>
      </c>
      <c r="B75" s="11" t="s">
        <v>679</v>
      </c>
      <c r="C75" s="11" t="s">
        <v>75</v>
      </c>
      <c r="D75" s="11" t="s">
        <v>63</v>
      </c>
      <c r="E75" s="11" t="s">
        <v>192</v>
      </c>
      <c r="F75" s="11">
        <v>13500</v>
      </c>
      <c r="G75" s="11"/>
    </row>
    <row r="76" spans="1:17">
      <c r="A76" s="35">
        <v>45496</v>
      </c>
      <c r="B76" s="11" t="s">
        <v>680</v>
      </c>
      <c r="C76" s="11" t="s">
        <v>75</v>
      </c>
      <c r="D76" s="11" t="s">
        <v>63</v>
      </c>
      <c r="E76" s="11" t="s">
        <v>192</v>
      </c>
      <c r="F76" s="11">
        <v>14000</v>
      </c>
      <c r="G76" s="11"/>
    </row>
    <row r="77" spans="1:17">
      <c r="A77" s="35">
        <v>45496</v>
      </c>
      <c r="B77" s="11" t="s">
        <v>681</v>
      </c>
      <c r="C77" s="11" t="s">
        <v>682</v>
      </c>
      <c r="D77" s="11" t="s">
        <v>276</v>
      </c>
      <c r="E77" s="11"/>
      <c r="F77" s="11">
        <v>50000</v>
      </c>
      <c r="G77" s="11"/>
    </row>
    <row r="78" spans="1:17">
      <c r="A78" s="35">
        <v>45496</v>
      </c>
      <c r="B78" s="11" t="s">
        <v>683</v>
      </c>
      <c r="C78" s="11" t="s">
        <v>684</v>
      </c>
      <c r="D78" s="11" t="s">
        <v>66</v>
      </c>
      <c r="E78" s="11"/>
      <c r="F78" s="11">
        <v>65000</v>
      </c>
      <c r="G78" s="11"/>
    </row>
    <row r="79" spans="1:17">
      <c r="A79" s="35">
        <v>45496</v>
      </c>
      <c r="B79" s="11" t="s">
        <v>685</v>
      </c>
      <c r="C79" s="11" t="s">
        <v>686</v>
      </c>
      <c r="D79" s="11" t="s">
        <v>66</v>
      </c>
      <c r="E79" s="11"/>
      <c r="F79" s="11">
        <v>30000</v>
      </c>
      <c r="G79" s="11"/>
    </row>
    <row r="80" spans="1:17">
      <c r="A80" s="35">
        <v>45499</v>
      </c>
      <c r="B80" s="11" t="s">
        <v>687</v>
      </c>
      <c r="C80" s="11" t="s">
        <v>688</v>
      </c>
      <c r="D80" s="11" t="s">
        <v>58</v>
      </c>
      <c r="E80" s="83"/>
      <c r="F80" s="11">
        <v>100000</v>
      </c>
      <c r="G80" s="11" t="s">
        <v>689</v>
      </c>
    </row>
    <row r="81" spans="1:7">
      <c r="A81" s="35">
        <v>45499</v>
      </c>
      <c r="B81" s="11" t="s">
        <v>690</v>
      </c>
      <c r="C81" s="11" t="s">
        <v>691</v>
      </c>
      <c r="D81" s="11" t="s">
        <v>342</v>
      </c>
      <c r="E81" s="11"/>
      <c r="F81" s="11">
        <v>15000</v>
      </c>
      <c r="G81" s="11"/>
    </row>
    <row r="82" spans="1:7">
      <c r="A82" s="35">
        <v>45500</v>
      </c>
      <c r="B82" s="11" t="s">
        <v>692</v>
      </c>
      <c r="C82" s="11" t="s">
        <v>75</v>
      </c>
      <c r="D82" s="11" t="s">
        <v>63</v>
      </c>
      <c r="E82" s="11" t="s">
        <v>192</v>
      </c>
      <c r="F82" s="11">
        <v>43000</v>
      </c>
      <c r="G82" s="11"/>
    </row>
    <row r="83" spans="1:7">
      <c r="A83" s="35">
        <v>45500</v>
      </c>
      <c r="B83" s="11" t="s">
        <v>693</v>
      </c>
      <c r="C83" s="11" t="s">
        <v>694</v>
      </c>
      <c r="D83" s="11" t="s">
        <v>66</v>
      </c>
      <c r="E83" s="11"/>
      <c r="F83" s="11">
        <v>165000</v>
      </c>
      <c r="G83" s="11"/>
    </row>
    <row r="84" spans="1:7">
      <c r="A84" s="35">
        <v>45501</v>
      </c>
      <c r="B84" s="11" t="s">
        <v>695</v>
      </c>
      <c r="C84" s="11" t="s">
        <v>75</v>
      </c>
      <c r="D84" s="11" t="s">
        <v>63</v>
      </c>
      <c r="E84" s="11"/>
      <c r="F84" s="11">
        <v>72000</v>
      </c>
      <c r="G84" s="11" t="s">
        <v>696</v>
      </c>
    </row>
    <row r="85" spans="1:7">
      <c r="A85" s="35">
        <v>45501</v>
      </c>
      <c r="B85" s="11" t="s">
        <v>697</v>
      </c>
      <c r="C85" s="11" t="s">
        <v>373</v>
      </c>
      <c r="D85" s="11" t="s">
        <v>66</v>
      </c>
      <c r="E85" s="11"/>
      <c r="F85" s="11">
        <v>28500</v>
      </c>
      <c r="G85" s="11"/>
    </row>
    <row r="86" spans="1:7">
      <c r="A86" s="35">
        <v>45502</v>
      </c>
      <c r="B86" s="11" t="s">
        <v>698</v>
      </c>
      <c r="C86" s="11" t="s">
        <v>699</v>
      </c>
      <c r="D86" s="11" t="s">
        <v>58</v>
      </c>
      <c r="E86" s="11"/>
      <c r="F86" s="11">
        <v>25000</v>
      </c>
      <c r="G86" s="11" t="s">
        <v>700</v>
      </c>
    </row>
    <row r="87" spans="1:7">
      <c r="A87" s="35">
        <v>45502</v>
      </c>
      <c r="B87" s="11" t="s">
        <v>701</v>
      </c>
      <c r="C87" s="11" t="s">
        <v>228</v>
      </c>
      <c r="D87" s="11" t="s">
        <v>58</v>
      </c>
      <c r="E87" s="11"/>
      <c r="F87" s="11">
        <v>28500</v>
      </c>
      <c r="G87" s="11" t="s">
        <v>700</v>
      </c>
    </row>
    <row r="88" spans="1:7">
      <c r="A88" s="35">
        <v>45502</v>
      </c>
      <c r="B88" s="11" t="s">
        <v>702</v>
      </c>
      <c r="C88" s="11" t="s">
        <v>167</v>
      </c>
      <c r="D88" s="11" t="s">
        <v>63</v>
      </c>
      <c r="E88" s="11" t="s">
        <v>59</v>
      </c>
      <c r="F88" s="11">
        <v>185000</v>
      </c>
      <c r="G88" s="11" t="s">
        <v>703</v>
      </c>
    </row>
    <row r="89" spans="1:7">
      <c r="A89" s="35">
        <v>45502</v>
      </c>
      <c r="B89" s="11" t="s">
        <v>704</v>
      </c>
      <c r="C89" s="11" t="s">
        <v>188</v>
      </c>
      <c r="D89" s="11" t="s">
        <v>63</v>
      </c>
      <c r="E89" s="11" t="s">
        <v>59</v>
      </c>
      <c r="F89" s="11">
        <v>85000</v>
      </c>
      <c r="G89" s="11" t="s">
        <v>705</v>
      </c>
    </row>
    <row r="90" spans="1:7">
      <c r="A90" s="35">
        <v>45503</v>
      </c>
      <c r="B90" s="11" t="s">
        <v>706</v>
      </c>
      <c r="C90" s="11" t="s">
        <v>707</v>
      </c>
      <c r="D90" s="11" t="s">
        <v>276</v>
      </c>
      <c r="E90" s="11"/>
      <c r="F90" s="11">
        <v>163000</v>
      </c>
      <c r="G90" s="11"/>
    </row>
    <row r="91" spans="1:7">
      <c r="A91" s="35">
        <v>45504</v>
      </c>
      <c r="B91" s="11" t="s">
        <v>708</v>
      </c>
      <c r="C91" s="11" t="s">
        <v>109</v>
      </c>
      <c r="D91" s="11" t="s">
        <v>58</v>
      </c>
      <c r="E91" s="11"/>
      <c r="F91" s="11">
        <v>33500</v>
      </c>
      <c r="G91" s="11" t="s">
        <v>709</v>
      </c>
    </row>
    <row r="92" spans="1:7">
      <c r="A92" s="35">
        <v>45504</v>
      </c>
      <c r="B92" s="11" t="s">
        <v>710</v>
      </c>
      <c r="C92" s="11" t="s">
        <v>711</v>
      </c>
      <c r="D92" s="11" t="s">
        <v>66</v>
      </c>
      <c r="E92" s="11"/>
      <c r="F92" s="11">
        <v>51000</v>
      </c>
      <c r="G92" s="11"/>
    </row>
    <row r="93" spans="1:7">
      <c r="A93" s="36"/>
    </row>
    <row r="94" spans="1:7">
      <c r="A94" s="36"/>
    </row>
    <row r="95" spans="1:7">
      <c r="A95" s="36"/>
    </row>
    <row r="96" spans="1:7">
      <c r="A96" s="36"/>
    </row>
    <row r="97" spans="1:1">
      <c r="A97" s="36"/>
    </row>
    <row r="98" spans="1:1">
      <c r="A98" s="36"/>
    </row>
    <row r="99" spans="1:1">
      <c r="A99" s="36"/>
    </row>
    <row r="100" spans="1:1">
      <c r="A100" s="36"/>
    </row>
    <row r="101" spans="1:1">
      <c r="A101" s="36"/>
    </row>
    <row r="102" spans="1:1">
      <c r="A102" s="36"/>
    </row>
    <row r="103" spans="1:1">
      <c r="A103" s="36"/>
    </row>
    <row r="104" spans="1:1">
      <c r="A104" s="36"/>
    </row>
    <row r="105" spans="1:1">
      <c r="A105" s="36"/>
    </row>
    <row r="106" spans="1:1">
      <c r="A106" s="36"/>
    </row>
    <row r="107" spans="1:1">
      <c r="A107" s="36"/>
    </row>
    <row r="108" spans="1:1">
      <c r="A108" s="36"/>
    </row>
    <row r="109" spans="1:1">
      <c r="A109" s="36"/>
    </row>
    <row r="110" spans="1:1">
      <c r="A110" s="36"/>
    </row>
    <row r="111" spans="1:1">
      <c r="A111" s="36"/>
    </row>
    <row r="112" spans="1:1">
      <c r="A112" s="36"/>
    </row>
    <row r="113" spans="1:1">
      <c r="A113" s="36"/>
    </row>
    <row r="114" spans="1:1">
      <c r="A114" s="36"/>
    </row>
    <row r="115" spans="1:1">
      <c r="A115" s="36"/>
    </row>
    <row r="116" spans="1:1">
      <c r="A116" s="36"/>
    </row>
    <row r="117" spans="1:1">
      <c r="A117" s="36"/>
    </row>
    <row r="118" spans="1:1">
      <c r="A118" s="36"/>
    </row>
    <row r="119" spans="1:1">
      <c r="A119" s="36"/>
    </row>
    <row r="120" spans="1:1">
      <c r="A120" s="36"/>
    </row>
    <row r="121" spans="1:1">
      <c r="A121" s="36"/>
    </row>
    <row r="122" spans="1:1">
      <c r="A122" s="36"/>
    </row>
    <row r="123" spans="1:1">
      <c r="A123" s="36"/>
    </row>
    <row r="124" spans="1:1">
      <c r="A124" s="36"/>
    </row>
    <row r="125" spans="1:1">
      <c r="A125" s="36"/>
    </row>
    <row r="126" spans="1:1">
      <c r="A126" s="36"/>
    </row>
    <row r="127" spans="1:1">
      <c r="A127" s="36"/>
    </row>
    <row r="128" spans="1:1">
      <c r="A128" s="36"/>
    </row>
    <row r="129" spans="1:1">
      <c r="A129" s="36"/>
    </row>
    <row r="130" spans="1:1">
      <c r="A130" s="36"/>
    </row>
    <row r="131" spans="1:1">
      <c r="A131" s="36"/>
    </row>
    <row r="132" spans="1:1">
      <c r="A132" s="36"/>
    </row>
    <row r="133" spans="1:1">
      <c r="A133" s="36"/>
    </row>
    <row r="134" spans="1:1">
      <c r="A134" s="36"/>
    </row>
    <row r="135" spans="1:1">
      <c r="A135" s="36"/>
    </row>
    <row r="136" spans="1:1">
      <c r="A136" s="36"/>
    </row>
    <row r="137" spans="1:1">
      <c r="A137" s="36"/>
    </row>
    <row r="138" spans="1:1">
      <c r="A138" s="36"/>
    </row>
    <row r="139" spans="1:1">
      <c r="A139" s="36"/>
    </row>
    <row r="140" spans="1:1">
      <c r="A140" s="36"/>
    </row>
    <row r="141" spans="1:1">
      <c r="A141" s="36"/>
    </row>
    <row r="142" spans="1:1">
      <c r="A142" s="36"/>
    </row>
    <row r="143" spans="1:1">
      <c r="A143" s="36"/>
    </row>
    <row r="144" spans="1:1">
      <c r="A144" s="36"/>
    </row>
    <row r="145" spans="1:1">
      <c r="A145" s="36"/>
    </row>
    <row r="146" spans="1:1">
      <c r="A146" s="36"/>
    </row>
    <row r="147" spans="1:1">
      <c r="A147" s="36"/>
    </row>
    <row r="148" spans="1:1">
      <c r="A148" s="36"/>
    </row>
    <row r="149" spans="1:1">
      <c r="A149" s="36"/>
    </row>
    <row r="150" spans="1:1">
      <c r="A150" s="36"/>
    </row>
    <row r="151" spans="1:1">
      <c r="A151" s="36"/>
    </row>
    <row r="152" spans="1:1">
      <c r="A152" s="36"/>
    </row>
    <row r="153" spans="1:1">
      <c r="A153" s="36"/>
    </row>
    <row r="154" spans="1:1">
      <c r="A154" s="36"/>
    </row>
    <row r="155" spans="1:1">
      <c r="A155" s="36"/>
    </row>
    <row r="156" spans="1:1">
      <c r="A156" s="36"/>
    </row>
    <row r="157" spans="1:1">
      <c r="A157" s="36"/>
    </row>
    <row r="158" spans="1:1">
      <c r="A158" s="36"/>
    </row>
    <row r="159" spans="1:1">
      <c r="A159" s="36"/>
    </row>
    <row r="160" spans="1:1">
      <c r="A160" s="36"/>
    </row>
    <row r="161" spans="1:1">
      <c r="A161" s="36"/>
    </row>
    <row r="162" spans="1:1">
      <c r="A162" s="36"/>
    </row>
    <row r="163" spans="1:1">
      <c r="A163" s="36"/>
    </row>
    <row r="164" spans="1:1">
      <c r="A164" s="36"/>
    </row>
    <row r="165" spans="1:1">
      <c r="A165" s="36"/>
    </row>
    <row r="166" spans="1:1">
      <c r="A166" s="36"/>
    </row>
    <row r="167" spans="1:1">
      <c r="A167" s="36"/>
    </row>
    <row r="168" spans="1:1">
      <c r="A168" s="36"/>
    </row>
    <row r="169" spans="1:1">
      <c r="A169" s="36"/>
    </row>
    <row r="170" spans="1:1">
      <c r="A170" s="36"/>
    </row>
    <row r="171" spans="1:1">
      <c r="A171" s="36"/>
    </row>
    <row r="172" spans="1:1">
      <c r="A172" s="36"/>
    </row>
    <row r="173" spans="1:1">
      <c r="A173" s="36"/>
    </row>
    <row r="174" spans="1:1">
      <c r="A174" s="36"/>
    </row>
    <row r="175" spans="1:1">
      <c r="A175" s="36"/>
    </row>
    <row r="176" spans="1:1">
      <c r="A176" s="36"/>
    </row>
    <row r="177" spans="1:1">
      <c r="A177" s="36"/>
    </row>
    <row r="178" spans="1:1">
      <c r="A178" s="36"/>
    </row>
    <row r="179" spans="1:1">
      <c r="A179" s="36"/>
    </row>
    <row r="180" spans="1:1">
      <c r="A180" s="36"/>
    </row>
    <row r="181" spans="1:1">
      <c r="A181" s="36"/>
    </row>
    <row r="182" spans="1:1">
      <c r="A182" s="36"/>
    </row>
    <row r="183" spans="1:1">
      <c r="A183" s="36"/>
    </row>
    <row r="184" spans="1:1">
      <c r="A184" s="36"/>
    </row>
    <row r="185" spans="1:1">
      <c r="A185" s="36"/>
    </row>
    <row r="186" spans="1:1">
      <c r="A186" s="36"/>
    </row>
    <row r="187" spans="1:1">
      <c r="A187" s="36"/>
    </row>
    <row r="188" spans="1:1">
      <c r="A188" s="36"/>
    </row>
    <row r="189" spans="1:1">
      <c r="A189" s="36"/>
    </row>
    <row r="190" spans="1:1">
      <c r="A190" s="36"/>
    </row>
    <row r="191" spans="1:1">
      <c r="A191" s="36"/>
    </row>
    <row r="192" spans="1:1">
      <c r="A192" s="36"/>
    </row>
    <row r="193" spans="1:1">
      <c r="A193" s="36"/>
    </row>
    <row r="194" spans="1:1">
      <c r="A194" s="36"/>
    </row>
    <row r="195" spans="1:1">
      <c r="A195" s="36"/>
    </row>
    <row r="196" spans="1:1">
      <c r="A196" s="36"/>
    </row>
    <row r="197" spans="1:1">
      <c r="A197" s="36"/>
    </row>
    <row r="198" spans="1:1">
      <c r="A198" s="36"/>
    </row>
    <row r="199" spans="1:1">
      <c r="A199" s="36"/>
    </row>
    <row r="200" spans="1:1">
      <c r="A200" s="36"/>
    </row>
    <row r="201" spans="1:1">
      <c r="A201" s="36"/>
    </row>
    <row r="202" spans="1:1">
      <c r="A202" s="36"/>
    </row>
    <row r="203" spans="1:1">
      <c r="A203" s="36"/>
    </row>
    <row r="204" spans="1:1">
      <c r="A204" s="36"/>
    </row>
    <row r="205" spans="1:1">
      <c r="A205" s="36"/>
    </row>
    <row r="206" spans="1:1">
      <c r="A206" s="36"/>
    </row>
    <row r="207" spans="1:1">
      <c r="A207" s="36"/>
    </row>
    <row r="208" spans="1:1">
      <c r="A208" s="36"/>
    </row>
    <row r="209" spans="1:1">
      <c r="A209" s="36"/>
    </row>
    <row r="210" spans="1:1">
      <c r="A210" s="36"/>
    </row>
    <row r="211" spans="1:1">
      <c r="A211" s="36"/>
    </row>
    <row r="212" spans="1:1">
      <c r="A212" s="36"/>
    </row>
    <row r="213" spans="1:1">
      <c r="A213" s="36"/>
    </row>
    <row r="214" spans="1:1">
      <c r="A214" s="36"/>
    </row>
    <row r="215" spans="1:1">
      <c r="A215" s="36"/>
    </row>
    <row r="216" spans="1:1">
      <c r="A216" s="36"/>
    </row>
    <row r="217" spans="1:1">
      <c r="A217" s="36"/>
    </row>
    <row r="218" spans="1:1">
      <c r="A218" s="36"/>
    </row>
    <row r="219" spans="1:1">
      <c r="A219" s="36"/>
    </row>
    <row r="220" spans="1:1">
      <c r="A220" s="36"/>
    </row>
    <row r="221" spans="1:1">
      <c r="A221" s="36"/>
    </row>
    <row r="222" spans="1:1">
      <c r="A222" s="36"/>
    </row>
    <row r="223" spans="1:1">
      <c r="A223" s="36"/>
    </row>
    <row r="224" spans="1:1">
      <c r="A224" s="36"/>
    </row>
    <row r="225" spans="1:1">
      <c r="A225" s="36"/>
    </row>
    <row r="226" spans="1:1">
      <c r="A226" s="36"/>
    </row>
    <row r="227" spans="1:1">
      <c r="A227" s="36"/>
    </row>
    <row r="228" spans="1:1">
      <c r="A228" s="36"/>
    </row>
    <row r="229" spans="1:1">
      <c r="A229" s="36"/>
    </row>
    <row r="230" spans="1:1">
      <c r="A230" s="36"/>
    </row>
    <row r="231" spans="1:1">
      <c r="A231" s="36"/>
    </row>
    <row r="232" spans="1:1">
      <c r="A232" s="36"/>
    </row>
    <row r="233" spans="1:1">
      <c r="A233" s="36"/>
    </row>
    <row r="234" spans="1:1">
      <c r="A234" s="36"/>
    </row>
    <row r="235" spans="1:1">
      <c r="A235" s="36"/>
    </row>
    <row r="236" spans="1:1">
      <c r="A236" s="36"/>
    </row>
    <row r="237" spans="1:1">
      <c r="A237" s="36"/>
    </row>
    <row r="238" spans="1:1">
      <c r="A238" s="36"/>
    </row>
    <row r="239" spans="1:1">
      <c r="A239" s="36"/>
    </row>
    <row r="240" spans="1:1">
      <c r="A240" s="36"/>
    </row>
    <row r="241" spans="1:1">
      <c r="A241" s="36"/>
    </row>
    <row r="242" spans="1:1">
      <c r="A242" s="36"/>
    </row>
    <row r="243" spans="1:1">
      <c r="A243" s="36"/>
    </row>
    <row r="244" spans="1:1">
      <c r="A244" s="36"/>
    </row>
    <row r="245" spans="1:1">
      <c r="A245" s="36"/>
    </row>
    <row r="246" spans="1:1">
      <c r="A246" s="36"/>
    </row>
    <row r="247" spans="1:1">
      <c r="A247" s="36"/>
    </row>
    <row r="248" spans="1:1">
      <c r="A248" s="36"/>
    </row>
    <row r="249" spans="1:1">
      <c r="A249" s="36"/>
    </row>
    <row r="250" spans="1:1">
      <c r="A250" s="36"/>
    </row>
    <row r="251" spans="1:1">
      <c r="A251" s="36"/>
    </row>
    <row r="252" spans="1:1">
      <c r="A252" s="36"/>
    </row>
    <row r="253" spans="1:1">
      <c r="A253" s="36"/>
    </row>
    <row r="254" spans="1:1">
      <c r="A254" s="36"/>
    </row>
    <row r="255" spans="1:1">
      <c r="A255" s="36"/>
    </row>
    <row r="256" spans="1:1">
      <c r="A256" s="36"/>
    </row>
    <row r="257" spans="1:1">
      <c r="A257" s="36"/>
    </row>
    <row r="258" spans="1:1">
      <c r="A258" s="36"/>
    </row>
    <row r="259" spans="1:1">
      <c r="A259" s="36"/>
    </row>
    <row r="260" spans="1:1">
      <c r="A260" s="36"/>
    </row>
    <row r="261" spans="1:1">
      <c r="A261" s="36"/>
    </row>
    <row r="262" spans="1:1">
      <c r="A262" s="36"/>
    </row>
    <row r="263" spans="1:1">
      <c r="A263" s="36"/>
    </row>
    <row r="264" spans="1:1">
      <c r="A264" s="36"/>
    </row>
    <row r="265" spans="1:1">
      <c r="A265" s="36"/>
    </row>
    <row r="266" spans="1:1">
      <c r="A266" s="36"/>
    </row>
    <row r="267" spans="1:1">
      <c r="A267" s="36"/>
    </row>
    <row r="268" spans="1:1">
      <c r="A268" s="36"/>
    </row>
    <row r="269" spans="1:1">
      <c r="A269" s="36"/>
    </row>
    <row r="270" spans="1:1">
      <c r="A270" s="36"/>
    </row>
    <row r="271" spans="1:1">
      <c r="A271" s="36"/>
    </row>
    <row r="272" spans="1:1">
      <c r="A272" s="36"/>
    </row>
    <row r="273" spans="1:1">
      <c r="A273" s="36"/>
    </row>
    <row r="274" spans="1:1">
      <c r="A274" s="36"/>
    </row>
    <row r="275" spans="1:1">
      <c r="A275" s="36"/>
    </row>
    <row r="276" spans="1:1">
      <c r="A276" s="36"/>
    </row>
    <row r="277" spans="1:1">
      <c r="A277" s="36"/>
    </row>
    <row r="278" spans="1:1">
      <c r="A278" s="36"/>
    </row>
    <row r="279" spans="1:1">
      <c r="A279" s="36"/>
    </row>
    <row r="280" spans="1:1">
      <c r="A280" s="36"/>
    </row>
    <row r="281" spans="1:1">
      <c r="A281" s="36"/>
    </row>
    <row r="282" spans="1:1">
      <c r="A282" s="36"/>
    </row>
    <row r="283" spans="1:1">
      <c r="A283" s="36"/>
    </row>
    <row r="284" spans="1:1">
      <c r="A284" s="36"/>
    </row>
    <row r="285" spans="1:1">
      <c r="A285" s="36"/>
    </row>
    <row r="286" spans="1:1">
      <c r="A286" s="36"/>
    </row>
    <row r="287" spans="1:1">
      <c r="A287" s="36"/>
    </row>
    <row r="288" spans="1:1">
      <c r="A288" s="36"/>
    </row>
    <row r="289" spans="1:1">
      <c r="A289" s="36"/>
    </row>
    <row r="290" spans="1:1">
      <c r="A290" s="36"/>
    </row>
    <row r="291" spans="1:1">
      <c r="A291" s="36"/>
    </row>
    <row r="292" spans="1:1">
      <c r="A292" s="36"/>
    </row>
    <row r="293" spans="1:1">
      <c r="A293" s="36"/>
    </row>
    <row r="294" spans="1:1">
      <c r="A294" s="36"/>
    </row>
    <row r="295" spans="1:1">
      <c r="A295" s="36"/>
    </row>
    <row r="296" spans="1:1">
      <c r="A296" s="36"/>
    </row>
    <row r="297" spans="1:1">
      <c r="A297" s="36"/>
    </row>
    <row r="298" spans="1:1">
      <c r="A298" s="36"/>
    </row>
    <row r="299" spans="1:1">
      <c r="A299" s="36"/>
    </row>
    <row r="300" spans="1:1">
      <c r="A300" s="36"/>
    </row>
    <row r="301" spans="1:1">
      <c r="A301" s="36"/>
    </row>
    <row r="302" spans="1:1">
      <c r="A302" s="36"/>
    </row>
    <row r="303" spans="1:1">
      <c r="A303" s="36"/>
    </row>
    <row r="304" spans="1:1">
      <c r="A304" s="36"/>
    </row>
    <row r="305" spans="1:1">
      <c r="A305" s="36"/>
    </row>
    <row r="306" spans="1:1">
      <c r="A306" s="36"/>
    </row>
    <row r="307" spans="1:1">
      <c r="A307" s="36"/>
    </row>
    <row r="308" spans="1:1">
      <c r="A308" s="36"/>
    </row>
    <row r="309" spans="1:1">
      <c r="A309" s="36"/>
    </row>
    <row r="310" spans="1:1">
      <c r="A310" s="36"/>
    </row>
    <row r="311" spans="1:1">
      <c r="A311" s="36"/>
    </row>
    <row r="312" spans="1:1">
      <c r="A312" s="36"/>
    </row>
    <row r="313" spans="1:1">
      <c r="A313" s="36"/>
    </row>
    <row r="314" spans="1:1">
      <c r="A314" s="36"/>
    </row>
    <row r="315" spans="1:1">
      <c r="A315" s="36"/>
    </row>
    <row r="316" spans="1:1">
      <c r="A316" s="36"/>
    </row>
    <row r="317" spans="1:1">
      <c r="A317" s="36"/>
    </row>
    <row r="318" spans="1:1">
      <c r="A318" s="36"/>
    </row>
    <row r="319" spans="1:1">
      <c r="A319" s="36"/>
    </row>
    <row r="320" spans="1:1">
      <c r="A320" s="36"/>
    </row>
    <row r="321" spans="1:1">
      <c r="A321" s="36"/>
    </row>
    <row r="322" spans="1:1">
      <c r="A322" s="36"/>
    </row>
    <row r="323" spans="1:1">
      <c r="A323" s="36"/>
    </row>
    <row r="324" spans="1:1">
      <c r="A324" s="36"/>
    </row>
    <row r="325" spans="1:1">
      <c r="A325" s="36"/>
    </row>
    <row r="326" spans="1:1">
      <c r="A326" s="36"/>
    </row>
    <row r="327" spans="1:1">
      <c r="A327" s="36"/>
    </row>
    <row r="328" spans="1:1">
      <c r="A328" s="36"/>
    </row>
    <row r="329" spans="1:1">
      <c r="A329" s="36"/>
    </row>
    <row r="330" spans="1:1">
      <c r="A330" s="36"/>
    </row>
    <row r="331" spans="1:1">
      <c r="A331" s="36"/>
    </row>
    <row r="332" spans="1:1">
      <c r="A332" s="36"/>
    </row>
    <row r="333" spans="1:1">
      <c r="A333" s="36"/>
    </row>
    <row r="334" spans="1:1">
      <c r="A334" s="36"/>
    </row>
    <row r="335" spans="1:1">
      <c r="A335" s="36"/>
    </row>
    <row r="336" spans="1:1">
      <c r="A336" s="36"/>
    </row>
    <row r="337" spans="1:1">
      <c r="A337" s="36"/>
    </row>
    <row r="338" spans="1:1">
      <c r="A338" s="36"/>
    </row>
    <row r="339" spans="1:1">
      <c r="A339" s="36"/>
    </row>
    <row r="340" spans="1:1">
      <c r="A340" s="36"/>
    </row>
    <row r="341" spans="1:1">
      <c r="A341" s="36"/>
    </row>
    <row r="342" spans="1:1">
      <c r="A342" s="36"/>
    </row>
    <row r="343" spans="1:1">
      <c r="A343" s="36"/>
    </row>
    <row r="344" spans="1:1">
      <c r="A344" s="36"/>
    </row>
    <row r="345" spans="1:1">
      <c r="A345" s="36"/>
    </row>
    <row r="346" spans="1:1">
      <c r="A346" s="36"/>
    </row>
    <row r="347" spans="1:1">
      <c r="A347" s="36"/>
    </row>
    <row r="348" spans="1:1">
      <c r="A348" s="36"/>
    </row>
    <row r="349" spans="1:1">
      <c r="A349" s="36"/>
    </row>
    <row r="350" spans="1:1">
      <c r="A350" s="36"/>
    </row>
    <row r="351" spans="1:1">
      <c r="A351" s="36"/>
    </row>
    <row r="352" spans="1:1">
      <c r="A352" s="36"/>
    </row>
    <row r="353" spans="1:1">
      <c r="A353" s="36"/>
    </row>
    <row r="354" spans="1:1">
      <c r="A354" s="36"/>
    </row>
    <row r="355" spans="1:1">
      <c r="A355" s="36"/>
    </row>
    <row r="356" spans="1:1">
      <c r="A356" s="36"/>
    </row>
    <row r="357" spans="1:1">
      <c r="A357" s="36"/>
    </row>
    <row r="358" spans="1:1">
      <c r="A358" s="36"/>
    </row>
    <row r="359" spans="1:1">
      <c r="A359" s="36"/>
    </row>
    <row r="360" spans="1:1">
      <c r="A360" s="36"/>
    </row>
    <row r="361" spans="1:1">
      <c r="A361" s="36"/>
    </row>
    <row r="362" spans="1:1">
      <c r="A362" s="36"/>
    </row>
    <row r="363" spans="1:1">
      <c r="A363" s="36"/>
    </row>
    <row r="364" spans="1:1">
      <c r="A364" s="36"/>
    </row>
    <row r="365" spans="1:1">
      <c r="A365" s="36"/>
    </row>
    <row r="366" spans="1:1">
      <c r="A366" s="36"/>
    </row>
    <row r="367" spans="1:1">
      <c r="A367" s="36"/>
    </row>
    <row r="368" spans="1:1">
      <c r="A368" s="36"/>
    </row>
    <row r="369" spans="1:1">
      <c r="A369" s="36"/>
    </row>
    <row r="370" spans="1:1">
      <c r="A370" s="36"/>
    </row>
    <row r="371" spans="1:1">
      <c r="A371" s="36"/>
    </row>
    <row r="372" spans="1:1">
      <c r="A372" s="36"/>
    </row>
    <row r="373" spans="1:1">
      <c r="A373" s="36"/>
    </row>
    <row r="374" spans="1:1">
      <c r="A374" s="36"/>
    </row>
    <row r="375" spans="1:1">
      <c r="A375" s="36"/>
    </row>
    <row r="376" spans="1:1">
      <c r="A376" s="36"/>
    </row>
    <row r="377" spans="1:1">
      <c r="A377" s="36"/>
    </row>
    <row r="378" spans="1:1">
      <c r="A378" s="36"/>
    </row>
    <row r="379" spans="1:1">
      <c r="A379" s="36"/>
    </row>
    <row r="380" spans="1:1">
      <c r="A380" s="36"/>
    </row>
    <row r="381" spans="1:1">
      <c r="A381" s="36"/>
    </row>
    <row r="382" spans="1:1">
      <c r="A382" s="36"/>
    </row>
    <row r="383" spans="1:1">
      <c r="A383" s="36"/>
    </row>
    <row r="384" spans="1:1">
      <c r="A384" s="36"/>
    </row>
    <row r="385" spans="1:1">
      <c r="A385" s="36"/>
    </row>
    <row r="386" spans="1:1">
      <c r="A386" s="36"/>
    </row>
    <row r="387" spans="1:1">
      <c r="A387" s="36"/>
    </row>
    <row r="388" spans="1:1">
      <c r="A388" s="36"/>
    </row>
    <row r="389" spans="1:1">
      <c r="A389" s="36"/>
    </row>
    <row r="390" spans="1:1">
      <c r="A390" s="36"/>
    </row>
    <row r="391" spans="1:1">
      <c r="A391" s="36"/>
    </row>
    <row r="392" spans="1:1">
      <c r="A392" s="36"/>
    </row>
    <row r="393" spans="1:1">
      <c r="A393" s="36"/>
    </row>
    <row r="394" spans="1:1">
      <c r="A394" s="36"/>
    </row>
    <row r="395" spans="1:1">
      <c r="A395" s="36"/>
    </row>
    <row r="396" spans="1:1">
      <c r="A396" s="36"/>
    </row>
    <row r="397" spans="1:1">
      <c r="A397" s="36"/>
    </row>
    <row r="398" spans="1:1">
      <c r="A398" s="36"/>
    </row>
    <row r="399" spans="1:1">
      <c r="A399" s="36"/>
    </row>
    <row r="400" spans="1:1">
      <c r="A400" s="36"/>
    </row>
    <row r="401" spans="1:1">
      <c r="A401" s="36"/>
    </row>
    <row r="402" spans="1:1">
      <c r="A402" s="36"/>
    </row>
    <row r="403" spans="1:1">
      <c r="A403" s="36"/>
    </row>
    <row r="404" spans="1:1">
      <c r="A404" s="36"/>
    </row>
    <row r="405" spans="1:1">
      <c r="A405" s="36"/>
    </row>
    <row r="406" spans="1:1">
      <c r="A406" s="36"/>
    </row>
    <row r="407" spans="1:1">
      <c r="A407" s="36"/>
    </row>
    <row r="408" spans="1:1">
      <c r="A408" s="36"/>
    </row>
    <row r="409" spans="1:1">
      <c r="A409" s="36"/>
    </row>
    <row r="410" spans="1:1">
      <c r="A410" s="36"/>
    </row>
    <row r="411" spans="1:1">
      <c r="A411" s="36"/>
    </row>
    <row r="412" spans="1:1">
      <c r="A412" s="36"/>
    </row>
    <row r="413" spans="1:1">
      <c r="A413" s="36"/>
    </row>
    <row r="414" spans="1:1">
      <c r="A414" s="36"/>
    </row>
    <row r="415" spans="1:1">
      <c r="A415" s="36"/>
    </row>
    <row r="416" spans="1:1">
      <c r="A416" s="36"/>
    </row>
    <row r="417" spans="1:1">
      <c r="A417" s="36"/>
    </row>
    <row r="418" spans="1:1">
      <c r="A418" s="36"/>
    </row>
    <row r="419" spans="1:1">
      <c r="A419" s="36"/>
    </row>
    <row r="420" spans="1:1">
      <c r="A420" s="36"/>
    </row>
    <row r="421" spans="1:1">
      <c r="A421" s="36"/>
    </row>
    <row r="422" spans="1:1">
      <c r="A422" s="36"/>
    </row>
    <row r="423" spans="1:1">
      <c r="A423" s="36"/>
    </row>
    <row r="424" spans="1:1">
      <c r="A424" s="36"/>
    </row>
    <row r="425" spans="1:1">
      <c r="A425" s="36"/>
    </row>
    <row r="426" spans="1:1">
      <c r="A426" s="36"/>
    </row>
    <row r="427" spans="1:1">
      <c r="A427" s="36"/>
    </row>
    <row r="428" spans="1:1">
      <c r="A428" s="36"/>
    </row>
    <row r="429" spans="1:1">
      <c r="A429" s="36"/>
    </row>
    <row r="430" spans="1:1">
      <c r="A430" s="36"/>
    </row>
    <row r="431" spans="1:1">
      <c r="A431" s="36"/>
    </row>
    <row r="432" spans="1:1">
      <c r="A432" s="36"/>
    </row>
    <row r="433" spans="1:1">
      <c r="A433" s="36"/>
    </row>
    <row r="434" spans="1:1">
      <c r="A434" s="36"/>
    </row>
    <row r="435" spans="1:1">
      <c r="A435" s="36"/>
    </row>
    <row r="436" spans="1:1">
      <c r="A436" s="36"/>
    </row>
    <row r="437" spans="1:1">
      <c r="A437" s="36"/>
    </row>
    <row r="438" spans="1:1">
      <c r="A438" s="36"/>
    </row>
    <row r="439" spans="1:1">
      <c r="A439" s="36"/>
    </row>
    <row r="440" spans="1:1">
      <c r="A440" s="36"/>
    </row>
    <row r="441" spans="1:1">
      <c r="A441" s="36"/>
    </row>
    <row r="442" spans="1:1">
      <c r="A442" s="36"/>
    </row>
    <row r="443" spans="1:1">
      <c r="A443" s="36"/>
    </row>
    <row r="444" spans="1:1">
      <c r="A444" s="36"/>
    </row>
    <row r="445" spans="1:1">
      <c r="A445" s="36"/>
    </row>
    <row r="446" spans="1:1">
      <c r="A446" s="36"/>
    </row>
    <row r="447" spans="1:1">
      <c r="A447" s="36"/>
    </row>
    <row r="448" spans="1:1">
      <c r="A448" s="36"/>
    </row>
    <row r="449" spans="1:1">
      <c r="A449" s="36"/>
    </row>
    <row r="450" spans="1:1">
      <c r="A450" s="36"/>
    </row>
    <row r="451" spans="1:1">
      <c r="A451" s="36"/>
    </row>
    <row r="452" spans="1:1">
      <c r="A452" s="36"/>
    </row>
    <row r="453" spans="1:1">
      <c r="A453" s="36"/>
    </row>
    <row r="454" spans="1:1">
      <c r="A454" s="36"/>
    </row>
    <row r="455" spans="1:1">
      <c r="A455" s="36"/>
    </row>
    <row r="456" spans="1:1">
      <c r="A456" s="36"/>
    </row>
    <row r="457" spans="1:1">
      <c r="A457" s="36"/>
    </row>
    <row r="458" spans="1:1">
      <c r="A458" s="36"/>
    </row>
    <row r="459" spans="1:1">
      <c r="A459" s="36"/>
    </row>
    <row r="460" spans="1:1">
      <c r="A460" s="36"/>
    </row>
    <row r="461" spans="1:1">
      <c r="A461" s="36"/>
    </row>
    <row r="462" spans="1:1">
      <c r="A462" s="36"/>
    </row>
    <row r="463" spans="1:1">
      <c r="A463" s="36"/>
    </row>
    <row r="464" spans="1:1">
      <c r="A464" s="36"/>
    </row>
    <row r="465" spans="1:1">
      <c r="A465" s="36"/>
    </row>
    <row r="466" spans="1:1">
      <c r="A466" s="36"/>
    </row>
    <row r="467" spans="1:1">
      <c r="A467" s="36"/>
    </row>
    <row r="468" spans="1:1">
      <c r="A468" s="36"/>
    </row>
    <row r="469" spans="1:1">
      <c r="A469" s="36"/>
    </row>
    <row r="470" spans="1:1">
      <c r="A470" s="36"/>
    </row>
    <row r="471" spans="1:1">
      <c r="A471" s="36"/>
    </row>
    <row r="472" spans="1:1">
      <c r="A472" s="36"/>
    </row>
    <row r="473" spans="1:1">
      <c r="A473" s="36"/>
    </row>
    <row r="474" spans="1:1">
      <c r="A474" s="36"/>
    </row>
    <row r="475" spans="1:1">
      <c r="A475" s="36"/>
    </row>
    <row r="476" spans="1:1">
      <c r="A476" s="36"/>
    </row>
    <row r="477" spans="1:1">
      <c r="A477" s="36"/>
    </row>
    <row r="478" spans="1:1">
      <c r="A478" s="36"/>
    </row>
    <row r="479" spans="1:1">
      <c r="A479" s="36"/>
    </row>
    <row r="480" spans="1:1">
      <c r="A480" s="36"/>
    </row>
    <row r="481" spans="1:1">
      <c r="A481" s="36"/>
    </row>
    <row r="482" spans="1:1">
      <c r="A482" s="36"/>
    </row>
    <row r="483" spans="1:1">
      <c r="A483" s="36"/>
    </row>
    <row r="484" spans="1:1">
      <c r="A484" s="36"/>
    </row>
    <row r="485" spans="1:1">
      <c r="A485" s="36"/>
    </row>
    <row r="486" spans="1:1">
      <c r="A486" s="36"/>
    </row>
    <row r="487" spans="1:1">
      <c r="A487" s="36"/>
    </row>
    <row r="488" spans="1:1">
      <c r="A488" s="36"/>
    </row>
    <row r="489" spans="1:1">
      <c r="A489" s="36"/>
    </row>
    <row r="490" spans="1:1">
      <c r="A490" s="36"/>
    </row>
    <row r="491" spans="1:1">
      <c r="A491" s="36"/>
    </row>
    <row r="492" spans="1:1">
      <c r="A492" s="36"/>
    </row>
    <row r="493" spans="1:1">
      <c r="A493" s="36"/>
    </row>
    <row r="494" spans="1:1">
      <c r="A494" s="36"/>
    </row>
    <row r="495" spans="1:1">
      <c r="A495" s="36"/>
    </row>
    <row r="496" spans="1:1">
      <c r="A496" s="36"/>
    </row>
    <row r="497" spans="1:1">
      <c r="A497" s="36"/>
    </row>
    <row r="498" spans="1:1">
      <c r="A498" s="36"/>
    </row>
    <row r="499" spans="1:1">
      <c r="A499" s="36"/>
    </row>
    <row r="500" spans="1:1">
      <c r="A500" s="36"/>
    </row>
    <row r="501" spans="1:1">
      <c r="A501" s="36"/>
    </row>
    <row r="502" spans="1:1">
      <c r="A502" s="36"/>
    </row>
    <row r="503" spans="1:1">
      <c r="A503" s="36"/>
    </row>
    <row r="504" spans="1:1">
      <c r="A504" s="36"/>
    </row>
    <row r="505" spans="1:1">
      <c r="A505" s="36"/>
    </row>
    <row r="506" spans="1:1">
      <c r="A506" s="36"/>
    </row>
    <row r="507" spans="1:1">
      <c r="A507" s="36"/>
    </row>
    <row r="508" spans="1:1">
      <c r="A508" s="36"/>
    </row>
    <row r="509" spans="1:1">
      <c r="A509" s="36"/>
    </row>
    <row r="510" spans="1:1">
      <c r="A510" s="36"/>
    </row>
    <row r="511" spans="1:1">
      <c r="A511" s="36"/>
    </row>
    <row r="512" spans="1:1">
      <c r="A512" s="36"/>
    </row>
    <row r="513" spans="1:1">
      <c r="A513" s="36"/>
    </row>
    <row r="514" spans="1:1">
      <c r="A514" s="36"/>
    </row>
    <row r="515" spans="1:1">
      <c r="A515" s="36"/>
    </row>
    <row r="516" spans="1:1">
      <c r="A516" s="36"/>
    </row>
    <row r="517" spans="1:1">
      <c r="A517" s="36"/>
    </row>
    <row r="518" spans="1:1">
      <c r="A518" s="36"/>
    </row>
    <row r="519" spans="1:1">
      <c r="A519" s="36"/>
    </row>
    <row r="520" spans="1:1">
      <c r="A520" s="36"/>
    </row>
    <row r="521" spans="1:1">
      <c r="A521" s="36"/>
    </row>
    <row r="522" spans="1:1">
      <c r="A522" s="36"/>
    </row>
    <row r="523" spans="1:1">
      <c r="A523" s="36"/>
    </row>
    <row r="524" spans="1:1">
      <c r="A524" s="36"/>
    </row>
    <row r="525" spans="1:1">
      <c r="A525" s="36"/>
    </row>
    <row r="526" spans="1:1">
      <c r="A526" s="36"/>
    </row>
    <row r="527" spans="1:1">
      <c r="A527" s="36"/>
    </row>
    <row r="528" spans="1:1">
      <c r="A528" s="36"/>
    </row>
    <row r="529" spans="1:1">
      <c r="A529" s="36"/>
    </row>
    <row r="530" spans="1:1">
      <c r="A530" s="36"/>
    </row>
    <row r="531" spans="1:1">
      <c r="A531" s="36"/>
    </row>
    <row r="532" spans="1:1">
      <c r="A532" s="36"/>
    </row>
    <row r="533" spans="1:1">
      <c r="A533" s="36"/>
    </row>
    <row r="534" spans="1:1">
      <c r="A534" s="36"/>
    </row>
    <row r="535" spans="1:1">
      <c r="A535" s="36"/>
    </row>
    <row r="536" spans="1:1">
      <c r="A536" s="36"/>
    </row>
    <row r="537" spans="1:1">
      <c r="A537" s="36"/>
    </row>
    <row r="538" spans="1:1">
      <c r="A538" s="36"/>
    </row>
    <row r="539" spans="1:1">
      <c r="A539" s="36"/>
    </row>
    <row r="540" spans="1:1">
      <c r="A540" s="36"/>
    </row>
    <row r="541" spans="1:1">
      <c r="A541" s="36"/>
    </row>
    <row r="542" spans="1:1">
      <c r="A542" s="36"/>
    </row>
    <row r="543" spans="1:1">
      <c r="A543" s="36"/>
    </row>
    <row r="544" spans="1:1">
      <c r="A544" s="36"/>
    </row>
    <row r="545" spans="1:1">
      <c r="A545" s="36"/>
    </row>
    <row r="546" spans="1:1">
      <c r="A546" s="36"/>
    </row>
    <row r="547" spans="1:1">
      <c r="A547" s="36"/>
    </row>
    <row r="548" spans="1:1">
      <c r="A548" s="36"/>
    </row>
    <row r="549" spans="1:1">
      <c r="A549" s="36"/>
    </row>
    <row r="550" spans="1:1">
      <c r="A550" s="36"/>
    </row>
    <row r="551" spans="1:1">
      <c r="A551" s="36"/>
    </row>
    <row r="552" spans="1:1">
      <c r="A552" s="36"/>
    </row>
    <row r="553" spans="1:1">
      <c r="A553" s="36"/>
    </row>
    <row r="554" spans="1:1">
      <c r="A554" s="36"/>
    </row>
    <row r="555" spans="1:1">
      <c r="A555" s="36"/>
    </row>
    <row r="556" spans="1:1">
      <c r="A556" s="36"/>
    </row>
    <row r="557" spans="1:1">
      <c r="A557" s="36"/>
    </row>
    <row r="558" spans="1:1">
      <c r="A558" s="36"/>
    </row>
    <row r="559" spans="1:1">
      <c r="A559" s="36"/>
    </row>
    <row r="560" spans="1:1">
      <c r="A560" s="36"/>
    </row>
    <row r="561" spans="1:1">
      <c r="A561" s="36"/>
    </row>
    <row r="562" spans="1:1">
      <c r="A562" s="36"/>
    </row>
    <row r="563" spans="1:1">
      <c r="A563" s="36"/>
    </row>
    <row r="564" spans="1:1">
      <c r="A564" s="36"/>
    </row>
    <row r="565" spans="1:1">
      <c r="A565" s="36"/>
    </row>
    <row r="566" spans="1:1">
      <c r="A566" s="36"/>
    </row>
    <row r="567" spans="1:1">
      <c r="A567" s="36"/>
    </row>
    <row r="568" spans="1:1">
      <c r="A568" s="36"/>
    </row>
    <row r="569" spans="1:1">
      <c r="A569" s="36"/>
    </row>
    <row r="570" spans="1:1">
      <c r="A570" s="36"/>
    </row>
    <row r="571" spans="1:1">
      <c r="A571" s="36"/>
    </row>
    <row r="572" spans="1:1">
      <c r="A572" s="36"/>
    </row>
    <row r="573" spans="1:1">
      <c r="A573" s="36"/>
    </row>
    <row r="574" spans="1:1">
      <c r="A574" s="36"/>
    </row>
    <row r="575" spans="1:1">
      <c r="A575" s="36"/>
    </row>
    <row r="576" spans="1:1">
      <c r="A576" s="36"/>
    </row>
    <row r="577" spans="1:1">
      <c r="A577" s="36"/>
    </row>
    <row r="578" spans="1:1">
      <c r="A578" s="36"/>
    </row>
    <row r="579" spans="1:1">
      <c r="A579" s="36"/>
    </row>
    <row r="580" spans="1:1">
      <c r="A580" s="36"/>
    </row>
    <row r="581" spans="1:1">
      <c r="A581" s="36"/>
    </row>
    <row r="582" spans="1:1">
      <c r="A582" s="36"/>
    </row>
    <row r="583" spans="1:1">
      <c r="A583" s="36"/>
    </row>
    <row r="584" spans="1:1">
      <c r="A584" s="36"/>
    </row>
    <row r="585" spans="1:1">
      <c r="A585" s="36"/>
    </row>
    <row r="586" spans="1:1">
      <c r="A586" s="36"/>
    </row>
    <row r="587" spans="1:1">
      <c r="A587" s="36"/>
    </row>
    <row r="588" spans="1:1">
      <c r="A588" s="36"/>
    </row>
    <row r="589" spans="1:1">
      <c r="A589" s="36"/>
    </row>
    <row r="590" spans="1:1">
      <c r="A590" s="36"/>
    </row>
    <row r="591" spans="1:1">
      <c r="A591" s="36"/>
    </row>
    <row r="592" spans="1:1">
      <c r="A592" s="36"/>
    </row>
    <row r="593" spans="1:1">
      <c r="A593" s="36"/>
    </row>
    <row r="594" spans="1:1">
      <c r="A594" s="36"/>
    </row>
    <row r="595" spans="1:1">
      <c r="A595" s="36"/>
    </row>
    <row r="596" spans="1:1">
      <c r="A596" s="36"/>
    </row>
    <row r="597" spans="1:1">
      <c r="A597" s="36"/>
    </row>
    <row r="598" spans="1:1">
      <c r="A598" s="36"/>
    </row>
    <row r="599" spans="1:1">
      <c r="A599" s="36"/>
    </row>
    <row r="600" spans="1:1">
      <c r="A600" s="36"/>
    </row>
    <row r="601" spans="1:1">
      <c r="A601" s="36"/>
    </row>
    <row r="602" spans="1:1">
      <c r="A602" s="36"/>
    </row>
    <row r="603" spans="1:1">
      <c r="A603" s="36"/>
    </row>
    <row r="604" spans="1:1">
      <c r="A604" s="36"/>
    </row>
    <row r="605" spans="1:1">
      <c r="A605" s="36"/>
    </row>
    <row r="606" spans="1:1">
      <c r="A606" s="36"/>
    </row>
    <row r="607" spans="1:1">
      <c r="A607" s="36"/>
    </row>
    <row r="608" spans="1:1">
      <c r="A608" s="36"/>
    </row>
    <row r="609" spans="1:1">
      <c r="A609" s="36"/>
    </row>
    <row r="610" spans="1:1">
      <c r="A610" s="36"/>
    </row>
    <row r="611" spans="1:1">
      <c r="A611" s="36"/>
    </row>
    <row r="612" spans="1:1">
      <c r="A612" s="36"/>
    </row>
    <row r="613" spans="1:1">
      <c r="A613" s="36"/>
    </row>
    <row r="614" spans="1:1">
      <c r="A614" s="36"/>
    </row>
    <row r="615" spans="1:1">
      <c r="A615" s="36"/>
    </row>
    <row r="616" spans="1:1">
      <c r="A616" s="36"/>
    </row>
    <row r="617" spans="1:1">
      <c r="A617" s="36"/>
    </row>
    <row r="618" spans="1:1">
      <c r="A618" s="36"/>
    </row>
    <row r="619" spans="1:1">
      <c r="A619" s="36"/>
    </row>
    <row r="620" spans="1:1">
      <c r="A620" s="36"/>
    </row>
    <row r="621" spans="1:1">
      <c r="A621" s="36"/>
    </row>
    <row r="622" spans="1:1">
      <c r="A622" s="36"/>
    </row>
    <row r="623" spans="1:1">
      <c r="A623" s="36"/>
    </row>
    <row r="624" spans="1:1">
      <c r="A624" s="36"/>
    </row>
    <row r="625" spans="1:1">
      <c r="A625" s="36"/>
    </row>
    <row r="626" spans="1:1">
      <c r="A626" s="36"/>
    </row>
    <row r="627" spans="1:1">
      <c r="A627" s="36"/>
    </row>
    <row r="628" spans="1:1">
      <c r="A628" s="36"/>
    </row>
    <row r="629" spans="1:1">
      <c r="A629" s="36"/>
    </row>
    <row r="630" spans="1:1">
      <c r="A630" s="36"/>
    </row>
    <row r="631" spans="1:1">
      <c r="A631" s="36"/>
    </row>
    <row r="632" spans="1:1">
      <c r="A632" s="36"/>
    </row>
    <row r="633" spans="1:1">
      <c r="A633" s="36"/>
    </row>
    <row r="634" spans="1:1">
      <c r="A634" s="36"/>
    </row>
    <row r="635" spans="1:1">
      <c r="A635" s="36"/>
    </row>
    <row r="636" spans="1:1">
      <c r="A636" s="36"/>
    </row>
    <row r="637" spans="1:1">
      <c r="A637" s="36"/>
    </row>
    <row r="638" spans="1:1">
      <c r="A638" s="36"/>
    </row>
    <row r="639" spans="1:1">
      <c r="A639" s="36"/>
    </row>
    <row r="640" spans="1:1">
      <c r="A640" s="36"/>
    </row>
    <row r="641" spans="1:1">
      <c r="A641" s="36"/>
    </row>
    <row r="642" spans="1:1">
      <c r="A642" s="36"/>
    </row>
    <row r="643" spans="1:1">
      <c r="A643" s="36"/>
    </row>
    <row r="644" spans="1:1">
      <c r="A644" s="36"/>
    </row>
    <row r="645" spans="1:1">
      <c r="A645" s="36"/>
    </row>
    <row r="646" spans="1:1">
      <c r="A646" s="36"/>
    </row>
    <row r="647" spans="1:1">
      <c r="A647" s="36"/>
    </row>
    <row r="648" spans="1:1">
      <c r="A648" s="36"/>
    </row>
    <row r="649" spans="1:1">
      <c r="A649" s="36"/>
    </row>
    <row r="650" spans="1:1">
      <c r="A650" s="36"/>
    </row>
    <row r="651" spans="1:1">
      <c r="A651" s="36"/>
    </row>
    <row r="652" spans="1:1">
      <c r="A652" s="36"/>
    </row>
    <row r="653" spans="1:1">
      <c r="A653" s="36"/>
    </row>
    <row r="654" spans="1:1">
      <c r="A654" s="36"/>
    </row>
    <row r="655" spans="1:1">
      <c r="A655" s="36"/>
    </row>
    <row r="656" spans="1:1">
      <c r="A656" s="36"/>
    </row>
    <row r="657" spans="1:1">
      <c r="A657" s="36"/>
    </row>
    <row r="658" spans="1:1">
      <c r="A658" s="36"/>
    </row>
    <row r="659" spans="1:1">
      <c r="A659" s="36"/>
    </row>
    <row r="660" spans="1:1">
      <c r="A660" s="36"/>
    </row>
    <row r="661" spans="1:1">
      <c r="A661" s="36"/>
    </row>
    <row r="662" spans="1:1">
      <c r="A662" s="36"/>
    </row>
    <row r="663" spans="1:1">
      <c r="A663" s="36"/>
    </row>
    <row r="664" spans="1:1">
      <c r="A664" s="36"/>
    </row>
    <row r="665" spans="1:1">
      <c r="A665" s="36"/>
    </row>
    <row r="666" spans="1:1">
      <c r="A666" s="36"/>
    </row>
    <row r="667" spans="1:1">
      <c r="A667" s="36"/>
    </row>
    <row r="668" spans="1:1">
      <c r="A668" s="36"/>
    </row>
    <row r="669" spans="1:1">
      <c r="A669" s="36"/>
    </row>
    <row r="670" spans="1:1">
      <c r="A670" s="36"/>
    </row>
    <row r="671" spans="1:1">
      <c r="A671" s="36"/>
    </row>
    <row r="672" spans="1:1">
      <c r="A672" s="36"/>
    </row>
    <row r="673" spans="1:1">
      <c r="A673" s="36"/>
    </row>
    <row r="674" spans="1:1">
      <c r="A674" s="36"/>
    </row>
    <row r="675" spans="1:1">
      <c r="A675" s="36"/>
    </row>
    <row r="676" spans="1:1">
      <c r="A676" s="36"/>
    </row>
    <row r="677" spans="1:1">
      <c r="A677" s="36"/>
    </row>
    <row r="678" spans="1:1">
      <c r="A678" s="36"/>
    </row>
    <row r="679" spans="1:1">
      <c r="A679" s="36"/>
    </row>
    <row r="680" spans="1:1">
      <c r="A680" s="36"/>
    </row>
    <row r="681" spans="1:1">
      <c r="A681" s="36"/>
    </row>
    <row r="682" spans="1:1">
      <c r="A682" s="36"/>
    </row>
    <row r="683" spans="1:1">
      <c r="A683" s="36"/>
    </row>
    <row r="684" spans="1:1">
      <c r="A684" s="36"/>
    </row>
    <row r="685" spans="1:1">
      <c r="A685" s="36"/>
    </row>
    <row r="686" spans="1:1">
      <c r="A686" s="36"/>
    </row>
    <row r="687" spans="1:1">
      <c r="A687" s="36"/>
    </row>
    <row r="688" spans="1:1">
      <c r="A688" s="36"/>
    </row>
    <row r="689" spans="1:1">
      <c r="A689" s="36"/>
    </row>
    <row r="690" spans="1:1">
      <c r="A690" s="36"/>
    </row>
    <row r="691" spans="1:1">
      <c r="A691" s="36"/>
    </row>
    <row r="692" spans="1:1">
      <c r="A692" s="36"/>
    </row>
    <row r="693" spans="1:1">
      <c r="A693" s="36"/>
    </row>
    <row r="694" spans="1:1">
      <c r="A694" s="36"/>
    </row>
    <row r="695" spans="1:1">
      <c r="A695" s="36"/>
    </row>
    <row r="696" spans="1:1">
      <c r="A696" s="36"/>
    </row>
    <row r="697" spans="1:1">
      <c r="A697" s="36"/>
    </row>
    <row r="698" spans="1:1">
      <c r="A698" s="36"/>
    </row>
    <row r="699" spans="1:1">
      <c r="A699" s="36"/>
    </row>
    <row r="700" spans="1:1">
      <c r="A700" s="36"/>
    </row>
    <row r="701" spans="1:1">
      <c r="A701" s="36"/>
    </row>
    <row r="702" spans="1:1">
      <c r="A702" s="36"/>
    </row>
    <row r="703" spans="1:1">
      <c r="A703" s="36"/>
    </row>
    <row r="704" spans="1:1">
      <c r="A704" s="36"/>
    </row>
    <row r="705" spans="1:1">
      <c r="A705" s="36"/>
    </row>
    <row r="706" spans="1:1">
      <c r="A706" s="36"/>
    </row>
    <row r="707" spans="1:1">
      <c r="A707" s="36"/>
    </row>
    <row r="708" spans="1:1">
      <c r="A708" s="36"/>
    </row>
    <row r="709" spans="1:1">
      <c r="A709" s="36"/>
    </row>
    <row r="710" spans="1:1">
      <c r="A710" s="36"/>
    </row>
    <row r="711" spans="1:1">
      <c r="A711" s="36"/>
    </row>
    <row r="712" spans="1:1">
      <c r="A712" s="36"/>
    </row>
    <row r="713" spans="1:1">
      <c r="A713" s="36"/>
    </row>
    <row r="714" spans="1:1">
      <c r="A714" s="36"/>
    </row>
    <row r="715" spans="1:1">
      <c r="A715" s="36"/>
    </row>
    <row r="716" spans="1:1">
      <c r="A716" s="36"/>
    </row>
    <row r="717" spans="1:1">
      <c r="A717" s="36"/>
    </row>
    <row r="718" spans="1:1">
      <c r="A718" s="36"/>
    </row>
    <row r="719" spans="1:1">
      <c r="A719" s="36"/>
    </row>
    <row r="720" spans="1:1">
      <c r="A720" s="36"/>
    </row>
    <row r="721" spans="1:1">
      <c r="A721" s="36"/>
    </row>
    <row r="722" spans="1:1">
      <c r="A722" s="36"/>
    </row>
    <row r="723" spans="1:1">
      <c r="A723" s="36"/>
    </row>
    <row r="724" spans="1:1">
      <c r="A724" s="36"/>
    </row>
    <row r="725" spans="1:1">
      <c r="A725" s="36"/>
    </row>
    <row r="726" spans="1:1">
      <c r="A726" s="36"/>
    </row>
    <row r="727" spans="1:1">
      <c r="A727" s="36"/>
    </row>
    <row r="728" spans="1:1">
      <c r="A728" s="36"/>
    </row>
    <row r="729" spans="1:1">
      <c r="A729" s="36"/>
    </row>
    <row r="730" spans="1:1">
      <c r="A730" s="36"/>
    </row>
    <row r="731" spans="1:1">
      <c r="A731" s="36"/>
    </row>
    <row r="732" spans="1:1">
      <c r="A732" s="36"/>
    </row>
    <row r="733" spans="1:1">
      <c r="A733" s="36"/>
    </row>
    <row r="734" spans="1:1">
      <c r="A734" s="36"/>
    </row>
    <row r="735" spans="1:1">
      <c r="A735" s="36"/>
    </row>
    <row r="736" spans="1:1">
      <c r="A736" s="36"/>
    </row>
    <row r="737" spans="1:1">
      <c r="A737" s="36"/>
    </row>
    <row r="738" spans="1:1">
      <c r="A738" s="36"/>
    </row>
    <row r="739" spans="1:1">
      <c r="A739" s="36"/>
    </row>
    <row r="740" spans="1:1">
      <c r="A740" s="36"/>
    </row>
    <row r="741" spans="1:1">
      <c r="A741" s="36"/>
    </row>
    <row r="742" spans="1:1">
      <c r="A742" s="36"/>
    </row>
    <row r="743" spans="1:1">
      <c r="A743" s="36"/>
    </row>
    <row r="744" spans="1:1">
      <c r="A744" s="36"/>
    </row>
    <row r="745" spans="1:1">
      <c r="A745" s="36"/>
    </row>
    <row r="746" spans="1:1">
      <c r="A746" s="36"/>
    </row>
    <row r="747" spans="1:1">
      <c r="A747" s="36"/>
    </row>
    <row r="748" spans="1:1">
      <c r="A748" s="36"/>
    </row>
    <row r="749" spans="1:1">
      <c r="A749" s="36"/>
    </row>
    <row r="750" spans="1:1">
      <c r="A750" s="36"/>
    </row>
    <row r="751" spans="1:1">
      <c r="A751" s="36"/>
    </row>
    <row r="752" spans="1:1">
      <c r="A752" s="36"/>
    </row>
    <row r="753" spans="1:1">
      <c r="A753" s="36"/>
    </row>
    <row r="754" spans="1:1">
      <c r="A754" s="36"/>
    </row>
    <row r="755" spans="1:1">
      <c r="A755" s="36"/>
    </row>
    <row r="756" spans="1:1">
      <c r="A756" s="36"/>
    </row>
    <row r="757" spans="1:1">
      <c r="A757" s="36"/>
    </row>
    <row r="758" spans="1:1">
      <c r="A758" s="36"/>
    </row>
    <row r="759" spans="1:1">
      <c r="A759" s="36"/>
    </row>
    <row r="760" spans="1:1">
      <c r="A760" s="36"/>
    </row>
    <row r="761" spans="1:1">
      <c r="A761" s="36"/>
    </row>
    <row r="762" spans="1:1">
      <c r="A762" s="36"/>
    </row>
    <row r="763" spans="1:1">
      <c r="A763" s="36"/>
    </row>
    <row r="764" spans="1:1">
      <c r="A764" s="36"/>
    </row>
    <row r="765" spans="1:1">
      <c r="A765" s="36"/>
    </row>
    <row r="766" spans="1:1">
      <c r="A766" s="36"/>
    </row>
    <row r="767" spans="1:1">
      <c r="A767" s="36"/>
    </row>
    <row r="768" spans="1:1">
      <c r="A768" s="36"/>
    </row>
    <row r="769" spans="1:1">
      <c r="A769" s="36"/>
    </row>
    <row r="770" spans="1:1">
      <c r="A770" s="36"/>
    </row>
    <row r="771" spans="1:1">
      <c r="A771" s="36"/>
    </row>
    <row r="772" spans="1:1">
      <c r="A772" s="36"/>
    </row>
    <row r="773" spans="1:1">
      <c r="A773" s="36"/>
    </row>
    <row r="774" spans="1:1">
      <c r="A774" s="36"/>
    </row>
    <row r="775" spans="1:1">
      <c r="A775" s="36"/>
    </row>
    <row r="776" spans="1:1">
      <c r="A776" s="36"/>
    </row>
    <row r="777" spans="1:1">
      <c r="A777" s="36"/>
    </row>
    <row r="778" spans="1:1">
      <c r="A778" s="36"/>
    </row>
    <row r="779" spans="1:1">
      <c r="A779" s="36"/>
    </row>
    <row r="780" spans="1:1">
      <c r="A780" s="36"/>
    </row>
    <row r="781" spans="1:1">
      <c r="A781" s="36"/>
    </row>
    <row r="782" spans="1:1">
      <c r="A782" s="36"/>
    </row>
    <row r="783" spans="1:1">
      <c r="A783" s="36"/>
    </row>
    <row r="784" spans="1:1">
      <c r="A784" s="36"/>
    </row>
    <row r="785" spans="1:1">
      <c r="A785" s="36"/>
    </row>
    <row r="786" spans="1:1">
      <c r="A786" s="36"/>
    </row>
    <row r="787" spans="1:1">
      <c r="A787" s="36"/>
    </row>
    <row r="788" spans="1:1">
      <c r="A788" s="36"/>
    </row>
    <row r="789" spans="1:1">
      <c r="A789" s="36"/>
    </row>
    <row r="790" spans="1:1">
      <c r="A790" s="36"/>
    </row>
    <row r="791" spans="1:1">
      <c r="A791" s="36"/>
    </row>
    <row r="792" spans="1:1">
      <c r="A792" s="36"/>
    </row>
    <row r="793" spans="1:1">
      <c r="A793" s="36"/>
    </row>
    <row r="794" spans="1:1">
      <c r="A794" s="36"/>
    </row>
    <row r="795" spans="1:1">
      <c r="A795" s="36"/>
    </row>
    <row r="796" spans="1:1">
      <c r="A796" s="36"/>
    </row>
    <row r="797" spans="1:1">
      <c r="A797" s="36"/>
    </row>
    <row r="798" spans="1:1">
      <c r="A798" s="36"/>
    </row>
    <row r="799" spans="1:1">
      <c r="A799" s="36"/>
    </row>
    <row r="800" spans="1:1">
      <c r="A800" s="36"/>
    </row>
    <row r="801" spans="1:1">
      <c r="A801" s="36"/>
    </row>
    <row r="802" spans="1:1">
      <c r="A802" s="36"/>
    </row>
    <row r="803" spans="1:1">
      <c r="A803" s="36"/>
    </row>
    <row r="804" spans="1:1">
      <c r="A804" s="36"/>
    </row>
    <row r="805" spans="1:1">
      <c r="A805" s="36"/>
    </row>
    <row r="806" spans="1:1">
      <c r="A806" s="36"/>
    </row>
    <row r="807" spans="1:1">
      <c r="A807" s="36"/>
    </row>
    <row r="808" spans="1:1">
      <c r="A808" s="36"/>
    </row>
    <row r="809" spans="1:1">
      <c r="A809" s="36"/>
    </row>
    <row r="810" spans="1:1">
      <c r="A810" s="36"/>
    </row>
    <row r="811" spans="1:1">
      <c r="A811" s="36"/>
    </row>
    <row r="812" spans="1:1">
      <c r="A812" s="36"/>
    </row>
    <row r="813" spans="1:1">
      <c r="A813" s="36"/>
    </row>
    <row r="814" spans="1:1">
      <c r="A814" s="36"/>
    </row>
    <row r="815" spans="1:1">
      <c r="A815" s="36"/>
    </row>
    <row r="816" spans="1:1">
      <c r="A816" s="36"/>
    </row>
    <row r="817" spans="1:1">
      <c r="A817" s="36"/>
    </row>
    <row r="818" spans="1:1">
      <c r="A818" s="36"/>
    </row>
    <row r="819" spans="1:1">
      <c r="A819" s="36"/>
    </row>
    <row r="820" spans="1:1">
      <c r="A820" s="36"/>
    </row>
    <row r="821" spans="1:1">
      <c r="A821" s="36"/>
    </row>
    <row r="822" spans="1:1">
      <c r="A822" s="36"/>
    </row>
    <row r="823" spans="1:1">
      <c r="A823" s="36"/>
    </row>
    <row r="824" spans="1:1">
      <c r="A824" s="36"/>
    </row>
    <row r="825" spans="1:1">
      <c r="A825" s="36"/>
    </row>
    <row r="826" spans="1:1">
      <c r="A826" s="36"/>
    </row>
    <row r="827" spans="1:1">
      <c r="A827" s="36"/>
    </row>
    <row r="828" spans="1:1">
      <c r="A828" s="36"/>
    </row>
    <row r="829" spans="1:1">
      <c r="A829" s="36"/>
    </row>
    <row r="830" spans="1:1">
      <c r="A830" s="36"/>
    </row>
    <row r="831" spans="1:1">
      <c r="A831" s="36"/>
    </row>
    <row r="832" spans="1:1">
      <c r="A832" s="36"/>
    </row>
    <row r="833" spans="1:1">
      <c r="A833" s="36"/>
    </row>
    <row r="834" spans="1:1">
      <c r="A834" s="36"/>
    </row>
    <row r="835" spans="1:1">
      <c r="A835" s="36"/>
    </row>
    <row r="836" spans="1:1">
      <c r="A836" s="36"/>
    </row>
    <row r="837" spans="1:1">
      <c r="A837" s="36"/>
    </row>
    <row r="838" spans="1:1">
      <c r="A838" s="36"/>
    </row>
    <row r="839" spans="1:1">
      <c r="A839" s="36"/>
    </row>
    <row r="840" spans="1:1">
      <c r="A840" s="36"/>
    </row>
    <row r="841" spans="1:1">
      <c r="A841" s="36"/>
    </row>
    <row r="842" spans="1:1">
      <c r="A842" s="36"/>
    </row>
    <row r="843" spans="1:1">
      <c r="A843" s="36"/>
    </row>
    <row r="844" spans="1:1">
      <c r="A844" s="36"/>
    </row>
    <row r="845" spans="1:1">
      <c r="A845" s="36"/>
    </row>
    <row r="846" spans="1:1">
      <c r="A846" s="36"/>
    </row>
    <row r="847" spans="1:1">
      <c r="A847" s="36"/>
    </row>
    <row r="848" spans="1:1">
      <c r="A848" s="36"/>
    </row>
    <row r="849" spans="1:1">
      <c r="A849" s="36"/>
    </row>
    <row r="850" spans="1:1">
      <c r="A850" s="36"/>
    </row>
    <row r="851" spans="1:1">
      <c r="A851" s="36"/>
    </row>
    <row r="852" spans="1:1">
      <c r="A852" s="36"/>
    </row>
    <row r="853" spans="1:1">
      <c r="A853" s="36"/>
    </row>
    <row r="854" spans="1:1">
      <c r="A854" s="36"/>
    </row>
    <row r="855" spans="1:1">
      <c r="A855" s="36"/>
    </row>
    <row r="856" spans="1:1">
      <c r="A856" s="36"/>
    </row>
    <row r="857" spans="1:1">
      <c r="A857" s="36"/>
    </row>
    <row r="858" spans="1:1">
      <c r="A858" s="36"/>
    </row>
    <row r="859" spans="1:1">
      <c r="A859" s="36"/>
    </row>
    <row r="860" spans="1:1">
      <c r="A860" s="36"/>
    </row>
    <row r="861" spans="1:1">
      <c r="A861" s="36"/>
    </row>
    <row r="862" spans="1:1">
      <c r="A862" s="36"/>
    </row>
    <row r="863" spans="1:1">
      <c r="A863" s="36"/>
    </row>
    <row r="864" spans="1:1">
      <c r="A864" s="36"/>
    </row>
    <row r="865" spans="1:1">
      <c r="A865" s="36"/>
    </row>
    <row r="866" spans="1:1">
      <c r="A866" s="36"/>
    </row>
    <row r="867" spans="1:1">
      <c r="A867" s="36"/>
    </row>
    <row r="868" spans="1:1">
      <c r="A868" s="36"/>
    </row>
    <row r="869" spans="1:1">
      <c r="A869" s="36"/>
    </row>
    <row r="870" spans="1:1">
      <c r="A870" s="36"/>
    </row>
    <row r="871" spans="1:1">
      <c r="A871" s="36"/>
    </row>
    <row r="872" spans="1:1">
      <c r="A872" s="36"/>
    </row>
    <row r="873" spans="1:1">
      <c r="A873" s="36"/>
    </row>
    <row r="874" spans="1:1">
      <c r="A874" s="36"/>
    </row>
    <row r="875" spans="1:1">
      <c r="A875" s="36"/>
    </row>
    <row r="876" spans="1:1">
      <c r="A876" s="36"/>
    </row>
    <row r="877" spans="1:1">
      <c r="A877" s="36"/>
    </row>
    <row r="878" spans="1:1">
      <c r="A878" s="36"/>
    </row>
    <row r="879" spans="1:1">
      <c r="A879" s="36"/>
    </row>
    <row r="880" spans="1:1">
      <c r="A880" s="36"/>
    </row>
    <row r="881" spans="1:1">
      <c r="A881" s="36"/>
    </row>
    <row r="882" spans="1:1">
      <c r="A882" s="36"/>
    </row>
    <row r="883" spans="1:1">
      <c r="A883" s="36"/>
    </row>
    <row r="884" spans="1:1">
      <c r="A884" s="36"/>
    </row>
    <row r="885" spans="1:1">
      <c r="A885" s="36"/>
    </row>
    <row r="886" spans="1:1">
      <c r="A886" s="36"/>
    </row>
    <row r="887" spans="1:1">
      <c r="A887" s="36"/>
    </row>
    <row r="888" spans="1:1">
      <c r="A888" s="36"/>
    </row>
    <row r="889" spans="1:1">
      <c r="A889" s="36"/>
    </row>
    <row r="890" spans="1:1">
      <c r="A890" s="36"/>
    </row>
    <row r="891" spans="1:1">
      <c r="A891" s="36"/>
    </row>
    <row r="892" spans="1:1">
      <c r="A892" s="36"/>
    </row>
    <row r="893" spans="1:1">
      <c r="A893" s="36"/>
    </row>
    <row r="894" spans="1:1">
      <c r="A894" s="36"/>
    </row>
    <row r="895" spans="1:1">
      <c r="A895" s="36"/>
    </row>
    <row r="896" spans="1:1">
      <c r="A896" s="36"/>
    </row>
    <row r="897" spans="1:1">
      <c r="A897" s="36"/>
    </row>
    <row r="898" spans="1:1">
      <c r="A898" s="36"/>
    </row>
    <row r="899" spans="1:1">
      <c r="A899" s="36"/>
    </row>
    <row r="900" spans="1:1">
      <c r="A900" s="36"/>
    </row>
    <row r="901" spans="1:1">
      <c r="A901" s="36"/>
    </row>
    <row r="902" spans="1:1">
      <c r="A902" s="36"/>
    </row>
    <row r="903" spans="1:1">
      <c r="A903" s="36"/>
    </row>
    <row r="904" spans="1:1">
      <c r="A904" s="36"/>
    </row>
    <row r="905" spans="1:1">
      <c r="A905" s="36"/>
    </row>
    <row r="906" spans="1:1">
      <c r="A906" s="36"/>
    </row>
    <row r="907" spans="1:1">
      <c r="A907" s="36"/>
    </row>
    <row r="908" spans="1:1">
      <c r="A908" s="36"/>
    </row>
    <row r="909" spans="1:1">
      <c r="A909" s="36"/>
    </row>
    <row r="910" spans="1:1">
      <c r="A910" s="36"/>
    </row>
    <row r="911" spans="1:1">
      <c r="A911" s="36"/>
    </row>
    <row r="912" spans="1:1">
      <c r="A912" s="36"/>
    </row>
    <row r="913" spans="1:1">
      <c r="A913" s="36"/>
    </row>
    <row r="914" spans="1:1">
      <c r="A914" s="36"/>
    </row>
    <row r="915" spans="1:1">
      <c r="A915" s="36"/>
    </row>
    <row r="916" spans="1:1">
      <c r="A916" s="36"/>
    </row>
    <row r="917" spans="1:1">
      <c r="A917" s="36"/>
    </row>
    <row r="918" spans="1:1">
      <c r="A918" s="36"/>
    </row>
    <row r="919" spans="1:1">
      <c r="A919" s="36"/>
    </row>
    <row r="920" spans="1:1">
      <c r="A920" s="36"/>
    </row>
    <row r="921" spans="1:1">
      <c r="A921" s="36"/>
    </row>
    <row r="922" spans="1:1">
      <c r="A922" s="36"/>
    </row>
    <row r="923" spans="1:1">
      <c r="A923" s="36"/>
    </row>
    <row r="924" spans="1:1">
      <c r="A924" s="36"/>
    </row>
    <row r="925" spans="1:1">
      <c r="A925" s="36"/>
    </row>
    <row r="926" spans="1:1">
      <c r="A926" s="36"/>
    </row>
    <row r="927" spans="1:1">
      <c r="A927" s="36"/>
    </row>
    <row r="928" spans="1:1">
      <c r="A928" s="36"/>
    </row>
    <row r="929" spans="1:1">
      <c r="A929" s="36"/>
    </row>
    <row r="930" spans="1:1">
      <c r="A930" s="36"/>
    </row>
    <row r="931" spans="1:1">
      <c r="A931" s="36"/>
    </row>
    <row r="932" spans="1:1">
      <c r="A932" s="36"/>
    </row>
    <row r="933" spans="1:1">
      <c r="A933" s="36"/>
    </row>
    <row r="934" spans="1:1">
      <c r="A934" s="36"/>
    </row>
    <row r="935" spans="1:1">
      <c r="A935" s="36"/>
    </row>
    <row r="936" spans="1:1">
      <c r="A936" s="36"/>
    </row>
    <row r="937" spans="1:1">
      <c r="A937" s="36"/>
    </row>
    <row r="938" spans="1:1">
      <c r="A938" s="36"/>
    </row>
    <row r="939" spans="1:1">
      <c r="A939" s="36"/>
    </row>
    <row r="940" spans="1:1">
      <c r="A940" s="36"/>
    </row>
    <row r="941" spans="1:1">
      <c r="A941" s="36"/>
    </row>
    <row r="942" spans="1:1">
      <c r="A942" s="36"/>
    </row>
    <row r="943" spans="1:1">
      <c r="A943" s="36"/>
    </row>
    <row r="944" spans="1:1">
      <c r="A944" s="36"/>
    </row>
    <row r="945" spans="1:1">
      <c r="A945" s="36"/>
    </row>
    <row r="946" spans="1:1">
      <c r="A946" s="36"/>
    </row>
    <row r="947" spans="1:1">
      <c r="A947" s="36"/>
    </row>
    <row r="948" spans="1:1">
      <c r="A948" s="36"/>
    </row>
    <row r="949" spans="1:1">
      <c r="A949" s="36"/>
    </row>
    <row r="950" spans="1:1">
      <c r="A950" s="36"/>
    </row>
    <row r="951" spans="1:1">
      <c r="A951" s="36"/>
    </row>
    <row r="952" spans="1:1">
      <c r="A952" s="36"/>
    </row>
    <row r="953" spans="1:1">
      <c r="A953" s="36"/>
    </row>
    <row r="954" spans="1:1">
      <c r="A954" s="36"/>
    </row>
    <row r="955" spans="1:1">
      <c r="A955" s="36"/>
    </row>
    <row r="956" spans="1:1">
      <c r="A956" s="36"/>
    </row>
    <row r="957" spans="1:1">
      <c r="A957" s="36"/>
    </row>
    <row r="958" spans="1:1">
      <c r="A958" s="36"/>
    </row>
    <row r="959" spans="1:1">
      <c r="A959" s="36"/>
    </row>
    <row r="960" spans="1:1">
      <c r="A960" s="36"/>
    </row>
    <row r="961" spans="1:1">
      <c r="A961" s="36"/>
    </row>
    <row r="962" spans="1:1">
      <c r="A962" s="36"/>
    </row>
    <row r="963" spans="1:1">
      <c r="A963" s="36"/>
    </row>
    <row r="964" spans="1:1">
      <c r="A964" s="36"/>
    </row>
    <row r="965" spans="1:1">
      <c r="A965" s="36"/>
    </row>
    <row r="966" spans="1:1">
      <c r="A966" s="36"/>
    </row>
    <row r="967" spans="1:1">
      <c r="A967" s="36"/>
    </row>
    <row r="968" spans="1:1">
      <c r="A968" s="36"/>
    </row>
    <row r="969" spans="1:1">
      <c r="A969" s="36"/>
    </row>
    <row r="970" spans="1:1">
      <c r="A970" s="36"/>
    </row>
    <row r="971" spans="1:1">
      <c r="A971" s="36"/>
    </row>
    <row r="972" spans="1:1">
      <c r="A972" s="36"/>
    </row>
    <row r="973" spans="1:1">
      <c r="A973" s="36"/>
    </row>
    <row r="974" spans="1:1">
      <c r="A974" s="36"/>
    </row>
    <row r="975" spans="1:1">
      <c r="A975" s="36"/>
    </row>
    <row r="976" spans="1:1">
      <c r="A976" s="36"/>
    </row>
    <row r="977" spans="1:1">
      <c r="A977" s="36"/>
    </row>
    <row r="978" spans="1:1">
      <c r="A978" s="36"/>
    </row>
    <row r="979" spans="1:1">
      <c r="A979" s="36"/>
    </row>
    <row r="980" spans="1:1">
      <c r="A980" s="36"/>
    </row>
    <row r="981" spans="1:1">
      <c r="A981" s="36"/>
    </row>
    <row r="982" spans="1:1">
      <c r="A982" s="36"/>
    </row>
    <row r="983" spans="1:1">
      <c r="A983" s="36"/>
    </row>
    <row r="984" spans="1:1">
      <c r="A984" s="36"/>
    </row>
    <row r="985" spans="1:1">
      <c r="A985" s="36"/>
    </row>
    <row r="986" spans="1:1">
      <c r="A986" s="36"/>
    </row>
    <row r="987" spans="1:1">
      <c r="A987" s="36"/>
    </row>
    <row r="988" spans="1:1">
      <c r="A988" s="36"/>
    </row>
    <row r="989" spans="1:1">
      <c r="A989" s="36"/>
    </row>
    <row r="990" spans="1:1">
      <c r="A990" s="36"/>
    </row>
    <row r="991" spans="1:1">
      <c r="A991" s="36"/>
    </row>
    <row r="992" spans="1:1">
      <c r="A992" s="36"/>
    </row>
  </sheetData>
  <dataConsolidat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000"/>
  <sheetViews>
    <sheetView topLeftCell="A75" workbookViewId="0">
      <selection sqref="A1:J93"/>
    </sheetView>
  </sheetViews>
  <sheetFormatPr defaultColWidth="14.42578125" defaultRowHeight="15" customHeight="1"/>
  <cols>
    <col min="3" max="3" width="16" customWidth="1"/>
    <col min="4" max="4" width="16.85546875" customWidth="1"/>
  </cols>
  <sheetData>
    <row r="1" spans="1:10">
      <c r="A1" s="4" t="s">
        <v>10</v>
      </c>
      <c r="B1" s="4" t="s">
        <v>712</v>
      </c>
      <c r="C1" s="4" t="s">
        <v>713</v>
      </c>
      <c r="D1" s="4" t="s">
        <v>18</v>
      </c>
      <c r="E1" s="4" t="s">
        <v>16</v>
      </c>
      <c r="F1" s="4" t="s">
        <v>714</v>
      </c>
      <c r="G1" s="4" t="s">
        <v>26</v>
      </c>
      <c r="H1" s="4" t="s">
        <v>28</v>
      </c>
      <c r="I1" s="4" t="s">
        <v>715</v>
      </c>
      <c r="J1" s="4" t="s">
        <v>32</v>
      </c>
    </row>
    <row r="2" spans="1:10">
      <c r="A2" s="35">
        <v>45506</v>
      </c>
      <c r="B2" s="38" t="s">
        <v>716</v>
      </c>
      <c r="C2" s="3" t="s">
        <v>717</v>
      </c>
      <c r="D2" s="39" t="s">
        <v>718</v>
      </c>
      <c r="E2" s="38" t="s">
        <v>719</v>
      </c>
      <c r="F2" s="38">
        <v>152000</v>
      </c>
      <c r="G2" s="38" t="s">
        <v>720</v>
      </c>
      <c r="H2" s="38" t="s">
        <v>721</v>
      </c>
      <c r="I2" s="38" t="s">
        <v>722</v>
      </c>
      <c r="J2" s="38" t="s">
        <v>723</v>
      </c>
    </row>
    <row r="3" spans="1:10">
      <c r="A3" s="35">
        <v>45506</v>
      </c>
      <c r="B3" s="38" t="s">
        <v>724</v>
      </c>
      <c r="C3" s="3" t="s">
        <v>725</v>
      </c>
      <c r="D3" s="39" t="s">
        <v>718</v>
      </c>
      <c r="E3" s="38" t="s">
        <v>726</v>
      </c>
      <c r="F3" s="38">
        <v>65000</v>
      </c>
      <c r="G3" s="38" t="s">
        <v>720</v>
      </c>
      <c r="H3" s="38" t="s">
        <v>721</v>
      </c>
      <c r="I3" s="38" t="s">
        <v>722</v>
      </c>
      <c r="J3" s="38" t="s">
        <v>727</v>
      </c>
    </row>
    <row r="4" spans="1:10">
      <c r="A4" s="35">
        <v>45507</v>
      </c>
      <c r="B4" s="38" t="s">
        <v>728</v>
      </c>
      <c r="C4" s="3" t="s">
        <v>725</v>
      </c>
      <c r="D4" s="39" t="s">
        <v>718</v>
      </c>
      <c r="E4" s="38" t="s">
        <v>729</v>
      </c>
      <c r="F4" s="38">
        <v>28000</v>
      </c>
      <c r="G4" s="38" t="s">
        <v>720</v>
      </c>
      <c r="H4" s="38" t="s">
        <v>721</v>
      </c>
      <c r="I4" s="38" t="s">
        <v>722</v>
      </c>
      <c r="J4" s="38" t="s">
        <v>730</v>
      </c>
    </row>
    <row r="5" spans="1:10">
      <c r="A5" s="35">
        <v>45507</v>
      </c>
      <c r="B5" s="38" t="s">
        <v>731</v>
      </c>
      <c r="C5" s="3" t="s">
        <v>732</v>
      </c>
      <c r="D5" s="39" t="s">
        <v>718</v>
      </c>
      <c r="E5" s="38" t="s">
        <v>694</v>
      </c>
      <c r="F5" s="38">
        <v>166000</v>
      </c>
      <c r="G5" s="40" t="s">
        <v>733</v>
      </c>
      <c r="H5" s="38" t="s">
        <v>721</v>
      </c>
      <c r="I5" s="38" t="s">
        <v>722</v>
      </c>
      <c r="J5" s="38" t="s">
        <v>734</v>
      </c>
    </row>
    <row r="6" spans="1:10">
      <c r="A6" s="35">
        <v>45508</v>
      </c>
      <c r="B6" s="38" t="s">
        <v>735</v>
      </c>
      <c r="C6" s="3" t="s">
        <v>736</v>
      </c>
      <c r="D6" s="39" t="s">
        <v>718</v>
      </c>
      <c r="E6" s="38" t="s">
        <v>737</v>
      </c>
      <c r="F6" s="38">
        <v>45500</v>
      </c>
      <c r="G6" s="38" t="s">
        <v>738</v>
      </c>
      <c r="H6" s="38" t="s">
        <v>721</v>
      </c>
      <c r="I6" s="38" t="s">
        <v>722</v>
      </c>
      <c r="J6" s="38" t="s">
        <v>739</v>
      </c>
    </row>
    <row r="7" spans="1:10">
      <c r="A7" s="35">
        <v>45508</v>
      </c>
      <c r="B7" s="38" t="s">
        <v>740</v>
      </c>
      <c r="C7" s="3" t="s">
        <v>725</v>
      </c>
      <c r="D7" s="39" t="s">
        <v>718</v>
      </c>
      <c r="E7" s="38" t="s">
        <v>356</v>
      </c>
      <c r="F7" s="38">
        <v>31000</v>
      </c>
      <c r="G7" s="38" t="s">
        <v>738</v>
      </c>
      <c r="H7" s="38" t="s">
        <v>721</v>
      </c>
      <c r="I7" s="38" t="s">
        <v>722</v>
      </c>
      <c r="J7" s="38" t="s">
        <v>741</v>
      </c>
    </row>
    <row r="8" spans="1:10">
      <c r="A8" s="35">
        <v>45509</v>
      </c>
      <c r="B8" s="38" t="s">
        <v>742</v>
      </c>
      <c r="C8" s="3" t="s">
        <v>743</v>
      </c>
      <c r="D8" s="39" t="s">
        <v>718</v>
      </c>
      <c r="E8" s="38" t="s">
        <v>744</v>
      </c>
      <c r="F8" s="38">
        <v>35300</v>
      </c>
      <c r="G8" s="38" t="s">
        <v>720</v>
      </c>
      <c r="H8" s="38" t="s">
        <v>721</v>
      </c>
      <c r="I8" s="38" t="s">
        <v>722</v>
      </c>
      <c r="J8" s="38" t="s">
        <v>745</v>
      </c>
    </row>
    <row r="9" spans="1:10">
      <c r="A9" s="35">
        <v>45510</v>
      </c>
      <c r="B9" s="38" t="s">
        <v>746</v>
      </c>
      <c r="C9" s="3" t="s">
        <v>736</v>
      </c>
      <c r="D9" s="39" t="s">
        <v>718</v>
      </c>
      <c r="E9" s="38" t="s">
        <v>224</v>
      </c>
      <c r="F9" s="38">
        <v>55000</v>
      </c>
      <c r="G9" s="38" t="s">
        <v>747</v>
      </c>
      <c r="H9" s="38" t="s">
        <v>721</v>
      </c>
      <c r="I9" s="38" t="s">
        <v>722</v>
      </c>
      <c r="J9" s="38" t="s">
        <v>748</v>
      </c>
    </row>
    <row r="10" spans="1:10">
      <c r="A10" s="35">
        <v>45510</v>
      </c>
      <c r="B10" s="38" t="s">
        <v>749</v>
      </c>
      <c r="C10" s="3" t="s">
        <v>736</v>
      </c>
      <c r="D10" s="39" t="s">
        <v>718</v>
      </c>
      <c r="E10" s="38" t="s">
        <v>750</v>
      </c>
      <c r="F10" s="38">
        <v>40500</v>
      </c>
      <c r="G10" s="40" t="s">
        <v>733</v>
      </c>
      <c r="H10" s="38" t="s">
        <v>721</v>
      </c>
      <c r="I10" s="38" t="s">
        <v>722</v>
      </c>
      <c r="J10" s="38" t="s">
        <v>751</v>
      </c>
    </row>
    <row r="11" spans="1:10">
      <c r="A11" s="35">
        <v>45511</v>
      </c>
      <c r="B11" s="38" t="s">
        <v>752</v>
      </c>
      <c r="C11" s="3" t="s">
        <v>732</v>
      </c>
      <c r="D11" s="39" t="s">
        <v>718</v>
      </c>
      <c r="E11" s="38" t="s">
        <v>484</v>
      </c>
      <c r="F11" s="38">
        <v>5000</v>
      </c>
      <c r="G11" s="38" t="s">
        <v>738</v>
      </c>
      <c r="H11" s="38" t="s">
        <v>721</v>
      </c>
      <c r="I11" s="38" t="s">
        <v>722</v>
      </c>
      <c r="J11" s="38" t="s">
        <v>753</v>
      </c>
    </row>
    <row r="12" spans="1:10">
      <c r="A12" s="35">
        <v>45511</v>
      </c>
      <c r="B12" s="38" t="s">
        <v>754</v>
      </c>
      <c r="C12" s="3" t="s">
        <v>755</v>
      </c>
      <c r="D12" s="39" t="s">
        <v>718</v>
      </c>
      <c r="E12" s="38" t="s">
        <v>756</v>
      </c>
      <c r="F12" s="38">
        <v>20000</v>
      </c>
      <c r="G12" s="38" t="s">
        <v>738</v>
      </c>
      <c r="H12" s="38" t="s">
        <v>757</v>
      </c>
      <c r="I12" s="38" t="s">
        <v>722</v>
      </c>
      <c r="J12" s="38" t="s">
        <v>758</v>
      </c>
    </row>
    <row r="13" spans="1:10">
      <c r="A13" s="35">
        <v>45512</v>
      </c>
      <c r="B13" s="38" t="s">
        <v>759</v>
      </c>
      <c r="C13" s="3" t="s">
        <v>736</v>
      </c>
      <c r="D13" s="39" t="s">
        <v>718</v>
      </c>
      <c r="E13" s="38" t="s">
        <v>205</v>
      </c>
      <c r="F13" s="38">
        <v>45000</v>
      </c>
      <c r="G13" s="38" t="s">
        <v>760</v>
      </c>
      <c r="H13" s="38" t="s">
        <v>721</v>
      </c>
      <c r="I13" s="38" t="s">
        <v>722</v>
      </c>
      <c r="J13" s="38" t="s">
        <v>761</v>
      </c>
    </row>
    <row r="14" spans="1:10">
      <c r="A14" s="35">
        <v>45513</v>
      </c>
      <c r="B14" s="38" t="s">
        <v>762</v>
      </c>
      <c r="C14" s="3" t="s">
        <v>732</v>
      </c>
      <c r="D14" s="39" t="s">
        <v>718</v>
      </c>
      <c r="E14" s="38" t="s">
        <v>694</v>
      </c>
      <c r="F14" s="38">
        <v>25000</v>
      </c>
      <c r="G14" s="40" t="s">
        <v>733</v>
      </c>
      <c r="H14" s="38" t="s">
        <v>721</v>
      </c>
      <c r="I14" s="38" t="s">
        <v>722</v>
      </c>
      <c r="J14" s="38" t="s">
        <v>763</v>
      </c>
    </row>
    <row r="15" spans="1:10">
      <c r="A15" s="35">
        <v>45513</v>
      </c>
      <c r="B15" s="38" t="s">
        <v>764</v>
      </c>
      <c r="C15" s="3" t="s">
        <v>765</v>
      </c>
      <c r="D15" s="39" t="s">
        <v>718</v>
      </c>
      <c r="E15" s="38" t="s">
        <v>766</v>
      </c>
      <c r="F15" s="38">
        <v>14000</v>
      </c>
      <c r="G15" s="38" t="s">
        <v>738</v>
      </c>
      <c r="H15" s="38" t="s">
        <v>757</v>
      </c>
      <c r="I15" s="38" t="s">
        <v>722</v>
      </c>
      <c r="J15" s="38" t="s">
        <v>767</v>
      </c>
    </row>
    <row r="16" spans="1:10">
      <c r="A16" s="35">
        <v>45513</v>
      </c>
      <c r="B16" s="38" t="s">
        <v>768</v>
      </c>
      <c r="C16" s="3" t="s">
        <v>769</v>
      </c>
      <c r="D16" s="39" t="s">
        <v>718</v>
      </c>
      <c r="E16" s="38" t="s">
        <v>433</v>
      </c>
      <c r="F16" s="38">
        <v>50000</v>
      </c>
      <c r="G16" s="38" t="s">
        <v>770</v>
      </c>
      <c r="H16" s="38" t="s">
        <v>721</v>
      </c>
      <c r="I16" s="38" t="s">
        <v>722</v>
      </c>
      <c r="J16" s="38" t="s">
        <v>771</v>
      </c>
    </row>
    <row r="17" spans="1:10">
      <c r="A17" s="35">
        <v>45514</v>
      </c>
      <c r="B17" s="38" t="s">
        <v>772</v>
      </c>
      <c r="C17" s="3" t="s">
        <v>773</v>
      </c>
      <c r="D17" s="39" t="s">
        <v>718</v>
      </c>
      <c r="E17" s="38" t="s">
        <v>774</v>
      </c>
      <c r="F17" s="38">
        <v>26000</v>
      </c>
      <c r="G17" s="38" t="s">
        <v>738</v>
      </c>
      <c r="H17" s="38" t="s">
        <v>721</v>
      </c>
      <c r="I17" s="38" t="s">
        <v>722</v>
      </c>
      <c r="J17" s="38" t="s">
        <v>775</v>
      </c>
    </row>
    <row r="18" spans="1:10">
      <c r="A18" s="35">
        <v>45514</v>
      </c>
      <c r="B18" s="38" t="s">
        <v>776</v>
      </c>
      <c r="C18" s="3" t="s">
        <v>725</v>
      </c>
      <c r="D18" s="39" t="s">
        <v>718</v>
      </c>
      <c r="E18" s="38" t="s">
        <v>515</v>
      </c>
      <c r="F18" s="38">
        <v>28000</v>
      </c>
      <c r="G18" s="38" t="s">
        <v>720</v>
      </c>
      <c r="H18" s="38" t="s">
        <v>721</v>
      </c>
      <c r="I18" s="38" t="s">
        <v>722</v>
      </c>
      <c r="J18" s="38" t="s">
        <v>777</v>
      </c>
    </row>
    <row r="19" spans="1:10">
      <c r="A19" s="35">
        <v>45515</v>
      </c>
      <c r="B19" s="38" t="s">
        <v>778</v>
      </c>
      <c r="C19" s="3" t="s">
        <v>725</v>
      </c>
      <c r="D19" s="39" t="s">
        <v>718</v>
      </c>
      <c r="E19" s="38" t="s">
        <v>292</v>
      </c>
      <c r="F19" s="38">
        <v>52800</v>
      </c>
      <c r="G19" s="40" t="s">
        <v>733</v>
      </c>
      <c r="H19" s="38" t="s">
        <v>721</v>
      </c>
      <c r="I19" s="38" t="s">
        <v>722</v>
      </c>
      <c r="J19" s="38" t="s">
        <v>779</v>
      </c>
    </row>
    <row r="20" spans="1:10">
      <c r="A20" s="35">
        <v>45515</v>
      </c>
      <c r="B20" s="38" t="s">
        <v>780</v>
      </c>
      <c r="C20" s="3" t="s">
        <v>781</v>
      </c>
      <c r="D20" s="39" t="s">
        <v>718</v>
      </c>
      <c r="E20" s="38" t="s">
        <v>782</v>
      </c>
      <c r="F20" s="38">
        <v>17500</v>
      </c>
      <c r="G20" s="38" t="s">
        <v>738</v>
      </c>
      <c r="H20" s="38" t="s">
        <v>721</v>
      </c>
      <c r="I20" s="38" t="s">
        <v>722</v>
      </c>
      <c r="J20" s="38" t="s">
        <v>783</v>
      </c>
    </row>
    <row r="21" spans="1:10">
      <c r="A21" s="35">
        <v>45515</v>
      </c>
      <c r="B21" s="38" t="s">
        <v>784</v>
      </c>
      <c r="C21" s="3" t="s">
        <v>781</v>
      </c>
      <c r="D21" s="39" t="s">
        <v>718</v>
      </c>
      <c r="E21" s="38" t="s">
        <v>615</v>
      </c>
      <c r="F21" s="38">
        <v>33000</v>
      </c>
      <c r="G21" s="38" t="s">
        <v>738</v>
      </c>
      <c r="H21" s="38" t="s">
        <v>721</v>
      </c>
      <c r="I21" s="38" t="s">
        <v>722</v>
      </c>
      <c r="J21" s="38" t="s">
        <v>785</v>
      </c>
    </row>
    <row r="22" spans="1:10">
      <c r="A22" s="35">
        <v>45515</v>
      </c>
      <c r="B22" s="38" t="s">
        <v>786</v>
      </c>
      <c r="C22" s="3" t="s">
        <v>725</v>
      </c>
      <c r="D22" s="39" t="s">
        <v>718</v>
      </c>
      <c r="E22" s="38" t="s">
        <v>356</v>
      </c>
      <c r="F22" s="38">
        <v>75000</v>
      </c>
      <c r="G22" s="40" t="s">
        <v>733</v>
      </c>
      <c r="H22" s="38" t="s">
        <v>721</v>
      </c>
      <c r="I22" s="38" t="s">
        <v>722</v>
      </c>
      <c r="J22" s="38" t="s">
        <v>787</v>
      </c>
    </row>
    <row r="23" spans="1:10">
      <c r="A23" s="35">
        <v>45515</v>
      </c>
      <c r="B23" s="38" t="s">
        <v>788</v>
      </c>
      <c r="C23" s="3" t="s">
        <v>736</v>
      </c>
      <c r="D23" s="39" t="s">
        <v>718</v>
      </c>
      <c r="E23" s="38" t="s">
        <v>750</v>
      </c>
      <c r="F23" s="38">
        <v>8000</v>
      </c>
      <c r="G23" s="38" t="s">
        <v>738</v>
      </c>
      <c r="H23" s="38" t="s">
        <v>721</v>
      </c>
      <c r="I23" s="38" t="s">
        <v>722</v>
      </c>
      <c r="J23" s="38" t="s">
        <v>789</v>
      </c>
    </row>
    <row r="24" spans="1:10">
      <c r="A24" s="35">
        <v>45515</v>
      </c>
      <c r="B24" s="38" t="s">
        <v>790</v>
      </c>
      <c r="C24" s="3" t="s">
        <v>725</v>
      </c>
      <c r="D24" s="39" t="s">
        <v>718</v>
      </c>
      <c r="E24" s="38" t="s">
        <v>607</v>
      </c>
      <c r="F24" s="38">
        <v>14000</v>
      </c>
      <c r="G24" s="40" t="s">
        <v>733</v>
      </c>
      <c r="H24" s="38" t="s">
        <v>721</v>
      </c>
      <c r="I24" s="38" t="s">
        <v>722</v>
      </c>
      <c r="J24" s="38" t="s">
        <v>791</v>
      </c>
    </row>
    <row r="25" spans="1:10">
      <c r="A25" s="35">
        <v>45516</v>
      </c>
      <c r="B25" s="38" t="s">
        <v>792</v>
      </c>
      <c r="C25" s="3" t="s">
        <v>736</v>
      </c>
      <c r="D25" s="39" t="s">
        <v>718</v>
      </c>
      <c r="E25" s="38" t="s">
        <v>793</v>
      </c>
      <c r="F25" s="38">
        <v>15000</v>
      </c>
      <c r="G25" s="38" t="s">
        <v>738</v>
      </c>
      <c r="H25" s="38" t="s">
        <v>721</v>
      </c>
      <c r="I25" s="38" t="s">
        <v>722</v>
      </c>
      <c r="J25" s="38" t="s">
        <v>794</v>
      </c>
    </row>
    <row r="26" spans="1:10">
      <c r="A26" s="35">
        <v>45517</v>
      </c>
      <c r="B26" s="38" t="s">
        <v>795</v>
      </c>
      <c r="C26" s="3" t="s">
        <v>725</v>
      </c>
      <c r="D26" s="39" t="s">
        <v>718</v>
      </c>
      <c r="E26" s="38" t="s">
        <v>324</v>
      </c>
      <c r="F26" s="38">
        <v>27200</v>
      </c>
      <c r="G26" s="38" t="s">
        <v>720</v>
      </c>
      <c r="H26" s="38" t="s">
        <v>721</v>
      </c>
      <c r="I26" s="38" t="s">
        <v>722</v>
      </c>
      <c r="J26" s="38" t="s">
        <v>796</v>
      </c>
    </row>
    <row r="27" spans="1:10">
      <c r="A27" s="35">
        <v>45517</v>
      </c>
      <c r="B27" s="38" t="s">
        <v>797</v>
      </c>
      <c r="C27" s="3" t="s">
        <v>278</v>
      </c>
      <c r="D27" s="39" t="s">
        <v>718</v>
      </c>
      <c r="E27" s="38" t="s">
        <v>581</v>
      </c>
      <c r="F27" s="38">
        <v>33000</v>
      </c>
      <c r="G27" s="40" t="s">
        <v>733</v>
      </c>
      <c r="H27" s="38" t="s">
        <v>757</v>
      </c>
      <c r="I27" s="38" t="s">
        <v>722</v>
      </c>
      <c r="J27" s="38" t="s">
        <v>798</v>
      </c>
    </row>
    <row r="28" spans="1:10">
      <c r="A28" s="35">
        <v>45517</v>
      </c>
      <c r="B28" s="38" t="s">
        <v>799</v>
      </c>
      <c r="C28" s="3" t="s">
        <v>725</v>
      </c>
      <c r="D28" s="39" t="s">
        <v>718</v>
      </c>
      <c r="E28" s="38" t="s">
        <v>800</v>
      </c>
      <c r="F28" s="38">
        <v>116500</v>
      </c>
      <c r="G28" s="40" t="s">
        <v>733</v>
      </c>
      <c r="H28" s="38" t="s">
        <v>721</v>
      </c>
      <c r="I28" s="38" t="s">
        <v>722</v>
      </c>
      <c r="J28" s="38" t="s">
        <v>801</v>
      </c>
    </row>
    <row r="29" spans="1:10">
      <c r="A29" s="35">
        <v>45517</v>
      </c>
      <c r="B29" s="38" t="s">
        <v>802</v>
      </c>
      <c r="C29" s="3" t="s">
        <v>725</v>
      </c>
      <c r="D29" s="39" t="s">
        <v>718</v>
      </c>
      <c r="E29" s="38" t="s">
        <v>441</v>
      </c>
      <c r="F29" s="38">
        <v>150000</v>
      </c>
      <c r="G29" s="38" t="s">
        <v>738</v>
      </c>
      <c r="H29" s="38" t="s">
        <v>721</v>
      </c>
      <c r="I29" s="38" t="s">
        <v>722</v>
      </c>
      <c r="J29" s="38" t="s">
        <v>803</v>
      </c>
    </row>
    <row r="30" spans="1:10">
      <c r="A30" s="35">
        <v>45517</v>
      </c>
      <c r="B30" s="38" t="s">
        <v>804</v>
      </c>
      <c r="C30" s="3" t="s">
        <v>725</v>
      </c>
      <c r="D30" s="39" t="s">
        <v>718</v>
      </c>
      <c r="E30" s="38" t="s">
        <v>501</v>
      </c>
      <c r="F30" s="38">
        <v>41800</v>
      </c>
      <c r="G30" s="38" t="s">
        <v>770</v>
      </c>
      <c r="H30" s="38" t="s">
        <v>721</v>
      </c>
      <c r="I30" s="38" t="s">
        <v>722</v>
      </c>
      <c r="J30" s="38" t="s">
        <v>805</v>
      </c>
    </row>
    <row r="31" spans="1:10">
      <c r="A31" s="35">
        <v>45517</v>
      </c>
      <c r="B31" s="38" t="s">
        <v>806</v>
      </c>
      <c r="C31" s="3" t="s">
        <v>725</v>
      </c>
      <c r="D31" s="39" t="s">
        <v>718</v>
      </c>
      <c r="E31" s="38" t="s">
        <v>807</v>
      </c>
      <c r="F31" s="38">
        <v>35000</v>
      </c>
      <c r="G31" s="38" t="s">
        <v>738</v>
      </c>
      <c r="H31" s="38" t="s">
        <v>721</v>
      </c>
      <c r="I31" s="38" t="s">
        <v>722</v>
      </c>
      <c r="J31" s="38" t="s">
        <v>808</v>
      </c>
    </row>
    <row r="32" spans="1:10">
      <c r="A32" s="35">
        <v>45517</v>
      </c>
      <c r="B32" s="38" t="s">
        <v>809</v>
      </c>
      <c r="C32" s="3" t="s">
        <v>781</v>
      </c>
      <c r="D32" s="39" t="s">
        <v>718</v>
      </c>
      <c r="E32" s="38" t="s">
        <v>810</v>
      </c>
      <c r="F32" s="38">
        <v>70000</v>
      </c>
      <c r="G32" s="38" t="s">
        <v>738</v>
      </c>
      <c r="H32" s="38" t="s">
        <v>721</v>
      </c>
      <c r="I32" s="38" t="s">
        <v>722</v>
      </c>
      <c r="J32" s="38" t="s">
        <v>811</v>
      </c>
    </row>
    <row r="33" spans="1:10">
      <c r="A33" s="35">
        <v>45517</v>
      </c>
      <c r="B33" s="38" t="s">
        <v>812</v>
      </c>
      <c r="C33" s="3" t="s">
        <v>736</v>
      </c>
      <c r="D33" s="39" t="s">
        <v>718</v>
      </c>
      <c r="E33" s="38" t="s">
        <v>813</v>
      </c>
      <c r="F33" s="38">
        <v>55500</v>
      </c>
      <c r="G33" s="38" t="s">
        <v>738</v>
      </c>
      <c r="H33" s="38" t="s">
        <v>721</v>
      </c>
      <c r="I33" s="38" t="s">
        <v>722</v>
      </c>
      <c r="J33" s="38" t="s">
        <v>814</v>
      </c>
    </row>
    <row r="34" spans="1:10">
      <c r="A34" s="35">
        <v>45517</v>
      </c>
      <c r="B34" s="38" t="s">
        <v>815</v>
      </c>
      <c r="C34" s="3" t="s">
        <v>769</v>
      </c>
      <c r="D34" s="39" t="s">
        <v>718</v>
      </c>
      <c r="E34" s="38" t="s">
        <v>816</v>
      </c>
      <c r="F34" s="38">
        <v>28000</v>
      </c>
      <c r="G34" s="38" t="s">
        <v>738</v>
      </c>
      <c r="H34" s="38" t="s">
        <v>721</v>
      </c>
      <c r="I34" s="38" t="s">
        <v>722</v>
      </c>
      <c r="J34" s="38" t="s">
        <v>817</v>
      </c>
    </row>
    <row r="35" spans="1:10">
      <c r="A35" s="35">
        <v>45518</v>
      </c>
      <c r="B35" s="38" t="s">
        <v>818</v>
      </c>
      <c r="C35" s="3" t="s">
        <v>769</v>
      </c>
      <c r="D35" s="39" t="s">
        <v>718</v>
      </c>
      <c r="E35" s="38" t="s">
        <v>819</v>
      </c>
      <c r="F35" s="38">
        <v>19000</v>
      </c>
      <c r="G35" s="38" t="s">
        <v>738</v>
      </c>
      <c r="H35" s="38" t="s">
        <v>721</v>
      </c>
      <c r="I35" s="38" t="s">
        <v>722</v>
      </c>
      <c r="J35" s="38" t="s">
        <v>820</v>
      </c>
    </row>
    <row r="36" spans="1:10">
      <c r="A36" s="35">
        <v>45518</v>
      </c>
      <c r="B36" s="38" t="s">
        <v>821</v>
      </c>
      <c r="C36" s="3" t="s">
        <v>773</v>
      </c>
      <c r="D36" s="39" t="s">
        <v>718</v>
      </c>
      <c r="E36" s="38" t="s">
        <v>822</v>
      </c>
      <c r="F36" s="38">
        <v>50000</v>
      </c>
      <c r="G36" s="38" t="s">
        <v>738</v>
      </c>
      <c r="H36" s="38" t="s">
        <v>721</v>
      </c>
      <c r="I36" s="38" t="s">
        <v>722</v>
      </c>
      <c r="J36" s="38" t="s">
        <v>823</v>
      </c>
    </row>
    <row r="37" spans="1:10">
      <c r="A37" s="35">
        <v>45518</v>
      </c>
      <c r="B37" s="38" t="s">
        <v>824</v>
      </c>
      <c r="C37" s="3" t="s">
        <v>725</v>
      </c>
      <c r="D37" s="39" t="s">
        <v>718</v>
      </c>
      <c r="E37" s="38" t="s">
        <v>825</v>
      </c>
      <c r="F37" s="38">
        <v>36000</v>
      </c>
      <c r="G37" s="40" t="s">
        <v>733</v>
      </c>
      <c r="H37" s="38" t="s">
        <v>721</v>
      </c>
      <c r="I37" s="38" t="s">
        <v>722</v>
      </c>
      <c r="J37" s="38" t="s">
        <v>826</v>
      </c>
    </row>
    <row r="38" spans="1:10">
      <c r="A38" s="35">
        <v>45519</v>
      </c>
      <c r="B38" s="38" t="s">
        <v>827</v>
      </c>
      <c r="C38" s="3" t="s">
        <v>725</v>
      </c>
      <c r="D38" s="39" t="s">
        <v>718</v>
      </c>
      <c r="E38" s="38" t="s">
        <v>828</v>
      </c>
      <c r="F38" s="38">
        <v>50000</v>
      </c>
      <c r="G38" s="40" t="s">
        <v>733</v>
      </c>
      <c r="H38" s="38" t="s">
        <v>721</v>
      </c>
      <c r="I38" s="38" t="s">
        <v>722</v>
      </c>
      <c r="J38" s="38" t="s">
        <v>829</v>
      </c>
    </row>
    <row r="39" spans="1:10">
      <c r="A39" s="35">
        <v>45519</v>
      </c>
      <c r="B39" s="38" t="s">
        <v>830</v>
      </c>
      <c r="C39" s="3" t="s">
        <v>732</v>
      </c>
      <c r="D39" s="39" t="s">
        <v>718</v>
      </c>
      <c r="E39" s="38" t="s">
        <v>831</v>
      </c>
      <c r="F39" s="38">
        <v>61000</v>
      </c>
      <c r="G39" s="38" t="s">
        <v>738</v>
      </c>
      <c r="H39" s="38" t="s">
        <v>757</v>
      </c>
      <c r="I39" s="38" t="s">
        <v>722</v>
      </c>
      <c r="J39" s="38" t="s">
        <v>832</v>
      </c>
    </row>
    <row r="40" spans="1:10">
      <c r="A40" s="35">
        <v>45519</v>
      </c>
      <c r="B40" s="38" t="s">
        <v>833</v>
      </c>
      <c r="C40" s="3" t="s">
        <v>732</v>
      </c>
      <c r="D40" s="39" t="s">
        <v>718</v>
      </c>
      <c r="E40" s="38" t="s">
        <v>834</v>
      </c>
      <c r="F40" s="38">
        <v>14000</v>
      </c>
      <c r="G40" s="38" t="s">
        <v>738</v>
      </c>
      <c r="H40" s="38" t="s">
        <v>721</v>
      </c>
      <c r="I40" s="38" t="s">
        <v>722</v>
      </c>
      <c r="J40" s="38" t="s">
        <v>835</v>
      </c>
    </row>
    <row r="41" spans="1:10">
      <c r="A41" s="35">
        <v>45519</v>
      </c>
      <c r="B41" s="38" t="s">
        <v>204</v>
      </c>
      <c r="C41" s="3" t="s">
        <v>736</v>
      </c>
      <c r="D41" s="39" t="s">
        <v>718</v>
      </c>
      <c r="E41" s="38" t="s">
        <v>205</v>
      </c>
      <c r="F41" s="38">
        <v>150000</v>
      </c>
      <c r="G41" s="40" t="s">
        <v>733</v>
      </c>
      <c r="H41" s="38" t="s">
        <v>721</v>
      </c>
      <c r="I41" s="38" t="s">
        <v>722</v>
      </c>
      <c r="J41" s="38" t="s">
        <v>836</v>
      </c>
    </row>
    <row r="42" spans="1:10">
      <c r="A42" s="35">
        <v>45519</v>
      </c>
      <c r="B42" s="38" t="s">
        <v>837</v>
      </c>
      <c r="C42" s="3" t="s">
        <v>725</v>
      </c>
      <c r="D42" s="39" t="s">
        <v>718</v>
      </c>
      <c r="E42" s="38" t="s">
        <v>607</v>
      </c>
      <c r="F42" s="38">
        <v>25000</v>
      </c>
      <c r="G42" s="38" t="s">
        <v>738</v>
      </c>
      <c r="H42" s="38" t="s">
        <v>757</v>
      </c>
      <c r="I42" s="38" t="s">
        <v>722</v>
      </c>
      <c r="J42" s="38" t="s">
        <v>838</v>
      </c>
    </row>
    <row r="43" spans="1:10">
      <c r="A43" s="35">
        <v>45520</v>
      </c>
      <c r="B43" s="38" t="s">
        <v>839</v>
      </c>
      <c r="C43" s="3" t="s">
        <v>769</v>
      </c>
      <c r="D43" s="39" t="s">
        <v>718</v>
      </c>
      <c r="E43" s="38" t="s">
        <v>840</v>
      </c>
      <c r="F43" s="38">
        <v>58000</v>
      </c>
      <c r="G43" s="38" t="s">
        <v>760</v>
      </c>
      <c r="H43" s="38" t="s">
        <v>721</v>
      </c>
      <c r="I43" s="38" t="s">
        <v>722</v>
      </c>
      <c r="J43" s="38" t="s">
        <v>841</v>
      </c>
    </row>
    <row r="44" spans="1:10">
      <c r="A44" s="35">
        <v>45520</v>
      </c>
      <c r="B44" s="38" t="s">
        <v>842</v>
      </c>
      <c r="C44" s="3" t="s">
        <v>781</v>
      </c>
      <c r="D44" s="39" t="s">
        <v>718</v>
      </c>
      <c r="E44" s="38" t="s">
        <v>843</v>
      </c>
      <c r="F44" s="38">
        <v>17500</v>
      </c>
      <c r="G44" s="38" t="s">
        <v>738</v>
      </c>
      <c r="H44" s="38" t="s">
        <v>757</v>
      </c>
      <c r="I44" s="38" t="s">
        <v>722</v>
      </c>
      <c r="J44" s="38" t="s">
        <v>844</v>
      </c>
    </row>
    <row r="45" spans="1:10">
      <c r="A45" s="35">
        <v>45521</v>
      </c>
      <c r="B45" s="38" t="s">
        <v>845</v>
      </c>
      <c r="C45" s="3" t="s">
        <v>736</v>
      </c>
      <c r="D45" s="39" t="s">
        <v>718</v>
      </c>
      <c r="E45" s="38" t="s">
        <v>846</v>
      </c>
      <c r="F45" s="38">
        <v>35300</v>
      </c>
      <c r="G45" s="38" t="s">
        <v>738</v>
      </c>
      <c r="H45" s="38" t="s">
        <v>721</v>
      </c>
      <c r="I45" s="38" t="s">
        <v>722</v>
      </c>
      <c r="J45" s="38" t="s">
        <v>847</v>
      </c>
    </row>
    <row r="46" spans="1:10">
      <c r="A46" s="35">
        <v>45521</v>
      </c>
      <c r="B46" s="38" t="s">
        <v>848</v>
      </c>
      <c r="C46" s="3" t="s">
        <v>736</v>
      </c>
      <c r="D46" s="39" t="s">
        <v>718</v>
      </c>
      <c r="E46" s="38" t="s">
        <v>224</v>
      </c>
      <c r="F46" s="38">
        <v>25000</v>
      </c>
      <c r="G46" s="40" t="s">
        <v>733</v>
      </c>
      <c r="H46" s="38" t="s">
        <v>721</v>
      </c>
      <c r="I46" s="38" t="s">
        <v>722</v>
      </c>
      <c r="J46" s="38" t="s">
        <v>849</v>
      </c>
    </row>
    <row r="47" spans="1:10">
      <c r="A47" s="35">
        <v>45521</v>
      </c>
      <c r="B47" s="38" t="s">
        <v>850</v>
      </c>
      <c r="C47" s="3" t="s">
        <v>755</v>
      </c>
      <c r="D47" s="39" t="s">
        <v>718</v>
      </c>
      <c r="E47" s="38" t="s">
        <v>499</v>
      </c>
      <c r="F47" s="38">
        <v>102000</v>
      </c>
      <c r="G47" s="40" t="s">
        <v>733</v>
      </c>
      <c r="H47" s="38" t="s">
        <v>721</v>
      </c>
      <c r="I47" s="38" t="s">
        <v>722</v>
      </c>
      <c r="J47" s="38" t="s">
        <v>851</v>
      </c>
    </row>
    <row r="48" spans="1:10">
      <c r="A48" s="35">
        <v>45521</v>
      </c>
      <c r="B48" s="38" t="s">
        <v>852</v>
      </c>
      <c r="C48" s="3" t="s">
        <v>736</v>
      </c>
      <c r="D48" s="39" t="s">
        <v>718</v>
      </c>
      <c r="E48" s="38" t="s">
        <v>853</v>
      </c>
      <c r="F48" s="38">
        <v>63000</v>
      </c>
      <c r="G48" s="40" t="s">
        <v>733</v>
      </c>
      <c r="H48" s="38" t="s">
        <v>721</v>
      </c>
      <c r="I48" s="38" t="s">
        <v>722</v>
      </c>
      <c r="J48" s="38" t="s">
        <v>854</v>
      </c>
    </row>
    <row r="49" spans="1:10">
      <c r="A49" s="35">
        <v>45521</v>
      </c>
      <c r="B49" s="38" t="s">
        <v>855</v>
      </c>
      <c r="C49" s="3" t="s">
        <v>725</v>
      </c>
      <c r="D49" s="39" t="s">
        <v>718</v>
      </c>
      <c r="E49" s="38" t="s">
        <v>292</v>
      </c>
      <c r="F49" s="38">
        <v>36000</v>
      </c>
      <c r="G49" s="38" t="s">
        <v>738</v>
      </c>
      <c r="H49" s="38" t="s">
        <v>721</v>
      </c>
      <c r="I49" s="38" t="s">
        <v>722</v>
      </c>
      <c r="J49" s="38" t="s">
        <v>856</v>
      </c>
    </row>
    <row r="50" spans="1:10">
      <c r="A50" s="35">
        <v>45522</v>
      </c>
      <c r="B50" s="38" t="s">
        <v>857</v>
      </c>
      <c r="C50" s="3" t="s">
        <v>743</v>
      </c>
      <c r="D50" s="39" t="s">
        <v>718</v>
      </c>
      <c r="E50" s="38" t="s">
        <v>684</v>
      </c>
      <c r="F50" s="38">
        <v>33500</v>
      </c>
      <c r="G50" s="40" t="s">
        <v>733</v>
      </c>
      <c r="H50" s="38" t="s">
        <v>721</v>
      </c>
      <c r="I50" s="38" t="s">
        <v>722</v>
      </c>
      <c r="J50" s="38" t="s">
        <v>858</v>
      </c>
    </row>
    <row r="51" spans="1:10">
      <c r="A51" s="35">
        <v>45522</v>
      </c>
      <c r="B51" s="38" t="s">
        <v>859</v>
      </c>
      <c r="C51" s="3" t="s">
        <v>725</v>
      </c>
      <c r="D51" s="39" t="s">
        <v>718</v>
      </c>
      <c r="E51" s="38" t="s">
        <v>501</v>
      </c>
      <c r="F51" s="38">
        <v>33000</v>
      </c>
      <c r="G51" s="40" t="s">
        <v>733</v>
      </c>
      <c r="H51" s="38" t="s">
        <v>721</v>
      </c>
      <c r="I51" s="38" t="s">
        <v>722</v>
      </c>
      <c r="J51" s="38" t="s">
        <v>860</v>
      </c>
    </row>
    <row r="52" spans="1:10">
      <c r="A52" s="35">
        <v>45522</v>
      </c>
      <c r="B52" s="38" t="s">
        <v>861</v>
      </c>
      <c r="C52" s="3" t="s">
        <v>755</v>
      </c>
      <c r="D52" s="39" t="s">
        <v>718</v>
      </c>
      <c r="E52" s="38" t="s">
        <v>862</v>
      </c>
      <c r="F52" s="38">
        <v>38000</v>
      </c>
      <c r="G52" s="38" t="s">
        <v>738</v>
      </c>
      <c r="H52" s="38" t="s">
        <v>721</v>
      </c>
      <c r="I52" s="38" t="s">
        <v>722</v>
      </c>
      <c r="J52" s="38" t="s">
        <v>863</v>
      </c>
    </row>
    <row r="53" spans="1:10">
      <c r="A53" s="35">
        <v>45522</v>
      </c>
      <c r="B53" s="38" t="s">
        <v>864</v>
      </c>
      <c r="C53" s="3" t="s">
        <v>743</v>
      </c>
      <c r="D53" s="39" t="s">
        <v>718</v>
      </c>
      <c r="E53" s="38" t="s">
        <v>684</v>
      </c>
      <c r="F53" s="38">
        <v>24000</v>
      </c>
      <c r="G53" s="38" t="s">
        <v>738</v>
      </c>
      <c r="H53" s="38" t="s">
        <v>721</v>
      </c>
      <c r="I53" s="38" t="s">
        <v>722</v>
      </c>
      <c r="J53" s="38" t="s">
        <v>865</v>
      </c>
    </row>
    <row r="54" spans="1:10">
      <c r="A54" s="35">
        <v>45522</v>
      </c>
      <c r="B54" s="38" t="s">
        <v>866</v>
      </c>
      <c r="C54" s="3" t="s">
        <v>725</v>
      </c>
      <c r="D54" s="39" t="s">
        <v>718</v>
      </c>
      <c r="E54" s="38" t="s">
        <v>867</v>
      </c>
      <c r="F54" s="38">
        <v>40000</v>
      </c>
      <c r="G54" s="38" t="s">
        <v>738</v>
      </c>
      <c r="H54" s="38" t="s">
        <v>721</v>
      </c>
      <c r="I54" s="38" t="s">
        <v>722</v>
      </c>
      <c r="J54" s="38" t="s">
        <v>868</v>
      </c>
    </row>
    <row r="55" spans="1:10">
      <c r="A55" s="35">
        <v>45522</v>
      </c>
      <c r="B55" s="38" t="s">
        <v>869</v>
      </c>
      <c r="C55" s="3" t="s">
        <v>736</v>
      </c>
      <c r="D55" s="39" t="s">
        <v>718</v>
      </c>
      <c r="E55" s="38" t="s">
        <v>750</v>
      </c>
      <c r="F55" s="38">
        <v>8800</v>
      </c>
      <c r="G55" s="38" t="s">
        <v>770</v>
      </c>
      <c r="H55" s="38" t="s">
        <v>721</v>
      </c>
      <c r="I55" s="38" t="s">
        <v>722</v>
      </c>
      <c r="J55" s="38" t="s">
        <v>870</v>
      </c>
    </row>
    <row r="56" spans="1:10">
      <c r="A56" s="35">
        <v>45522</v>
      </c>
      <c r="B56" s="38" t="s">
        <v>871</v>
      </c>
      <c r="C56" s="3" t="s">
        <v>725</v>
      </c>
      <c r="D56" s="39" t="s">
        <v>718</v>
      </c>
      <c r="E56" s="38" t="s">
        <v>872</v>
      </c>
      <c r="F56" s="38">
        <v>28000</v>
      </c>
      <c r="G56" s="38" t="s">
        <v>738</v>
      </c>
      <c r="H56" s="38" t="s">
        <v>721</v>
      </c>
      <c r="I56" s="38" t="s">
        <v>722</v>
      </c>
      <c r="J56" s="38" t="s">
        <v>873</v>
      </c>
    </row>
    <row r="57" spans="1:10">
      <c r="A57" s="35">
        <v>45523</v>
      </c>
      <c r="B57" s="38" t="s">
        <v>874</v>
      </c>
      <c r="C57" s="3" t="s">
        <v>725</v>
      </c>
      <c r="D57" s="39" t="s">
        <v>718</v>
      </c>
      <c r="E57" s="38" t="s">
        <v>807</v>
      </c>
      <c r="F57" s="38">
        <v>65000</v>
      </c>
      <c r="G57" s="40" t="s">
        <v>733</v>
      </c>
      <c r="H57" s="38" t="s">
        <v>721</v>
      </c>
      <c r="I57" s="38" t="s">
        <v>722</v>
      </c>
      <c r="J57" s="38" t="s">
        <v>875</v>
      </c>
    </row>
    <row r="58" spans="1:10">
      <c r="A58" s="35">
        <v>45523</v>
      </c>
      <c r="B58" s="38" t="s">
        <v>876</v>
      </c>
      <c r="C58" s="3" t="s">
        <v>725</v>
      </c>
      <c r="D58" s="39" t="s">
        <v>718</v>
      </c>
      <c r="E58" s="38" t="s">
        <v>877</v>
      </c>
      <c r="F58" s="38">
        <v>11000</v>
      </c>
      <c r="G58" s="40" t="s">
        <v>733</v>
      </c>
      <c r="H58" s="38" t="s">
        <v>721</v>
      </c>
      <c r="I58" s="38" t="s">
        <v>722</v>
      </c>
      <c r="J58" s="38" t="s">
        <v>878</v>
      </c>
    </row>
    <row r="59" spans="1:10">
      <c r="A59" s="35">
        <v>45523</v>
      </c>
      <c r="B59" s="38" t="s">
        <v>879</v>
      </c>
      <c r="C59" s="3" t="s">
        <v>769</v>
      </c>
      <c r="D59" s="39" t="s">
        <v>718</v>
      </c>
      <c r="E59" s="38" t="s">
        <v>880</v>
      </c>
      <c r="F59" s="38">
        <v>75000</v>
      </c>
      <c r="G59" s="38" t="s">
        <v>720</v>
      </c>
      <c r="H59" s="38" t="s">
        <v>721</v>
      </c>
      <c r="I59" s="38" t="s">
        <v>722</v>
      </c>
      <c r="J59" s="38" t="s">
        <v>881</v>
      </c>
    </row>
    <row r="60" spans="1:10">
      <c r="A60" s="35">
        <v>45524</v>
      </c>
      <c r="B60" s="38" t="s">
        <v>882</v>
      </c>
      <c r="C60" s="3" t="s">
        <v>725</v>
      </c>
      <c r="D60" s="39" t="s">
        <v>718</v>
      </c>
      <c r="E60" s="38" t="s">
        <v>883</v>
      </c>
      <c r="F60" s="38">
        <v>50000</v>
      </c>
      <c r="G60" s="38" t="s">
        <v>738</v>
      </c>
      <c r="H60" s="38" t="s">
        <v>757</v>
      </c>
      <c r="I60" s="38" t="s">
        <v>722</v>
      </c>
      <c r="J60" s="38" t="s">
        <v>884</v>
      </c>
    </row>
    <row r="61" spans="1:10">
      <c r="A61" s="35">
        <v>45524</v>
      </c>
      <c r="B61" s="38" t="s">
        <v>885</v>
      </c>
      <c r="C61" s="3" t="s">
        <v>755</v>
      </c>
      <c r="D61" s="39" t="s">
        <v>718</v>
      </c>
      <c r="E61" s="38" t="s">
        <v>886</v>
      </c>
      <c r="F61" s="38">
        <v>27200</v>
      </c>
      <c r="G61" s="38" t="s">
        <v>738</v>
      </c>
      <c r="H61" s="38" t="s">
        <v>721</v>
      </c>
      <c r="I61" s="38" t="s">
        <v>722</v>
      </c>
      <c r="J61" s="38" t="s">
        <v>887</v>
      </c>
    </row>
    <row r="62" spans="1:10">
      <c r="A62" s="35">
        <v>45524</v>
      </c>
      <c r="B62" s="38" t="s">
        <v>888</v>
      </c>
      <c r="C62" s="3" t="s">
        <v>732</v>
      </c>
      <c r="D62" s="39" t="s">
        <v>718</v>
      </c>
      <c r="E62" s="38" t="s">
        <v>526</v>
      </c>
      <c r="F62" s="38">
        <v>19000</v>
      </c>
      <c r="G62" s="38" t="s">
        <v>720</v>
      </c>
      <c r="H62" s="38" t="s">
        <v>757</v>
      </c>
      <c r="I62" s="38" t="s">
        <v>722</v>
      </c>
      <c r="J62" s="38" t="s">
        <v>889</v>
      </c>
    </row>
    <row r="63" spans="1:10">
      <c r="A63" s="35">
        <v>45525</v>
      </c>
      <c r="B63" s="38" t="s">
        <v>890</v>
      </c>
      <c r="C63" s="3" t="s">
        <v>769</v>
      </c>
      <c r="D63" s="39" t="s">
        <v>718</v>
      </c>
      <c r="E63" s="38" t="s">
        <v>891</v>
      </c>
      <c r="F63" s="38">
        <v>14000</v>
      </c>
      <c r="G63" s="40" t="s">
        <v>733</v>
      </c>
      <c r="H63" s="38" t="s">
        <v>721</v>
      </c>
      <c r="I63" s="38" t="s">
        <v>722</v>
      </c>
      <c r="J63" s="38" t="s">
        <v>892</v>
      </c>
    </row>
    <row r="64" spans="1:10">
      <c r="A64" s="35">
        <v>45525</v>
      </c>
      <c r="B64" s="38" t="s">
        <v>893</v>
      </c>
      <c r="C64" s="3" t="s">
        <v>781</v>
      </c>
      <c r="D64" s="39" t="s">
        <v>718</v>
      </c>
      <c r="E64" s="38" t="s">
        <v>894</v>
      </c>
      <c r="F64" s="38">
        <v>50000</v>
      </c>
      <c r="G64" s="40" t="s">
        <v>733</v>
      </c>
      <c r="H64" s="38" t="s">
        <v>721</v>
      </c>
      <c r="I64" s="38" t="s">
        <v>722</v>
      </c>
      <c r="J64" s="38" t="s">
        <v>895</v>
      </c>
    </row>
    <row r="65" spans="1:10">
      <c r="A65" s="35">
        <v>45525</v>
      </c>
      <c r="B65" s="38" t="s">
        <v>896</v>
      </c>
      <c r="C65" s="3" t="s">
        <v>769</v>
      </c>
      <c r="D65" s="39" t="s">
        <v>718</v>
      </c>
      <c r="E65" s="38" t="s">
        <v>897</v>
      </c>
      <c r="F65" s="38">
        <v>116500</v>
      </c>
      <c r="G65" s="40" t="s">
        <v>733</v>
      </c>
      <c r="H65" s="38" t="s">
        <v>721</v>
      </c>
      <c r="I65" s="38" t="s">
        <v>722</v>
      </c>
      <c r="J65" s="38" t="s">
        <v>898</v>
      </c>
    </row>
    <row r="66" spans="1:10">
      <c r="A66" s="35">
        <v>45526</v>
      </c>
      <c r="B66" s="38" t="s">
        <v>899</v>
      </c>
      <c r="C66" s="3" t="s">
        <v>725</v>
      </c>
      <c r="D66" s="39" t="s">
        <v>718</v>
      </c>
      <c r="E66" s="38" t="s">
        <v>501</v>
      </c>
      <c r="F66" s="38">
        <v>81000</v>
      </c>
      <c r="G66" s="38" t="s">
        <v>738</v>
      </c>
      <c r="H66" s="38" t="s">
        <v>721</v>
      </c>
      <c r="I66" s="38" t="s">
        <v>722</v>
      </c>
      <c r="J66" s="38" t="s">
        <v>900</v>
      </c>
    </row>
    <row r="67" spans="1:10">
      <c r="A67" s="35">
        <v>45526</v>
      </c>
      <c r="B67" s="38" t="s">
        <v>901</v>
      </c>
      <c r="C67" s="3" t="s">
        <v>736</v>
      </c>
      <c r="D67" s="39" t="s">
        <v>718</v>
      </c>
      <c r="E67" s="38" t="s">
        <v>902</v>
      </c>
      <c r="F67" s="38">
        <v>26000</v>
      </c>
      <c r="G67" s="38" t="s">
        <v>738</v>
      </c>
      <c r="H67" s="38" t="s">
        <v>721</v>
      </c>
      <c r="I67" s="38" t="s">
        <v>722</v>
      </c>
      <c r="J67" s="38" t="s">
        <v>903</v>
      </c>
    </row>
    <row r="68" spans="1:10">
      <c r="A68" s="35">
        <v>45526</v>
      </c>
      <c r="B68" s="38" t="s">
        <v>904</v>
      </c>
      <c r="C68" s="3" t="s">
        <v>725</v>
      </c>
      <c r="D68" s="39" t="s">
        <v>718</v>
      </c>
      <c r="E68" s="38" t="s">
        <v>441</v>
      </c>
      <c r="F68" s="38">
        <v>57500</v>
      </c>
      <c r="G68" s="38" t="s">
        <v>738</v>
      </c>
      <c r="H68" s="38" t="s">
        <v>721</v>
      </c>
      <c r="I68" s="38" t="s">
        <v>722</v>
      </c>
      <c r="J68" s="38" t="s">
        <v>905</v>
      </c>
    </row>
    <row r="69" spans="1:10">
      <c r="A69" s="35">
        <v>45526</v>
      </c>
      <c r="B69" s="38" t="s">
        <v>906</v>
      </c>
      <c r="C69" s="3" t="s">
        <v>743</v>
      </c>
      <c r="D69" s="39" t="s">
        <v>718</v>
      </c>
      <c r="E69" s="38" t="s">
        <v>684</v>
      </c>
      <c r="F69" s="38">
        <v>19000</v>
      </c>
      <c r="G69" s="38" t="s">
        <v>720</v>
      </c>
      <c r="H69" s="38" t="s">
        <v>721</v>
      </c>
      <c r="I69" s="38" t="s">
        <v>722</v>
      </c>
      <c r="J69" s="38" t="s">
        <v>907</v>
      </c>
    </row>
    <row r="70" spans="1:10">
      <c r="A70" s="35">
        <v>45528</v>
      </c>
      <c r="B70" s="38" t="s">
        <v>908</v>
      </c>
      <c r="C70" s="3" t="s">
        <v>725</v>
      </c>
      <c r="D70" s="39" t="s">
        <v>718</v>
      </c>
      <c r="E70" s="38" t="s">
        <v>909</v>
      </c>
      <c r="F70" s="38">
        <v>26500</v>
      </c>
      <c r="G70" s="40" t="s">
        <v>733</v>
      </c>
      <c r="H70" s="38" t="s">
        <v>721</v>
      </c>
      <c r="I70" s="38" t="s">
        <v>722</v>
      </c>
      <c r="J70" s="38" t="s">
        <v>910</v>
      </c>
    </row>
    <row r="71" spans="1:10">
      <c r="A71" s="35">
        <v>45528</v>
      </c>
      <c r="B71" s="38" t="s">
        <v>911</v>
      </c>
      <c r="C71" s="3" t="s">
        <v>725</v>
      </c>
      <c r="D71" s="39" t="s">
        <v>718</v>
      </c>
      <c r="E71" s="38" t="s">
        <v>441</v>
      </c>
      <c r="F71" s="38">
        <v>40000</v>
      </c>
      <c r="G71" s="38" t="s">
        <v>738</v>
      </c>
      <c r="H71" s="38" t="s">
        <v>721</v>
      </c>
      <c r="I71" s="38" t="s">
        <v>722</v>
      </c>
      <c r="J71" s="38" t="s">
        <v>912</v>
      </c>
    </row>
    <row r="72" spans="1:10">
      <c r="A72" s="35">
        <v>45528</v>
      </c>
      <c r="B72" s="38" t="s">
        <v>913</v>
      </c>
      <c r="C72" s="3" t="s">
        <v>736</v>
      </c>
      <c r="D72" s="39" t="s">
        <v>718</v>
      </c>
      <c r="E72" s="38" t="s">
        <v>224</v>
      </c>
      <c r="F72" s="38">
        <v>45000</v>
      </c>
      <c r="G72" s="38" t="s">
        <v>738</v>
      </c>
      <c r="H72" s="38" t="s">
        <v>721</v>
      </c>
      <c r="I72" s="38" t="s">
        <v>722</v>
      </c>
      <c r="J72" s="38" t="s">
        <v>914</v>
      </c>
    </row>
    <row r="73" spans="1:10">
      <c r="A73" s="35">
        <v>45529</v>
      </c>
      <c r="B73" s="38" t="s">
        <v>915</v>
      </c>
      <c r="C73" s="3" t="s">
        <v>743</v>
      </c>
      <c r="D73" s="39" t="s">
        <v>718</v>
      </c>
      <c r="E73" s="38" t="s">
        <v>684</v>
      </c>
      <c r="F73" s="38">
        <v>70000</v>
      </c>
      <c r="G73" s="40" t="s">
        <v>733</v>
      </c>
      <c r="H73" s="38" t="s">
        <v>721</v>
      </c>
      <c r="I73" s="38" t="s">
        <v>722</v>
      </c>
      <c r="J73" s="38" t="s">
        <v>916</v>
      </c>
    </row>
    <row r="74" spans="1:10">
      <c r="A74" s="35">
        <v>45530</v>
      </c>
      <c r="B74" s="38" t="s">
        <v>917</v>
      </c>
      <c r="C74" s="3" t="s">
        <v>725</v>
      </c>
      <c r="D74" s="39" t="s">
        <v>718</v>
      </c>
      <c r="E74" s="38" t="s">
        <v>909</v>
      </c>
      <c r="F74" s="38">
        <v>10000</v>
      </c>
      <c r="G74" s="38" t="s">
        <v>770</v>
      </c>
      <c r="H74" s="38" t="s">
        <v>721</v>
      </c>
      <c r="I74" s="38" t="s">
        <v>722</v>
      </c>
      <c r="J74" s="38" t="s">
        <v>918</v>
      </c>
    </row>
    <row r="75" spans="1:10">
      <c r="A75" s="35">
        <v>45530</v>
      </c>
      <c r="B75" s="38" t="s">
        <v>919</v>
      </c>
      <c r="C75" s="3" t="s">
        <v>736</v>
      </c>
      <c r="D75" s="39" t="s">
        <v>718</v>
      </c>
      <c r="E75" s="38" t="s">
        <v>846</v>
      </c>
      <c r="F75" s="38">
        <v>33000</v>
      </c>
      <c r="G75" s="38" t="s">
        <v>738</v>
      </c>
      <c r="H75" s="38" t="s">
        <v>721</v>
      </c>
      <c r="I75" s="38" t="s">
        <v>722</v>
      </c>
      <c r="J75" s="38" t="s">
        <v>920</v>
      </c>
    </row>
    <row r="76" spans="1:10">
      <c r="A76" s="35">
        <v>45531</v>
      </c>
      <c r="B76" s="38" t="s">
        <v>921</v>
      </c>
      <c r="C76" s="3" t="s">
        <v>769</v>
      </c>
      <c r="D76" s="39" t="s">
        <v>718</v>
      </c>
      <c r="E76" s="38" t="s">
        <v>840</v>
      </c>
      <c r="F76" s="38">
        <v>25000</v>
      </c>
      <c r="G76" s="38" t="s">
        <v>760</v>
      </c>
      <c r="H76" s="38" t="s">
        <v>721</v>
      </c>
      <c r="I76" s="38" t="s">
        <v>722</v>
      </c>
      <c r="J76" s="38" t="s">
        <v>922</v>
      </c>
    </row>
    <row r="77" spans="1:10">
      <c r="A77" s="35">
        <v>45531</v>
      </c>
      <c r="B77" s="38" t="s">
        <v>923</v>
      </c>
      <c r="C77" s="3" t="s">
        <v>743</v>
      </c>
      <c r="D77" s="39" t="s">
        <v>718</v>
      </c>
      <c r="E77" s="38" t="s">
        <v>684</v>
      </c>
      <c r="F77" s="38">
        <v>28000</v>
      </c>
      <c r="G77" s="38" t="s">
        <v>770</v>
      </c>
      <c r="H77" s="38" t="s">
        <v>721</v>
      </c>
      <c r="I77" s="38" t="s">
        <v>722</v>
      </c>
      <c r="J77" s="38" t="s">
        <v>924</v>
      </c>
    </row>
    <row r="78" spans="1:10">
      <c r="A78" s="35">
        <v>45531</v>
      </c>
      <c r="B78" s="38" t="s">
        <v>925</v>
      </c>
      <c r="C78" s="3" t="s">
        <v>769</v>
      </c>
      <c r="D78" s="39" t="s">
        <v>718</v>
      </c>
      <c r="E78" s="38" t="s">
        <v>816</v>
      </c>
      <c r="F78" s="38">
        <v>33000</v>
      </c>
      <c r="G78" s="40" t="s">
        <v>733</v>
      </c>
      <c r="H78" s="38" t="s">
        <v>721</v>
      </c>
      <c r="I78" s="38" t="s">
        <v>722</v>
      </c>
      <c r="J78" s="38" t="s">
        <v>926</v>
      </c>
    </row>
    <row r="79" spans="1:10">
      <c r="A79" s="35">
        <v>45531</v>
      </c>
      <c r="B79" s="38" t="s">
        <v>927</v>
      </c>
      <c r="C79" s="3" t="s">
        <v>725</v>
      </c>
      <c r="D79" s="39" t="s">
        <v>718</v>
      </c>
      <c r="E79" s="38" t="s">
        <v>292</v>
      </c>
      <c r="F79" s="38">
        <v>50000</v>
      </c>
      <c r="G79" s="38" t="s">
        <v>738</v>
      </c>
      <c r="H79" s="38" t="s">
        <v>721</v>
      </c>
      <c r="I79" s="38" t="s">
        <v>722</v>
      </c>
      <c r="J79" s="38" t="s">
        <v>928</v>
      </c>
    </row>
    <row r="80" spans="1:10">
      <c r="A80" s="35">
        <v>45531</v>
      </c>
      <c r="B80" s="38" t="s">
        <v>929</v>
      </c>
      <c r="C80" s="3" t="s">
        <v>725</v>
      </c>
      <c r="D80" s="39" t="s">
        <v>718</v>
      </c>
      <c r="E80" s="38" t="s">
        <v>292</v>
      </c>
      <c r="F80" s="38">
        <v>166000</v>
      </c>
      <c r="G80" s="38" t="s">
        <v>738</v>
      </c>
      <c r="H80" s="38" t="s">
        <v>721</v>
      </c>
      <c r="I80" s="38" t="s">
        <v>722</v>
      </c>
      <c r="J80" s="38" t="s">
        <v>930</v>
      </c>
    </row>
    <row r="81" spans="1:10">
      <c r="A81" s="35">
        <v>45531</v>
      </c>
      <c r="B81" s="38" t="s">
        <v>931</v>
      </c>
      <c r="C81" s="3" t="s">
        <v>769</v>
      </c>
      <c r="D81" s="39" t="s">
        <v>718</v>
      </c>
      <c r="E81" s="38" t="s">
        <v>932</v>
      </c>
      <c r="F81" s="38">
        <v>150000</v>
      </c>
      <c r="G81" s="38" t="s">
        <v>770</v>
      </c>
      <c r="H81" s="38" t="s">
        <v>721</v>
      </c>
      <c r="I81" s="38" t="s">
        <v>722</v>
      </c>
      <c r="J81" s="38" t="s">
        <v>933</v>
      </c>
    </row>
    <row r="82" spans="1:10">
      <c r="A82" s="35">
        <v>45532</v>
      </c>
      <c r="B82" s="38" t="s">
        <v>934</v>
      </c>
      <c r="C82" s="3" t="s">
        <v>769</v>
      </c>
      <c r="D82" s="39" t="s">
        <v>718</v>
      </c>
      <c r="E82" s="38" t="s">
        <v>433</v>
      </c>
      <c r="F82" s="38">
        <v>152000</v>
      </c>
      <c r="G82" s="40" t="s">
        <v>733</v>
      </c>
      <c r="H82" s="38" t="s">
        <v>721</v>
      </c>
      <c r="I82" s="38" t="s">
        <v>722</v>
      </c>
      <c r="J82" s="38" t="s">
        <v>935</v>
      </c>
    </row>
    <row r="83" spans="1:10">
      <c r="A83" s="35">
        <v>45533</v>
      </c>
      <c r="B83" s="38" t="s">
        <v>936</v>
      </c>
      <c r="C83" s="3" t="s">
        <v>769</v>
      </c>
      <c r="D83" s="39" t="s">
        <v>718</v>
      </c>
      <c r="E83" s="38" t="s">
        <v>937</v>
      </c>
      <c r="F83" s="38">
        <v>28000</v>
      </c>
      <c r="G83" s="40" t="s">
        <v>733</v>
      </c>
      <c r="H83" s="38" t="s">
        <v>721</v>
      </c>
      <c r="I83" s="38" t="s">
        <v>722</v>
      </c>
      <c r="J83" s="38" t="s">
        <v>938</v>
      </c>
    </row>
    <row r="84" spans="1:10">
      <c r="A84" s="35">
        <v>45533</v>
      </c>
      <c r="B84" s="38" t="s">
        <v>939</v>
      </c>
      <c r="C84" s="3" t="s">
        <v>755</v>
      </c>
      <c r="D84" s="39" t="s">
        <v>718</v>
      </c>
      <c r="E84" s="38" t="s">
        <v>940</v>
      </c>
      <c r="F84" s="38">
        <v>56000</v>
      </c>
      <c r="G84" s="38" t="s">
        <v>770</v>
      </c>
      <c r="H84" s="38" t="s">
        <v>721</v>
      </c>
      <c r="I84" s="38" t="s">
        <v>722</v>
      </c>
      <c r="J84" s="38" t="s">
        <v>941</v>
      </c>
    </row>
    <row r="85" spans="1:10">
      <c r="A85" s="35">
        <v>45533</v>
      </c>
      <c r="B85" s="38" t="s">
        <v>942</v>
      </c>
      <c r="C85" s="3" t="s">
        <v>755</v>
      </c>
      <c r="D85" s="39" t="s">
        <v>718</v>
      </c>
      <c r="E85" s="38" t="s">
        <v>943</v>
      </c>
      <c r="F85" s="38">
        <v>41800</v>
      </c>
      <c r="G85" s="40" t="s">
        <v>733</v>
      </c>
      <c r="H85" s="38" t="s">
        <v>721</v>
      </c>
      <c r="I85" s="38" t="s">
        <v>722</v>
      </c>
      <c r="J85" s="38" t="s">
        <v>944</v>
      </c>
    </row>
    <row r="86" spans="1:10">
      <c r="A86" s="35">
        <v>45534</v>
      </c>
      <c r="B86" s="38" t="s">
        <v>945</v>
      </c>
      <c r="C86" s="3" t="s">
        <v>732</v>
      </c>
      <c r="D86" s="39" t="s">
        <v>718</v>
      </c>
      <c r="E86" s="38" t="s">
        <v>946</v>
      </c>
      <c r="F86" s="38">
        <v>45000</v>
      </c>
      <c r="G86" s="40" t="s">
        <v>733</v>
      </c>
      <c r="H86" s="38" t="s">
        <v>721</v>
      </c>
      <c r="I86" s="38" t="s">
        <v>722</v>
      </c>
      <c r="J86" s="38" t="s">
        <v>947</v>
      </c>
    </row>
    <row r="87" spans="1:10">
      <c r="A87" s="35">
        <v>45534</v>
      </c>
      <c r="B87" s="38" t="s">
        <v>948</v>
      </c>
      <c r="C87" s="3" t="s">
        <v>725</v>
      </c>
      <c r="D87" s="39" t="s">
        <v>718</v>
      </c>
      <c r="E87" s="38" t="s">
        <v>501</v>
      </c>
      <c r="F87" s="38">
        <v>20000</v>
      </c>
      <c r="G87" s="38" t="s">
        <v>720</v>
      </c>
      <c r="H87" s="38" t="s">
        <v>721</v>
      </c>
      <c r="I87" s="38" t="s">
        <v>722</v>
      </c>
      <c r="J87" s="38" t="s">
        <v>949</v>
      </c>
    </row>
    <row r="88" spans="1:10">
      <c r="A88" s="35">
        <v>45534</v>
      </c>
      <c r="B88" s="38" t="s">
        <v>950</v>
      </c>
      <c r="C88" s="3" t="s">
        <v>725</v>
      </c>
      <c r="D88" s="39" t="s">
        <v>718</v>
      </c>
      <c r="E88" s="38" t="s">
        <v>800</v>
      </c>
      <c r="F88" s="38">
        <v>100000</v>
      </c>
      <c r="G88" s="38" t="s">
        <v>738</v>
      </c>
      <c r="H88" s="38" t="s">
        <v>721</v>
      </c>
      <c r="I88" s="38" t="s">
        <v>722</v>
      </c>
      <c r="J88" s="38" t="s">
        <v>951</v>
      </c>
    </row>
    <row r="89" spans="1:10">
      <c r="A89" s="35">
        <v>45534</v>
      </c>
      <c r="B89" s="38" t="s">
        <v>952</v>
      </c>
      <c r="C89" s="3" t="s">
        <v>725</v>
      </c>
      <c r="D89" s="39" t="s">
        <v>718</v>
      </c>
      <c r="E89" s="38" t="s">
        <v>524</v>
      </c>
      <c r="F89" s="38">
        <v>17000</v>
      </c>
      <c r="G89" s="38" t="s">
        <v>738</v>
      </c>
      <c r="H89" s="38" t="s">
        <v>721</v>
      </c>
      <c r="I89" s="38" t="s">
        <v>722</v>
      </c>
      <c r="J89" s="38" t="s">
        <v>953</v>
      </c>
    </row>
    <row r="90" spans="1:10">
      <c r="A90" s="35">
        <v>45535</v>
      </c>
      <c r="B90" s="38" t="s">
        <v>954</v>
      </c>
      <c r="C90" s="3" t="s">
        <v>725</v>
      </c>
      <c r="D90" s="39" t="s">
        <v>718</v>
      </c>
      <c r="E90" s="38" t="s">
        <v>800</v>
      </c>
      <c r="F90" s="38">
        <v>48000</v>
      </c>
      <c r="G90" s="38" t="s">
        <v>738</v>
      </c>
      <c r="H90" s="38" t="s">
        <v>757</v>
      </c>
      <c r="I90" s="38" t="s">
        <v>722</v>
      </c>
      <c r="J90" s="38" t="s">
        <v>955</v>
      </c>
    </row>
    <row r="91" spans="1:10">
      <c r="A91" s="35">
        <v>45535</v>
      </c>
      <c r="B91" s="38" t="s">
        <v>956</v>
      </c>
      <c r="C91" s="3" t="s">
        <v>769</v>
      </c>
      <c r="D91" s="39" t="s">
        <v>718</v>
      </c>
      <c r="E91" s="38" t="s">
        <v>957</v>
      </c>
      <c r="F91" s="38">
        <v>34000</v>
      </c>
      <c r="G91" s="38" t="s">
        <v>720</v>
      </c>
      <c r="H91" s="38" t="s">
        <v>721</v>
      </c>
      <c r="I91" s="38" t="s">
        <v>722</v>
      </c>
      <c r="J91" s="38" t="s">
        <v>958</v>
      </c>
    </row>
    <row r="92" spans="1:10">
      <c r="A92" s="35">
        <v>45535</v>
      </c>
      <c r="B92" s="38" t="s">
        <v>959</v>
      </c>
      <c r="C92" s="3" t="s">
        <v>743</v>
      </c>
      <c r="D92" s="39" t="s">
        <v>718</v>
      </c>
      <c r="E92" s="38" t="s">
        <v>684</v>
      </c>
      <c r="F92" s="38">
        <v>55000</v>
      </c>
      <c r="G92" s="40" t="s">
        <v>733</v>
      </c>
      <c r="H92" s="38" t="s">
        <v>721</v>
      </c>
      <c r="I92" s="38" t="s">
        <v>722</v>
      </c>
      <c r="J92" s="38" t="s">
        <v>960</v>
      </c>
    </row>
    <row r="93" spans="1:10">
      <c r="A93" s="35">
        <v>45535</v>
      </c>
      <c r="B93" s="38" t="s">
        <v>961</v>
      </c>
      <c r="C93" s="3" t="s">
        <v>769</v>
      </c>
      <c r="D93" s="39" t="s">
        <v>718</v>
      </c>
      <c r="E93" s="38" t="s">
        <v>962</v>
      </c>
      <c r="F93" s="38">
        <v>59000</v>
      </c>
      <c r="G93" s="38" t="s">
        <v>720</v>
      </c>
      <c r="H93" s="38" t="s">
        <v>721</v>
      </c>
      <c r="I93" s="38" t="s">
        <v>722</v>
      </c>
      <c r="J93" s="38" t="s">
        <v>963</v>
      </c>
    </row>
    <row r="94" spans="1:10">
      <c r="A94" s="35"/>
      <c r="J94" s="38"/>
    </row>
    <row r="95" spans="1:10">
      <c r="A95" s="35"/>
      <c r="J95" s="38"/>
    </row>
    <row r="96" spans="1:10">
      <c r="A96" s="35"/>
      <c r="J96" s="38"/>
    </row>
    <row r="97" spans="1:10">
      <c r="A97" s="35"/>
      <c r="J97" s="38"/>
    </row>
    <row r="98" spans="1:10">
      <c r="A98" s="35"/>
      <c r="J98" s="38"/>
    </row>
    <row r="99" spans="1:10">
      <c r="A99" s="35"/>
      <c r="J99" s="38"/>
    </row>
    <row r="100" spans="1:10">
      <c r="A100" s="35"/>
      <c r="J100" s="38"/>
    </row>
    <row r="101" spans="1:10">
      <c r="A101" s="35"/>
      <c r="J101" s="38"/>
    </row>
    <row r="102" spans="1:10">
      <c r="A102" s="35"/>
      <c r="J102" s="38"/>
    </row>
    <row r="103" spans="1:10">
      <c r="A103" s="35"/>
      <c r="J103" s="38"/>
    </row>
    <row r="104" spans="1:10">
      <c r="A104" s="35"/>
      <c r="J104" s="38"/>
    </row>
    <row r="105" spans="1:10">
      <c r="A105" s="35"/>
      <c r="J105" s="38"/>
    </row>
    <row r="106" spans="1:10">
      <c r="A106" s="35"/>
      <c r="J106" s="38"/>
    </row>
    <row r="107" spans="1:10">
      <c r="A107" s="35"/>
      <c r="J107" s="38"/>
    </row>
    <row r="108" spans="1:10">
      <c r="A108" s="35"/>
      <c r="J108" s="38"/>
    </row>
    <row r="109" spans="1:10">
      <c r="A109" s="35"/>
      <c r="J109" s="38"/>
    </row>
    <row r="110" spans="1:10">
      <c r="A110" s="35"/>
      <c r="J110" s="38"/>
    </row>
    <row r="111" spans="1:10">
      <c r="A111" s="35"/>
      <c r="J111" s="38"/>
    </row>
    <row r="112" spans="1:10">
      <c r="A112" s="35"/>
      <c r="J112" s="38"/>
    </row>
    <row r="113" spans="1:10">
      <c r="A113" s="35"/>
      <c r="J113" s="38"/>
    </row>
    <row r="114" spans="1:10">
      <c r="A114" s="35"/>
      <c r="J114" s="38"/>
    </row>
    <row r="115" spans="1:10">
      <c r="A115" s="35"/>
      <c r="J115" s="38"/>
    </row>
    <row r="116" spans="1:10">
      <c r="A116" s="35"/>
      <c r="J116" s="38"/>
    </row>
    <row r="117" spans="1:10">
      <c r="A117" s="35"/>
      <c r="J117" s="38"/>
    </row>
    <row r="118" spans="1:10">
      <c r="A118" s="35"/>
      <c r="J118" s="38"/>
    </row>
    <row r="119" spans="1:10">
      <c r="A119" s="35"/>
      <c r="J119" s="38"/>
    </row>
    <row r="120" spans="1:10">
      <c r="A120" s="35"/>
      <c r="J120" s="38"/>
    </row>
    <row r="121" spans="1:10">
      <c r="A121" s="35"/>
      <c r="J121" s="38"/>
    </row>
    <row r="122" spans="1:10">
      <c r="A122" s="35"/>
      <c r="J122" s="38"/>
    </row>
    <row r="123" spans="1:10">
      <c r="A123" s="35"/>
      <c r="J123" s="38"/>
    </row>
    <row r="124" spans="1:10">
      <c r="A124" s="35"/>
      <c r="J124" s="38"/>
    </row>
    <row r="125" spans="1:10">
      <c r="A125" s="35"/>
      <c r="J125" s="38"/>
    </row>
    <row r="126" spans="1:10">
      <c r="A126" s="35"/>
      <c r="J126" s="38"/>
    </row>
    <row r="127" spans="1:10">
      <c r="A127" s="35"/>
      <c r="J127" s="38"/>
    </row>
    <row r="128" spans="1:10">
      <c r="A128" s="35"/>
      <c r="J128" s="38"/>
    </row>
    <row r="129" spans="1:10">
      <c r="A129" s="35"/>
      <c r="J129" s="38"/>
    </row>
    <row r="130" spans="1:10">
      <c r="A130" s="35"/>
      <c r="J130" s="38"/>
    </row>
    <row r="131" spans="1:10">
      <c r="A131" s="35"/>
      <c r="J131" s="38"/>
    </row>
    <row r="132" spans="1:10">
      <c r="A132" s="35"/>
      <c r="J132" s="38"/>
    </row>
    <row r="133" spans="1:10">
      <c r="A133" s="35"/>
      <c r="J133" s="38"/>
    </row>
    <row r="134" spans="1:10">
      <c r="A134" s="35"/>
      <c r="J134" s="38"/>
    </row>
    <row r="135" spans="1:10">
      <c r="A135" s="35"/>
      <c r="J135" s="38"/>
    </row>
    <row r="136" spans="1:10">
      <c r="A136" s="35"/>
      <c r="J136" s="38"/>
    </row>
    <row r="137" spans="1:10">
      <c r="A137" s="35"/>
      <c r="J137" s="38"/>
    </row>
    <row r="138" spans="1:10">
      <c r="A138" s="35"/>
      <c r="J138" s="38"/>
    </row>
    <row r="139" spans="1:10">
      <c r="A139" s="35"/>
      <c r="J139" s="38"/>
    </row>
    <row r="140" spans="1:10">
      <c r="A140" s="35"/>
      <c r="J140" s="38"/>
    </row>
    <row r="141" spans="1:10">
      <c r="A141" s="35"/>
      <c r="J141" s="38"/>
    </row>
    <row r="142" spans="1:10">
      <c r="A142" s="35"/>
      <c r="J142" s="38"/>
    </row>
    <row r="143" spans="1:10">
      <c r="A143" s="35"/>
      <c r="J143" s="38"/>
    </row>
    <row r="144" spans="1:10">
      <c r="A144" s="35"/>
      <c r="J144" s="38"/>
    </row>
    <row r="145" spans="1:10">
      <c r="A145" s="35"/>
      <c r="J145" s="38"/>
    </row>
    <row r="146" spans="1:10">
      <c r="A146" s="35"/>
      <c r="J146" s="38"/>
    </row>
    <row r="147" spans="1:10">
      <c r="A147" s="35"/>
      <c r="J147" s="38"/>
    </row>
    <row r="148" spans="1:10">
      <c r="A148" s="35"/>
      <c r="J148" s="38"/>
    </row>
    <row r="149" spans="1:10">
      <c r="A149" s="35"/>
      <c r="J149" s="38"/>
    </row>
    <row r="150" spans="1:10">
      <c r="A150" s="35"/>
      <c r="J150" s="38"/>
    </row>
    <row r="151" spans="1:10">
      <c r="A151" s="35"/>
      <c r="J151" s="38"/>
    </row>
    <row r="152" spans="1:10">
      <c r="A152" s="35"/>
      <c r="J152" s="38"/>
    </row>
    <row r="153" spans="1:10">
      <c r="A153" s="35"/>
      <c r="J153" s="38"/>
    </row>
    <row r="154" spans="1:10">
      <c r="A154" s="35"/>
      <c r="J154" s="38"/>
    </row>
    <row r="155" spans="1:10">
      <c r="A155" s="35"/>
      <c r="J155" s="38"/>
    </row>
    <row r="156" spans="1:10">
      <c r="A156" s="35"/>
      <c r="J156" s="38"/>
    </row>
    <row r="157" spans="1:10">
      <c r="A157" s="35"/>
      <c r="J157" s="38"/>
    </row>
    <row r="158" spans="1:10">
      <c r="A158" s="35"/>
      <c r="J158" s="38"/>
    </row>
    <row r="159" spans="1:10">
      <c r="A159" s="35"/>
      <c r="J159" s="38"/>
    </row>
    <row r="160" spans="1:10">
      <c r="A160" s="35"/>
      <c r="J160" s="38"/>
    </row>
    <row r="161" spans="1:10">
      <c r="A161" s="35"/>
      <c r="J161" s="38"/>
    </row>
    <row r="162" spans="1:10">
      <c r="A162" s="35"/>
      <c r="J162" s="38"/>
    </row>
    <row r="163" spans="1:10">
      <c r="A163" s="35"/>
      <c r="J163" s="38"/>
    </row>
    <row r="164" spans="1:10">
      <c r="A164" s="35"/>
      <c r="J164" s="38"/>
    </row>
    <row r="165" spans="1:10">
      <c r="A165" s="35"/>
      <c r="J165" s="38"/>
    </row>
    <row r="166" spans="1:10">
      <c r="A166" s="35"/>
      <c r="J166" s="38"/>
    </row>
    <row r="167" spans="1:10">
      <c r="A167" s="35"/>
      <c r="J167" s="38"/>
    </row>
    <row r="168" spans="1:10">
      <c r="A168" s="35"/>
      <c r="J168" s="38"/>
    </row>
    <row r="169" spans="1:10">
      <c r="A169" s="35"/>
      <c r="J169" s="38"/>
    </row>
    <row r="170" spans="1:10">
      <c r="A170" s="35"/>
      <c r="J170" s="38"/>
    </row>
    <row r="171" spans="1:10">
      <c r="A171" s="35"/>
      <c r="J171" s="38"/>
    </row>
    <row r="172" spans="1:10">
      <c r="A172" s="35"/>
      <c r="J172" s="38"/>
    </row>
    <row r="173" spans="1:10">
      <c r="A173" s="35"/>
      <c r="J173" s="38"/>
    </row>
    <row r="174" spans="1:10">
      <c r="A174" s="35"/>
      <c r="J174" s="38"/>
    </row>
    <row r="175" spans="1:10">
      <c r="A175" s="35"/>
      <c r="J175" s="38"/>
    </row>
    <row r="176" spans="1:10">
      <c r="A176" s="35"/>
      <c r="J176" s="38"/>
    </row>
    <row r="177" spans="1:10">
      <c r="A177" s="35"/>
      <c r="J177" s="38"/>
    </row>
    <row r="178" spans="1:10">
      <c r="A178" s="35"/>
      <c r="J178" s="38"/>
    </row>
    <row r="179" spans="1:10">
      <c r="A179" s="35"/>
      <c r="J179" s="38"/>
    </row>
    <row r="180" spans="1:10">
      <c r="A180" s="35"/>
      <c r="J180" s="38"/>
    </row>
    <row r="181" spans="1:10">
      <c r="A181" s="35"/>
      <c r="J181" s="38"/>
    </row>
    <row r="182" spans="1:10">
      <c r="A182" s="35"/>
      <c r="J182" s="38"/>
    </row>
    <row r="183" spans="1:10">
      <c r="A183" s="35"/>
      <c r="J183" s="38"/>
    </row>
    <row r="184" spans="1:10">
      <c r="A184" s="35"/>
      <c r="J184" s="38"/>
    </row>
    <row r="185" spans="1:10">
      <c r="A185" s="35"/>
      <c r="J185" s="38"/>
    </row>
    <row r="186" spans="1:10">
      <c r="A186" s="35"/>
      <c r="J186" s="38"/>
    </row>
    <row r="187" spans="1:10">
      <c r="A187" s="35"/>
      <c r="J187" s="38"/>
    </row>
    <row r="188" spans="1:10">
      <c r="A188" s="35"/>
      <c r="J188" s="38"/>
    </row>
    <row r="189" spans="1:10">
      <c r="A189" s="35"/>
      <c r="J189" s="38"/>
    </row>
    <row r="190" spans="1:10">
      <c r="A190" s="35"/>
      <c r="J190" s="38"/>
    </row>
    <row r="191" spans="1:10">
      <c r="A191" s="35"/>
      <c r="J191" s="38"/>
    </row>
    <row r="192" spans="1:10">
      <c r="A192" s="35"/>
      <c r="J192" s="38"/>
    </row>
    <row r="193" spans="1:10">
      <c r="A193" s="35"/>
      <c r="J193" s="38"/>
    </row>
    <row r="194" spans="1:10">
      <c r="A194" s="35"/>
      <c r="J194" s="38"/>
    </row>
    <row r="195" spans="1:10">
      <c r="A195" s="35"/>
      <c r="J195" s="38"/>
    </row>
    <row r="196" spans="1:10">
      <c r="A196" s="35"/>
      <c r="J196" s="38"/>
    </row>
    <row r="197" spans="1:10">
      <c r="A197" s="35"/>
      <c r="J197" s="38"/>
    </row>
    <row r="198" spans="1:10">
      <c r="A198" s="35"/>
      <c r="J198" s="38"/>
    </row>
    <row r="199" spans="1:10">
      <c r="A199" s="35"/>
      <c r="J199" s="38"/>
    </row>
    <row r="200" spans="1:10">
      <c r="A200" s="35"/>
      <c r="J200" s="38"/>
    </row>
    <row r="201" spans="1:10">
      <c r="A201" s="35"/>
      <c r="J201" s="38"/>
    </row>
    <row r="202" spans="1:10">
      <c r="A202" s="35"/>
      <c r="J202" s="38"/>
    </row>
    <row r="203" spans="1:10">
      <c r="A203" s="35"/>
      <c r="J203" s="38"/>
    </row>
    <row r="204" spans="1:10">
      <c r="A204" s="35"/>
      <c r="J204" s="38"/>
    </row>
    <row r="205" spans="1:10">
      <c r="A205" s="35"/>
      <c r="J205" s="38"/>
    </row>
    <row r="206" spans="1:10">
      <c r="A206" s="35"/>
      <c r="J206" s="38"/>
    </row>
    <row r="207" spans="1:10">
      <c r="A207" s="35"/>
      <c r="J207" s="38"/>
    </row>
    <row r="208" spans="1:10">
      <c r="A208" s="35"/>
      <c r="J208" s="38"/>
    </row>
    <row r="209" spans="1:10">
      <c r="A209" s="35"/>
      <c r="J209" s="38"/>
    </row>
    <row r="210" spans="1:10">
      <c r="A210" s="35"/>
      <c r="J210" s="38"/>
    </row>
    <row r="211" spans="1:10">
      <c r="A211" s="35"/>
      <c r="J211" s="38"/>
    </row>
    <row r="212" spans="1:10">
      <c r="A212" s="35"/>
      <c r="J212" s="38"/>
    </row>
    <row r="213" spans="1:10">
      <c r="A213" s="35"/>
      <c r="J213" s="38"/>
    </row>
    <row r="214" spans="1:10">
      <c r="A214" s="35"/>
      <c r="J214" s="38"/>
    </row>
    <row r="215" spans="1:10">
      <c r="A215" s="35"/>
      <c r="J215" s="38"/>
    </row>
    <row r="216" spans="1:10">
      <c r="A216" s="35"/>
      <c r="J216" s="38"/>
    </row>
    <row r="217" spans="1:10">
      <c r="A217" s="35"/>
      <c r="J217" s="38"/>
    </row>
    <row r="218" spans="1:10">
      <c r="A218" s="35"/>
      <c r="J218" s="38"/>
    </row>
    <row r="219" spans="1:10">
      <c r="A219" s="35"/>
      <c r="J219" s="38"/>
    </row>
    <row r="220" spans="1:10">
      <c r="A220" s="35"/>
      <c r="J220" s="38"/>
    </row>
    <row r="221" spans="1:10">
      <c r="A221" s="35"/>
      <c r="J221" s="38"/>
    </row>
    <row r="222" spans="1:10">
      <c r="A222" s="35"/>
      <c r="J222" s="38"/>
    </row>
    <row r="223" spans="1:10">
      <c r="A223" s="35"/>
      <c r="J223" s="38"/>
    </row>
    <row r="224" spans="1:10">
      <c r="A224" s="35"/>
      <c r="J224" s="38"/>
    </row>
    <row r="225" spans="1:10">
      <c r="A225" s="35"/>
      <c r="J225" s="38"/>
    </row>
    <row r="226" spans="1:10">
      <c r="A226" s="35"/>
      <c r="J226" s="38"/>
    </row>
    <row r="227" spans="1:10">
      <c r="A227" s="35"/>
      <c r="J227" s="38"/>
    </row>
    <row r="228" spans="1:10">
      <c r="A228" s="35"/>
      <c r="J228" s="38"/>
    </row>
    <row r="229" spans="1:10">
      <c r="A229" s="35"/>
      <c r="J229" s="38"/>
    </row>
    <row r="230" spans="1:10">
      <c r="A230" s="35"/>
      <c r="J230" s="38"/>
    </row>
    <row r="231" spans="1:10">
      <c r="A231" s="35"/>
      <c r="J231" s="38"/>
    </row>
    <row r="232" spans="1:10">
      <c r="A232" s="35"/>
      <c r="J232" s="38"/>
    </row>
    <row r="233" spans="1:10">
      <c r="A233" s="35"/>
      <c r="J233" s="38"/>
    </row>
    <row r="234" spans="1:10">
      <c r="A234" s="35"/>
      <c r="J234" s="38"/>
    </row>
    <row r="235" spans="1:10">
      <c r="A235" s="35"/>
      <c r="J235" s="38"/>
    </row>
    <row r="236" spans="1:10">
      <c r="A236" s="35"/>
      <c r="J236" s="38"/>
    </row>
    <row r="237" spans="1:10">
      <c r="A237" s="35"/>
      <c r="J237" s="38"/>
    </row>
    <row r="238" spans="1:10">
      <c r="A238" s="35"/>
      <c r="J238" s="38"/>
    </row>
    <row r="239" spans="1:10">
      <c r="A239" s="35"/>
      <c r="J239" s="38"/>
    </row>
    <row r="240" spans="1:10">
      <c r="A240" s="35"/>
      <c r="J240" s="38"/>
    </row>
    <row r="241" spans="1:10">
      <c r="A241" s="35"/>
      <c r="J241" s="38"/>
    </row>
    <row r="242" spans="1:10">
      <c r="A242" s="35"/>
      <c r="J242" s="38"/>
    </row>
    <row r="243" spans="1:10">
      <c r="A243" s="35"/>
      <c r="J243" s="38"/>
    </row>
    <row r="244" spans="1:10">
      <c r="A244" s="35"/>
      <c r="J244" s="38"/>
    </row>
    <row r="245" spans="1:10">
      <c r="A245" s="35"/>
      <c r="J245" s="38"/>
    </row>
    <row r="246" spans="1:10">
      <c r="A246" s="35"/>
      <c r="J246" s="38"/>
    </row>
    <row r="247" spans="1:10">
      <c r="A247" s="35"/>
      <c r="J247" s="38"/>
    </row>
    <row r="248" spans="1:10">
      <c r="A248" s="35"/>
      <c r="J248" s="38"/>
    </row>
    <row r="249" spans="1:10">
      <c r="A249" s="35"/>
      <c r="J249" s="38"/>
    </row>
    <row r="250" spans="1:10">
      <c r="A250" s="35"/>
      <c r="J250" s="38"/>
    </row>
    <row r="251" spans="1:10">
      <c r="A251" s="35"/>
      <c r="J251" s="38"/>
    </row>
    <row r="252" spans="1:10">
      <c r="A252" s="35"/>
      <c r="J252" s="38"/>
    </row>
    <row r="253" spans="1:10">
      <c r="A253" s="35"/>
      <c r="J253" s="38"/>
    </row>
    <row r="254" spans="1:10">
      <c r="A254" s="35"/>
      <c r="J254" s="38"/>
    </row>
    <row r="255" spans="1:10">
      <c r="A255" s="35"/>
      <c r="J255" s="38"/>
    </row>
    <row r="256" spans="1:10">
      <c r="A256" s="35"/>
      <c r="J256" s="38"/>
    </row>
    <row r="257" spans="1:10">
      <c r="A257" s="35"/>
      <c r="J257" s="38"/>
    </row>
    <row r="258" spans="1:10">
      <c r="A258" s="35"/>
      <c r="J258" s="38"/>
    </row>
    <row r="259" spans="1:10">
      <c r="A259" s="35"/>
      <c r="J259" s="38"/>
    </row>
    <row r="260" spans="1:10">
      <c r="A260" s="35"/>
      <c r="J260" s="38"/>
    </row>
    <row r="261" spans="1:10">
      <c r="A261" s="35"/>
      <c r="J261" s="38"/>
    </row>
    <row r="262" spans="1:10">
      <c r="A262" s="35"/>
      <c r="J262" s="38"/>
    </row>
    <row r="263" spans="1:10">
      <c r="A263" s="35"/>
      <c r="J263" s="38"/>
    </row>
    <row r="264" spans="1:10">
      <c r="A264" s="35"/>
      <c r="J264" s="38"/>
    </row>
    <row r="265" spans="1:10">
      <c r="A265" s="35"/>
      <c r="J265" s="38"/>
    </row>
    <row r="266" spans="1:10">
      <c r="A266" s="35"/>
      <c r="J266" s="38"/>
    </row>
    <row r="267" spans="1:10">
      <c r="A267" s="35"/>
      <c r="J267" s="38"/>
    </row>
    <row r="268" spans="1:10">
      <c r="A268" s="35"/>
      <c r="J268" s="38"/>
    </row>
    <row r="269" spans="1:10">
      <c r="A269" s="35"/>
      <c r="J269" s="38"/>
    </row>
    <row r="270" spans="1:10">
      <c r="A270" s="35"/>
      <c r="J270" s="38"/>
    </row>
    <row r="271" spans="1:10">
      <c r="A271" s="35"/>
      <c r="J271" s="38"/>
    </row>
    <row r="272" spans="1:10">
      <c r="A272" s="35"/>
      <c r="J272" s="38"/>
    </row>
    <row r="273" spans="1:10">
      <c r="A273" s="35"/>
      <c r="J273" s="38"/>
    </row>
    <row r="274" spans="1:10">
      <c r="A274" s="35"/>
      <c r="J274" s="38"/>
    </row>
    <row r="275" spans="1:10">
      <c r="A275" s="35"/>
      <c r="J275" s="38"/>
    </row>
    <row r="276" spans="1:10">
      <c r="A276" s="35"/>
      <c r="J276" s="38"/>
    </row>
    <row r="277" spans="1:10">
      <c r="A277" s="35"/>
      <c r="J277" s="38"/>
    </row>
    <row r="278" spans="1:10">
      <c r="A278" s="35"/>
      <c r="J278" s="38"/>
    </row>
    <row r="279" spans="1:10">
      <c r="A279" s="35"/>
      <c r="J279" s="38"/>
    </row>
    <row r="280" spans="1:10">
      <c r="A280" s="35"/>
      <c r="J280" s="38"/>
    </row>
    <row r="281" spans="1:10">
      <c r="A281" s="35"/>
      <c r="J281" s="38"/>
    </row>
    <row r="282" spans="1:10">
      <c r="A282" s="35"/>
      <c r="J282" s="38"/>
    </row>
    <row r="283" spans="1:10">
      <c r="A283" s="35"/>
      <c r="J283" s="38"/>
    </row>
    <row r="284" spans="1:10">
      <c r="A284" s="35"/>
      <c r="J284" s="38"/>
    </row>
    <row r="285" spans="1:10">
      <c r="A285" s="35"/>
      <c r="J285" s="38"/>
    </row>
    <row r="286" spans="1:10">
      <c r="A286" s="35"/>
      <c r="J286" s="38"/>
    </row>
    <row r="287" spans="1:10">
      <c r="A287" s="35"/>
      <c r="J287" s="38"/>
    </row>
    <row r="288" spans="1:10">
      <c r="A288" s="35"/>
      <c r="J288" s="38"/>
    </row>
    <row r="289" spans="1:10">
      <c r="A289" s="35"/>
      <c r="J289" s="38"/>
    </row>
    <row r="290" spans="1:10">
      <c r="A290" s="35"/>
      <c r="J290" s="38"/>
    </row>
    <row r="291" spans="1:10">
      <c r="A291" s="35"/>
      <c r="J291" s="38"/>
    </row>
    <row r="292" spans="1:10">
      <c r="A292" s="35"/>
      <c r="J292" s="38"/>
    </row>
    <row r="293" spans="1:10">
      <c r="A293" s="35"/>
      <c r="J293" s="38"/>
    </row>
    <row r="294" spans="1:10">
      <c r="A294" s="35"/>
      <c r="J294" s="38"/>
    </row>
    <row r="295" spans="1:10">
      <c r="A295" s="35"/>
      <c r="J295" s="38"/>
    </row>
    <row r="296" spans="1:10">
      <c r="A296" s="35"/>
      <c r="J296" s="38"/>
    </row>
    <row r="297" spans="1:10">
      <c r="A297" s="35"/>
      <c r="J297" s="38"/>
    </row>
    <row r="298" spans="1:10">
      <c r="A298" s="35"/>
      <c r="J298" s="38"/>
    </row>
    <row r="299" spans="1:10">
      <c r="A299" s="35"/>
      <c r="J299" s="38"/>
    </row>
    <row r="300" spans="1:10">
      <c r="A300" s="35"/>
      <c r="J300" s="38"/>
    </row>
    <row r="301" spans="1:10">
      <c r="A301" s="35"/>
      <c r="J301" s="38"/>
    </row>
    <row r="302" spans="1:10">
      <c r="A302" s="35"/>
      <c r="J302" s="38"/>
    </row>
    <row r="303" spans="1:10">
      <c r="A303" s="35"/>
      <c r="J303" s="38"/>
    </row>
    <row r="304" spans="1:10">
      <c r="A304" s="35"/>
      <c r="J304" s="38"/>
    </row>
    <row r="305" spans="1:10">
      <c r="A305" s="35"/>
      <c r="J305" s="38"/>
    </row>
    <row r="306" spans="1:10">
      <c r="A306" s="35"/>
      <c r="J306" s="38"/>
    </row>
    <row r="307" spans="1:10">
      <c r="A307" s="35"/>
      <c r="J307" s="38"/>
    </row>
    <row r="308" spans="1:10">
      <c r="A308" s="35"/>
      <c r="J308" s="38"/>
    </row>
    <row r="309" spans="1:10">
      <c r="A309" s="35"/>
      <c r="J309" s="38"/>
    </row>
    <row r="310" spans="1:10">
      <c r="A310" s="35"/>
      <c r="J310" s="38"/>
    </row>
    <row r="311" spans="1:10">
      <c r="A311" s="35"/>
      <c r="J311" s="38"/>
    </row>
    <row r="312" spans="1:10">
      <c r="A312" s="35"/>
      <c r="J312" s="38"/>
    </row>
    <row r="313" spans="1:10">
      <c r="A313" s="35"/>
      <c r="J313" s="38"/>
    </row>
    <row r="314" spans="1:10">
      <c r="A314" s="35"/>
      <c r="J314" s="38"/>
    </row>
    <row r="315" spans="1:10">
      <c r="A315" s="35"/>
      <c r="J315" s="38"/>
    </row>
    <row r="316" spans="1:10">
      <c r="A316" s="35"/>
      <c r="J316" s="38"/>
    </row>
    <row r="317" spans="1:10">
      <c r="A317" s="35"/>
      <c r="J317" s="38"/>
    </row>
    <row r="318" spans="1:10">
      <c r="A318" s="35"/>
      <c r="J318" s="38"/>
    </row>
    <row r="319" spans="1:10">
      <c r="A319" s="35"/>
      <c r="J319" s="38"/>
    </row>
    <row r="320" spans="1:10">
      <c r="A320" s="35"/>
      <c r="J320" s="38"/>
    </row>
    <row r="321" spans="1:10">
      <c r="A321" s="35"/>
      <c r="J321" s="38"/>
    </row>
    <row r="322" spans="1:10">
      <c r="A322" s="35"/>
      <c r="J322" s="38"/>
    </row>
    <row r="323" spans="1:10">
      <c r="A323" s="35"/>
      <c r="J323" s="38"/>
    </row>
    <row r="324" spans="1:10">
      <c r="A324" s="35"/>
      <c r="J324" s="38"/>
    </row>
    <row r="325" spans="1:10">
      <c r="A325" s="35"/>
      <c r="J325" s="38"/>
    </row>
    <row r="326" spans="1:10">
      <c r="A326" s="35"/>
      <c r="J326" s="38"/>
    </row>
    <row r="327" spans="1:10">
      <c r="A327" s="35"/>
      <c r="J327" s="38"/>
    </row>
    <row r="328" spans="1:10">
      <c r="A328" s="35"/>
      <c r="J328" s="38"/>
    </row>
    <row r="329" spans="1:10">
      <c r="A329" s="35"/>
      <c r="J329" s="38"/>
    </row>
    <row r="330" spans="1:10">
      <c r="A330" s="35"/>
      <c r="J330" s="38"/>
    </row>
    <row r="331" spans="1:10">
      <c r="A331" s="35"/>
      <c r="J331" s="38"/>
    </row>
    <row r="332" spans="1:10">
      <c r="A332" s="35"/>
      <c r="J332" s="38"/>
    </row>
    <row r="333" spans="1:10">
      <c r="A333" s="35"/>
      <c r="J333" s="38"/>
    </row>
    <row r="334" spans="1:10">
      <c r="A334" s="35"/>
      <c r="J334" s="38"/>
    </row>
    <row r="335" spans="1:10">
      <c r="A335" s="35"/>
      <c r="J335" s="38"/>
    </row>
    <row r="336" spans="1:10">
      <c r="A336" s="35"/>
      <c r="J336" s="38"/>
    </row>
    <row r="337" spans="1:10">
      <c r="A337" s="35"/>
      <c r="J337" s="38"/>
    </row>
    <row r="338" spans="1:10">
      <c r="A338" s="35"/>
      <c r="J338" s="38"/>
    </row>
    <row r="339" spans="1:10">
      <c r="A339" s="35"/>
      <c r="J339" s="38"/>
    </row>
    <row r="340" spans="1:10">
      <c r="A340" s="35"/>
      <c r="J340" s="38"/>
    </row>
    <row r="341" spans="1:10">
      <c r="A341" s="35"/>
      <c r="J341" s="38"/>
    </row>
    <row r="342" spans="1:10">
      <c r="A342" s="35"/>
      <c r="J342" s="38"/>
    </row>
    <row r="343" spans="1:10">
      <c r="A343" s="35"/>
      <c r="J343" s="38"/>
    </row>
    <row r="344" spans="1:10">
      <c r="A344" s="35"/>
      <c r="J344" s="38"/>
    </row>
    <row r="345" spans="1:10">
      <c r="A345" s="35"/>
      <c r="J345" s="38"/>
    </row>
    <row r="346" spans="1:10">
      <c r="A346" s="35"/>
      <c r="J346" s="38"/>
    </row>
    <row r="347" spans="1:10">
      <c r="A347" s="35"/>
      <c r="J347" s="38"/>
    </row>
    <row r="348" spans="1:10">
      <c r="A348" s="35"/>
      <c r="J348" s="38"/>
    </row>
    <row r="349" spans="1:10">
      <c r="A349" s="35"/>
      <c r="J349" s="38"/>
    </row>
    <row r="350" spans="1:10">
      <c r="A350" s="35"/>
      <c r="J350" s="38"/>
    </row>
    <row r="351" spans="1:10">
      <c r="A351" s="35"/>
      <c r="J351" s="38"/>
    </row>
    <row r="352" spans="1:10">
      <c r="A352" s="35"/>
      <c r="J352" s="38"/>
    </row>
    <row r="353" spans="1:10">
      <c r="A353" s="35"/>
      <c r="J353" s="38"/>
    </row>
    <row r="354" spans="1:10">
      <c r="A354" s="35"/>
      <c r="J354" s="38"/>
    </row>
    <row r="355" spans="1:10">
      <c r="A355" s="35"/>
      <c r="J355" s="38"/>
    </row>
    <row r="356" spans="1:10">
      <c r="A356" s="35"/>
      <c r="J356" s="38"/>
    </row>
    <row r="357" spans="1:10">
      <c r="A357" s="35"/>
      <c r="J357" s="38"/>
    </row>
    <row r="358" spans="1:10">
      <c r="A358" s="35"/>
      <c r="J358" s="38"/>
    </row>
    <row r="359" spans="1:10">
      <c r="A359" s="35"/>
      <c r="J359" s="38"/>
    </row>
    <row r="360" spans="1:10">
      <c r="A360" s="35"/>
      <c r="J360" s="38"/>
    </row>
    <row r="361" spans="1:10">
      <c r="A361" s="35"/>
      <c r="J361" s="38"/>
    </row>
    <row r="362" spans="1:10">
      <c r="A362" s="35"/>
      <c r="J362" s="38"/>
    </row>
    <row r="363" spans="1:10">
      <c r="A363" s="35"/>
      <c r="J363" s="38"/>
    </row>
    <row r="364" spans="1:10">
      <c r="A364" s="35"/>
      <c r="J364" s="38"/>
    </row>
    <row r="365" spans="1:10">
      <c r="A365" s="35"/>
      <c r="J365" s="38"/>
    </row>
    <row r="366" spans="1:10">
      <c r="A366" s="35"/>
      <c r="J366" s="38"/>
    </row>
    <row r="367" spans="1:10">
      <c r="A367" s="35"/>
      <c r="J367" s="38"/>
    </row>
    <row r="368" spans="1:10">
      <c r="A368" s="35"/>
      <c r="J368" s="38"/>
    </row>
    <row r="369" spans="1:10">
      <c r="A369" s="35"/>
      <c r="J369" s="38"/>
    </row>
    <row r="370" spans="1:10">
      <c r="A370" s="35"/>
      <c r="J370" s="38"/>
    </row>
    <row r="371" spans="1:10">
      <c r="A371" s="35"/>
      <c r="J371" s="38"/>
    </row>
    <row r="372" spans="1:10">
      <c r="A372" s="35"/>
      <c r="J372" s="38"/>
    </row>
    <row r="373" spans="1:10">
      <c r="A373" s="35"/>
      <c r="J373" s="38"/>
    </row>
    <row r="374" spans="1:10">
      <c r="A374" s="35"/>
      <c r="J374" s="38"/>
    </row>
    <row r="375" spans="1:10">
      <c r="A375" s="35"/>
      <c r="J375" s="38"/>
    </row>
    <row r="376" spans="1:10">
      <c r="A376" s="35"/>
      <c r="J376" s="38"/>
    </row>
    <row r="377" spans="1:10">
      <c r="A377" s="35"/>
      <c r="J377" s="38"/>
    </row>
    <row r="378" spans="1:10">
      <c r="A378" s="35"/>
      <c r="J378" s="38"/>
    </row>
    <row r="379" spans="1:10">
      <c r="A379" s="35"/>
      <c r="J379" s="38"/>
    </row>
    <row r="380" spans="1:10">
      <c r="A380" s="35"/>
      <c r="J380" s="38"/>
    </row>
    <row r="381" spans="1:10">
      <c r="A381" s="35"/>
      <c r="J381" s="38"/>
    </row>
    <row r="382" spans="1:10">
      <c r="A382" s="35"/>
      <c r="J382" s="38"/>
    </row>
    <row r="383" spans="1:10">
      <c r="A383" s="35"/>
      <c r="J383" s="38"/>
    </row>
    <row r="384" spans="1:10">
      <c r="A384" s="35"/>
      <c r="J384" s="38"/>
    </row>
    <row r="385" spans="1:10">
      <c r="A385" s="35"/>
      <c r="J385" s="38"/>
    </row>
    <row r="386" spans="1:10">
      <c r="A386" s="35"/>
      <c r="J386" s="38"/>
    </row>
    <row r="387" spans="1:10">
      <c r="A387" s="35"/>
      <c r="J387" s="38"/>
    </row>
    <row r="388" spans="1:10">
      <c r="A388" s="35"/>
      <c r="J388" s="38"/>
    </row>
    <row r="389" spans="1:10">
      <c r="A389" s="35"/>
      <c r="J389" s="38"/>
    </row>
    <row r="390" spans="1:10">
      <c r="A390" s="35"/>
      <c r="J390" s="38"/>
    </row>
    <row r="391" spans="1:10">
      <c r="A391" s="35"/>
      <c r="J391" s="38"/>
    </row>
    <row r="392" spans="1:10">
      <c r="A392" s="35"/>
      <c r="J392" s="38"/>
    </row>
    <row r="393" spans="1:10">
      <c r="A393" s="35"/>
      <c r="J393" s="38"/>
    </row>
    <row r="394" spans="1:10">
      <c r="A394" s="35"/>
      <c r="J394" s="38"/>
    </row>
    <row r="395" spans="1:10">
      <c r="A395" s="35"/>
      <c r="J395" s="38"/>
    </row>
    <row r="396" spans="1:10">
      <c r="A396" s="35"/>
      <c r="J396" s="38"/>
    </row>
    <row r="397" spans="1:10">
      <c r="A397" s="35"/>
      <c r="J397" s="38"/>
    </row>
    <row r="398" spans="1:10">
      <c r="A398" s="35"/>
      <c r="J398" s="38"/>
    </row>
    <row r="399" spans="1:10">
      <c r="A399" s="35"/>
      <c r="J399" s="38"/>
    </row>
    <row r="400" spans="1:10">
      <c r="A400" s="35"/>
      <c r="J400" s="38"/>
    </row>
    <row r="401" spans="1:10">
      <c r="A401" s="35"/>
      <c r="J401" s="38"/>
    </row>
    <row r="402" spans="1:10">
      <c r="A402" s="35"/>
      <c r="J402" s="38"/>
    </row>
    <row r="403" spans="1:10">
      <c r="A403" s="35"/>
      <c r="J403" s="38"/>
    </row>
    <row r="404" spans="1:10">
      <c r="A404" s="35"/>
      <c r="J404" s="38"/>
    </row>
    <row r="405" spans="1:10">
      <c r="A405" s="35"/>
      <c r="J405" s="38"/>
    </row>
    <row r="406" spans="1:10">
      <c r="A406" s="35"/>
      <c r="J406" s="38"/>
    </row>
    <row r="407" spans="1:10">
      <c r="A407" s="35"/>
      <c r="J407" s="38"/>
    </row>
    <row r="408" spans="1:10">
      <c r="A408" s="35"/>
      <c r="J408" s="38"/>
    </row>
    <row r="409" spans="1:10">
      <c r="A409" s="35"/>
      <c r="J409" s="38"/>
    </row>
    <row r="410" spans="1:10">
      <c r="A410" s="35"/>
      <c r="J410" s="38"/>
    </row>
    <row r="411" spans="1:10">
      <c r="A411" s="35"/>
      <c r="J411" s="38"/>
    </row>
    <row r="412" spans="1:10">
      <c r="A412" s="35"/>
      <c r="J412" s="38"/>
    </row>
    <row r="413" spans="1:10">
      <c r="A413" s="35"/>
      <c r="J413" s="38"/>
    </row>
    <row r="414" spans="1:10">
      <c r="A414" s="35"/>
      <c r="J414" s="38"/>
    </row>
    <row r="415" spans="1:10">
      <c r="A415" s="35"/>
      <c r="J415" s="38"/>
    </row>
    <row r="416" spans="1:10">
      <c r="A416" s="35"/>
      <c r="J416" s="38"/>
    </row>
    <row r="417" spans="1:10">
      <c r="A417" s="35"/>
      <c r="J417" s="38"/>
    </row>
    <row r="418" spans="1:10">
      <c r="A418" s="35"/>
      <c r="J418" s="38"/>
    </row>
    <row r="419" spans="1:10">
      <c r="A419" s="35"/>
      <c r="J419" s="38"/>
    </row>
    <row r="420" spans="1:10">
      <c r="A420" s="35"/>
      <c r="J420" s="38"/>
    </row>
    <row r="421" spans="1:10">
      <c r="A421" s="35"/>
      <c r="J421" s="38"/>
    </row>
    <row r="422" spans="1:10">
      <c r="A422" s="35"/>
      <c r="J422" s="38"/>
    </row>
    <row r="423" spans="1:10">
      <c r="A423" s="35"/>
      <c r="J423" s="38"/>
    </row>
    <row r="424" spans="1:10">
      <c r="A424" s="35"/>
      <c r="J424" s="38"/>
    </row>
    <row r="425" spans="1:10">
      <c r="A425" s="35"/>
      <c r="J425" s="38"/>
    </row>
    <row r="426" spans="1:10">
      <c r="A426" s="35"/>
      <c r="J426" s="38"/>
    </row>
    <row r="427" spans="1:10">
      <c r="A427" s="35"/>
      <c r="J427" s="38"/>
    </row>
    <row r="428" spans="1:10">
      <c r="A428" s="35"/>
      <c r="J428" s="38"/>
    </row>
    <row r="429" spans="1:10">
      <c r="A429" s="35"/>
      <c r="J429" s="38"/>
    </row>
    <row r="430" spans="1:10">
      <c r="A430" s="35"/>
      <c r="J430" s="38"/>
    </row>
    <row r="431" spans="1:10">
      <c r="A431" s="35"/>
      <c r="J431" s="38"/>
    </row>
    <row r="432" spans="1:10">
      <c r="A432" s="35"/>
      <c r="J432" s="38"/>
    </row>
    <row r="433" spans="1:10">
      <c r="A433" s="35"/>
      <c r="J433" s="38"/>
    </row>
    <row r="434" spans="1:10">
      <c r="A434" s="35"/>
      <c r="J434" s="38"/>
    </row>
    <row r="435" spans="1:10">
      <c r="A435" s="35"/>
      <c r="J435" s="38"/>
    </row>
    <row r="436" spans="1:10">
      <c r="A436" s="35"/>
      <c r="J436" s="38"/>
    </row>
    <row r="437" spans="1:10">
      <c r="A437" s="35"/>
      <c r="J437" s="38"/>
    </row>
    <row r="438" spans="1:10">
      <c r="A438" s="35"/>
      <c r="J438" s="38"/>
    </row>
    <row r="439" spans="1:10">
      <c r="A439" s="35"/>
      <c r="J439" s="38"/>
    </row>
    <row r="440" spans="1:10">
      <c r="A440" s="35"/>
      <c r="J440" s="38"/>
    </row>
    <row r="441" spans="1:10">
      <c r="A441" s="35"/>
      <c r="J441" s="38"/>
    </row>
    <row r="442" spans="1:10">
      <c r="A442" s="35"/>
      <c r="J442" s="38"/>
    </row>
    <row r="443" spans="1:10">
      <c r="A443" s="35"/>
      <c r="J443" s="38"/>
    </row>
    <row r="444" spans="1:10">
      <c r="A444" s="35"/>
      <c r="J444" s="38"/>
    </row>
    <row r="445" spans="1:10">
      <c r="A445" s="35"/>
      <c r="J445" s="38"/>
    </row>
    <row r="446" spans="1:10">
      <c r="A446" s="35"/>
      <c r="J446" s="38"/>
    </row>
    <row r="447" spans="1:10">
      <c r="A447" s="35"/>
      <c r="J447" s="38"/>
    </row>
    <row r="448" spans="1:10">
      <c r="A448" s="35"/>
      <c r="J448" s="38"/>
    </row>
    <row r="449" spans="1:10">
      <c r="A449" s="35"/>
      <c r="J449" s="38"/>
    </row>
    <row r="450" spans="1:10">
      <c r="A450" s="35"/>
      <c r="J450" s="38"/>
    </row>
    <row r="451" spans="1:10">
      <c r="A451" s="35"/>
      <c r="J451" s="38"/>
    </row>
    <row r="452" spans="1:10">
      <c r="A452" s="35"/>
      <c r="J452" s="38"/>
    </row>
    <row r="453" spans="1:10">
      <c r="A453" s="35"/>
      <c r="J453" s="38"/>
    </row>
    <row r="454" spans="1:10">
      <c r="A454" s="35"/>
      <c r="J454" s="38"/>
    </row>
    <row r="455" spans="1:10">
      <c r="A455" s="35"/>
      <c r="J455" s="38"/>
    </row>
    <row r="456" spans="1:10">
      <c r="A456" s="35"/>
      <c r="J456" s="38"/>
    </row>
    <row r="457" spans="1:10">
      <c r="A457" s="35"/>
      <c r="J457" s="38"/>
    </row>
    <row r="458" spans="1:10">
      <c r="A458" s="35"/>
      <c r="J458" s="38"/>
    </row>
    <row r="459" spans="1:10">
      <c r="A459" s="35"/>
      <c r="J459" s="38"/>
    </row>
    <row r="460" spans="1:10">
      <c r="A460" s="35"/>
      <c r="J460" s="38"/>
    </row>
    <row r="461" spans="1:10">
      <c r="A461" s="35"/>
      <c r="J461" s="38"/>
    </row>
    <row r="462" spans="1:10">
      <c r="A462" s="35"/>
      <c r="J462" s="38"/>
    </row>
    <row r="463" spans="1:10">
      <c r="A463" s="35"/>
      <c r="J463" s="38"/>
    </row>
    <row r="464" spans="1:10">
      <c r="A464" s="35"/>
      <c r="J464" s="38"/>
    </row>
    <row r="465" spans="1:10">
      <c r="A465" s="35"/>
      <c r="J465" s="38"/>
    </row>
    <row r="466" spans="1:10">
      <c r="A466" s="35"/>
      <c r="J466" s="38"/>
    </row>
    <row r="467" spans="1:10">
      <c r="A467" s="35"/>
      <c r="J467" s="38"/>
    </row>
    <row r="468" spans="1:10">
      <c r="A468" s="35"/>
      <c r="J468" s="38"/>
    </row>
    <row r="469" spans="1:10">
      <c r="A469" s="35"/>
      <c r="J469" s="38"/>
    </row>
    <row r="470" spans="1:10">
      <c r="A470" s="35"/>
      <c r="J470" s="38"/>
    </row>
    <row r="471" spans="1:10">
      <c r="A471" s="35"/>
      <c r="J471" s="38"/>
    </row>
    <row r="472" spans="1:10">
      <c r="A472" s="35"/>
      <c r="J472" s="38"/>
    </row>
    <row r="473" spans="1:10">
      <c r="A473" s="35"/>
      <c r="J473" s="38"/>
    </row>
    <row r="474" spans="1:10">
      <c r="A474" s="35"/>
      <c r="J474" s="38"/>
    </row>
    <row r="475" spans="1:10">
      <c r="A475" s="35"/>
      <c r="J475" s="38"/>
    </row>
    <row r="476" spans="1:10">
      <c r="A476" s="35"/>
      <c r="J476" s="38"/>
    </row>
    <row r="477" spans="1:10">
      <c r="A477" s="35"/>
      <c r="J477" s="38"/>
    </row>
    <row r="478" spans="1:10">
      <c r="A478" s="35"/>
      <c r="J478" s="38"/>
    </row>
    <row r="479" spans="1:10">
      <c r="A479" s="35"/>
      <c r="J479" s="38"/>
    </row>
    <row r="480" spans="1:10">
      <c r="A480" s="35"/>
      <c r="J480" s="38"/>
    </row>
    <row r="481" spans="1:10">
      <c r="A481" s="35"/>
      <c r="J481" s="38"/>
    </row>
    <row r="482" spans="1:10">
      <c r="A482" s="35"/>
      <c r="J482" s="38"/>
    </row>
    <row r="483" spans="1:10">
      <c r="A483" s="35"/>
      <c r="J483" s="38"/>
    </row>
    <row r="484" spans="1:10">
      <c r="A484" s="35"/>
      <c r="J484" s="38"/>
    </row>
    <row r="485" spans="1:10">
      <c r="A485" s="35"/>
      <c r="J485" s="38"/>
    </row>
    <row r="486" spans="1:10">
      <c r="A486" s="35"/>
      <c r="J486" s="38"/>
    </row>
    <row r="487" spans="1:10">
      <c r="A487" s="35"/>
      <c r="J487" s="38"/>
    </row>
    <row r="488" spans="1:10">
      <c r="A488" s="35"/>
      <c r="J488" s="38"/>
    </row>
    <row r="489" spans="1:10">
      <c r="A489" s="35"/>
      <c r="J489" s="38"/>
    </row>
    <row r="490" spans="1:10">
      <c r="A490" s="35"/>
      <c r="J490" s="38"/>
    </row>
    <row r="491" spans="1:10">
      <c r="A491" s="35"/>
      <c r="J491" s="38"/>
    </row>
    <row r="492" spans="1:10">
      <c r="A492" s="35"/>
      <c r="J492" s="38"/>
    </row>
    <row r="493" spans="1:10">
      <c r="A493" s="35"/>
      <c r="J493" s="38"/>
    </row>
    <row r="494" spans="1:10">
      <c r="A494" s="35"/>
      <c r="J494" s="38"/>
    </row>
    <row r="495" spans="1:10">
      <c r="A495" s="35"/>
      <c r="J495" s="38"/>
    </row>
    <row r="496" spans="1:10">
      <c r="A496" s="35"/>
      <c r="J496" s="38"/>
    </row>
    <row r="497" spans="1:10">
      <c r="A497" s="35"/>
      <c r="J497" s="38"/>
    </row>
    <row r="498" spans="1:10">
      <c r="A498" s="35"/>
      <c r="J498" s="38"/>
    </row>
    <row r="499" spans="1:10">
      <c r="A499" s="35"/>
      <c r="J499" s="38"/>
    </row>
    <row r="500" spans="1:10">
      <c r="A500" s="35"/>
      <c r="J500" s="38"/>
    </row>
    <row r="501" spans="1:10">
      <c r="A501" s="35"/>
      <c r="J501" s="38"/>
    </row>
    <row r="502" spans="1:10">
      <c r="A502" s="35"/>
      <c r="J502" s="38"/>
    </row>
    <row r="503" spans="1:10">
      <c r="A503" s="35"/>
      <c r="J503" s="38"/>
    </row>
    <row r="504" spans="1:10">
      <c r="A504" s="35"/>
      <c r="J504" s="38"/>
    </row>
    <row r="505" spans="1:10">
      <c r="A505" s="35"/>
      <c r="J505" s="38"/>
    </row>
    <row r="506" spans="1:10">
      <c r="A506" s="35"/>
      <c r="J506" s="38"/>
    </row>
    <row r="507" spans="1:10">
      <c r="A507" s="35"/>
      <c r="J507" s="38"/>
    </row>
    <row r="508" spans="1:10">
      <c r="A508" s="35"/>
      <c r="J508" s="38"/>
    </row>
    <row r="509" spans="1:10">
      <c r="A509" s="35"/>
      <c r="J509" s="38"/>
    </row>
    <row r="510" spans="1:10">
      <c r="A510" s="35"/>
      <c r="J510" s="38"/>
    </row>
    <row r="511" spans="1:10">
      <c r="A511" s="35"/>
      <c r="J511" s="38"/>
    </row>
    <row r="512" spans="1:10">
      <c r="A512" s="35"/>
      <c r="J512" s="38"/>
    </row>
    <row r="513" spans="1:10">
      <c r="A513" s="35"/>
      <c r="J513" s="38"/>
    </row>
    <row r="514" spans="1:10">
      <c r="A514" s="35"/>
      <c r="J514" s="38"/>
    </row>
    <row r="515" spans="1:10">
      <c r="A515" s="35"/>
      <c r="J515" s="38"/>
    </row>
    <row r="516" spans="1:10">
      <c r="A516" s="35"/>
      <c r="J516" s="38"/>
    </row>
    <row r="517" spans="1:10">
      <c r="A517" s="35"/>
      <c r="J517" s="38"/>
    </row>
    <row r="518" spans="1:10">
      <c r="A518" s="35"/>
      <c r="J518" s="38"/>
    </row>
    <row r="519" spans="1:10">
      <c r="A519" s="35"/>
      <c r="J519" s="38"/>
    </row>
    <row r="520" spans="1:10">
      <c r="A520" s="35"/>
      <c r="J520" s="38"/>
    </row>
    <row r="521" spans="1:10">
      <c r="A521" s="35"/>
      <c r="J521" s="38"/>
    </row>
    <row r="522" spans="1:10">
      <c r="A522" s="35"/>
      <c r="J522" s="38"/>
    </row>
    <row r="523" spans="1:10">
      <c r="A523" s="35"/>
      <c r="J523" s="38"/>
    </row>
    <row r="524" spans="1:10">
      <c r="A524" s="35"/>
      <c r="J524" s="38"/>
    </row>
    <row r="525" spans="1:10">
      <c r="A525" s="35"/>
      <c r="J525" s="38"/>
    </row>
    <row r="526" spans="1:10">
      <c r="A526" s="35"/>
      <c r="J526" s="38"/>
    </row>
    <row r="527" spans="1:10">
      <c r="A527" s="35"/>
      <c r="J527" s="38"/>
    </row>
    <row r="528" spans="1:10">
      <c r="A528" s="35"/>
      <c r="J528" s="38"/>
    </row>
    <row r="529" spans="1:10">
      <c r="A529" s="35"/>
      <c r="J529" s="38"/>
    </row>
    <row r="530" spans="1:10">
      <c r="A530" s="35"/>
      <c r="J530" s="38"/>
    </row>
    <row r="531" spans="1:10">
      <c r="A531" s="35"/>
      <c r="J531" s="38"/>
    </row>
    <row r="532" spans="1:10">
      <c r="A532" s="35"/>
      <c r="J532" s="38"/>
    </row>
    <row r="533" spans="1:10">
      <c r="A533" s="35"/>
      <c r="J533" s="38"/>
    </row>
    <row r="534" spans="1:10">
      <c r="A534" s="35"/>
      <c r="J534" s="38"/>
    </row>
    <row r="535" spans="1:10">
      <c r="A535" s="35"/>
      <c r="J535" s="38"/>
    </row>
    <row r="536" spans="1:10">
      <c r="A536" s="35"/>
      <c r="J536" s="38"/>
    </row>
    <row r="537" spans="1:10">
      <c r="A537" s="35"/>
      <c r="J537" s="38"/>
    </row>
    <row r="538" spans="1:10">
      <c r="A538" s="35"/>
      <c r="J538" s="38"/>
    </row>
    <row r="539" spans="1:10">
      <c r="A539" s="35"/>
      <c r="J539" s="38"/>
    </row>
    <row r="540" spans="1:10">
      <c r="A540" s="35"/>
      <c r="J540" s="38"/>
    </row>
    <row r="541" spans="1:10">
      <c r="A541" s="35"/>
      <c r="J541" s="38"/>
    </row>
    <row r="542" spans="1:10">
      <c r="A542" s="35"/>
      <c r="J542" s="38"/>
    </row>
    <row r="543" spans="1:10">
      <c r="A543" s="35"/>
      <c r="J543" s="38"/>
    </row>
    <row r="544" spans="1:10">
      <c r="A544" s="35"/>
      <c r="J544" s="38"/>
    </row>
    <row r="545" spans="1:10">
      <c r="A545" s="35"/>
      <c r="J545" s="38"/>
    </row>
    <row r="546" spans="1:10">
      <c r="A546" s="35"/>
      <c r="J546" s="38"/>
    </row>
    <row r="547" spans="1:10">
      <c r="A547" s="35"/>
      <c r="J547" s="38"/>
    </row>
    <row r="548" spans="1:10">
      <c r="A548" s="35"/>
      <c r="J548" s="38"/>
    </row>
    <row r="549" spans="1:10">
      <c r="A549" s="35"/>
      <c r="J549" s="38"/>
    </row>
    <row r="550" spans="1:10">
      <c r="A550" s="35"/>
      <c r="J550" s="38"/>
    </row>
    <row r="551" spans="1:10">
      <c r="A551" s="35"/>
      <c r="J551" s="38"/>
    </row>
    <row r="552" spans="1:10">
      <c r="A552" s="35"/>
      <c r="J552" s="38"/>
    </row>
    <row r="553" spans="1:10">
      <c r="A553" s="35"/>
      <c r="J553" s="38"/>
    </row>
    <row r="554" spans="1:10">
      <c r="A554" s="35"/>
      <c r="J554" s="38"/>
    </row>
    <row r="555" spans="1:10">
      <c r="A555" s="35"/>
      <c r="J555" s="38"/>
    </row>
    <row r="556" spans="1:10">
      <c r="A556" s="35"/>
      <c r="J556" s="38"/>
    </row>
    <row r="557" spans="1:10">
      <c r="A557" s="35"/>
      <c r="J557" s="38"/>
    </row>
    <row r="558" spans="1:10">
      <c r="A558" s="35"/>
      <c r="J558" s="38"/>
    </row>
    <row r="559" spans="1:10">
      <c r="A559" s="35"/>
      <c r="J559" s="38"/>
    </row>
    <row r="560" spans="1:10">
      <c r="A560" s="35"/>
      <c r="J560" s="38"/>
    </row>
    <row r="561" spans="1:10">
      <c r="A561" s="35"/>
      <c r="J561" s="38"/>
    </row>
    <row r="562" spans="1:10">
      <c r="A562" s="35"/>
      <c r="J562" s="38"/>
    </row>
    <row r="563" spans="1:10">
      <c r="A563" s="35"/>
      <c r="J563" s="38"/>
    </row>
    <row r="564" spans="1:10">
      <c r="A564" s="35"/>
      <c r="J564" s="38"/>
    </row>
    <row r="565" spans="1:10">
      <c r="A565" s="35"/>
      <c r="J565" s="38"/>
    </row>
    <row r="566" spans="1:10">
      <c r="A566" s="35"/>
      <c r="J566" s="38"/>
    </row>
    <row r="567" spans="1:10">
      <c r="A567" s="35"/>
      <c r="J567" s="38"/>
    </row>
    <row r="568" spans="1:10">
      <c r="A568" s="35"/>
      <c r="J568" s="38"/>
    </row>
    <row r="569" spans="1:10">
      <c r="A569" s="35"/>
      <c r="J569" s="38"/>
    </row>
    <row r="570" spans="1:10">
      <c r="A570" s="35"/>
      <c r="J570" s="38"/>
    </row>
    <row r="571" spans="1:10">
      <c r="A571" s="35"/>
      <c r="J571" s="38"/>
    </row>
    <row r="572" spans="1:10">
      <c r="A572" s="35"/>
      <c r="J572" s="38"/>
    </row>
    <row r="573" spans="1:10">
      <c r="A573" s="35"/>
      <c r="J573" s="38"/>
    </row>
    <row r="574" spans="1:10">
      <c r="A574" s="35"/>
      <c r="J574" s="38"/>
    </row>
    <row r="575" spans="1:10">
      <c r="A575" s="35"/>
      <c r="J575" s="38"/>
    </row>
    <row r="576" spans="1:10">
      <c r="A576" s="35"/>
      <c r="J576" s="38"/>
    </row>
    <row r="577" spans="1:10">
      <c r="A577" s="35"/>
      <c r="J577" s="38"/>
    </row>
    <row r="578" spans="1:10">
      <c r="A578" s="35"/>
      <c r="J578" s="38"/>
    </row>
    <row r="579" spans="1:10">
      <c r="A579" s="35"/>
      <c r="J579" s="38"/>
    </row>
    <row r="580" spans="1:10">
      <c r="A580" s="35"/>
      <c r="J580" s="38"/>
    </row>
    <row r="581" spans="1:10">
      <c r="A581" s="35"/>
      <c r="J581" s="38"/>
    </row>
    <row r="582" spans="1:10">
      <c r="A582" s="35"/>
      <c r="J582" s="38"/>
    </row>
    <row r="583" spans="1:10">
      <c r="A583" s="35"/>
      <c r="J583" s="38"/>
    </row>
    <row r="584" spans="1:10">
      <c r="A584" s="35"/>
      <c r="J584" s="38"/>
    </row>
    <row r="585" spans="1:10">
      <c r="A585" s="35"/>
      <c r="J585" s="38"/>
    </row>
    <row r="586" spans="1:10">
      <c r="A586" s="35"/>
      <c r="J586" s="38"/>
    </row>
    <row r="587" spans="1:10">
      <c r="A587" s="35"/>
      <c r="J587" s="38"/>
    </row>
    <row r="588" spans="1:10">
      <c r="A588" s="35"/>
      <c r="J588" s="38"/>
    </row>
    <row r="589" spans="1:10">
      <c r="A589" s="35"/>
      <c r="J589" s="38"/>
    </row>
    <row r="590" spans="1:10">
      <c r="A590" s="35"/>
      <c r="J590" s="38"/>
    </row>
    <row r="591" spans="1:10">
      <c r="A591" s="35"/>
      <c r="J591" s="38"/>
    </row>
    <row r="592" spans="1:10">
      <c r="A592" s="35"/>
      <c r="J592" s="38"/>
    </row>
    <row r="593" spans="1:10">
      <c r="A593" s="35"/>
      <c r="J593" s="38"/>
    </row>
    <row r="594" spans="1:10">
      <c r="A594" s="35"/>
      <c r="J594" s="38"/>
    </row>
    <row r="595" spans="1:10">
      <c r="A595" s="35"/>
      <c r="J595" s="38"/>
    </row>
    <row r="596" spans="1:10">
      <c r="A596" s="35"/>
      <c r="J596" s="38"/>
    </row>
    <row r="597" spans="1:10">
      <c r="A597" s="35"/>
      <c r="J597" s="38"/>
    </row>
    <row r="598" spans="1:10">
      <c r="A598" s="35"/>
      <c r="J598" s="38"/>
    </row>
    <row r="599" spans="1:10">
      <c r="A599" s="35"/>
      <c r="J599" s="38"/>
    </row>
    <row r="600" spans="1:10">
      <c r="A600" s="35"/>
      <c r="J600" s="38"/>
    </row>
    <row r="601" spans="1:10">
      <c r="A601" s="35"/>
      <c r="J601" s="38"/>
    </row>
    <row r="602" spans="1:10">
      <c r="A602" s="35"/>
      <c r="J602" s="38"/>
    </row>
    <row r="603" spans="1:10">
      <c r="A603" s="35"/>
      <c r="J603" s="38"/>
    </row>
    <row r="604" spans="1:10">
      <c r="A604" s="35"/>
      <c r="J604" s="38"/>
    </row>
    <row r="605" spans="1:10">
      <c r="A605" s="35"/>
      <c r="J605" s="38"/>
    </row>
    <row r="606" spans="1:10">
      <c r="A606" s="35"/>
      <c r="J606" s="38"/>
    </row>
    <row r="607" spans="1:10">
      <c r="A607" s="35"/>
      <c r="J607" s="38"/>
    </row>
    <row r="608" spans="1:10">
      <c r="A608" s="35"/>
      <c r="J608" s="38"/>
    </row>
    <row r="609" spans="1:10">
      <c r="A609" s="35"/>
      <c r="J609" s="38"/>
    </row>
    <row r="610" spans="1:10">
      <c r="A610" s="35"/>
      <c r="J610" s="38"/>
    </row>
    <row r="611" spans="1:10">
      <c r="A611" s="35"/>
      <c r="J611" s="38"/>
    </row>
    <row r="612" spans="1:10">
      <c r="A612" s="35"/>
      <c r="J612" s="38"/>
    </row>
    <row r="613" spans="1:10">
      <c r="A613" s="35"/>
      <c r="J613" s="38"/>
    </row>
    <row r="614" spans="1:10">
      <c r="A614" s="35"/>
      <c r="J614" s="38"/>
    </row>
    <row r="615" spans="1:10">
      <c r="A615" s="35"/>
      <c r="J615" s="38"/>
    </row>
    <row r="616" spans="1:10">
      <c r="A616" s="35"/>
      <c r="J616" s="38"/>
    </row>
    <row r="617" spans="1:10">
      <c r="A617" s="35"/>
      <c r="J617" s="38"/>
    </row>
    <row r="618" spans="1:10">
      <c r="A618" s="35"/>
      <c r="J618" s="38"/>
    </row>
    <row r="619" spans="1:10">
      <c r="A619" s="35"/>
      <c r="J619" s="38"/>
    </row>
    <row r="620" spans="1:10">
      <c r="A620" s="35"/>
      <c r="J620" s="38"/>
    </row>
    <row r="621" spans="1:10">
      <c r="A621" s="35"/>
      <c r="J621" s="38"/>
    </row>
    <row r="622" spans="1:10">
      <c r="A622" s="35"/>
      <c r="J622" s="38"/>
    </row>
    <row r="623" spans="1:10">
      <c r="A623" s="35"/>
      <c r="J623" s="38"/>
    </row>
    <row r="624" spans="1:10">
      <c r="A624" s="35"/>
      <c r="J624" s="38"/>
    </row>
    <row r="625" spans="1:10">
      <c r="A625" s="35"/>
      <c r="J625" s="38"/>
    </row>
    <row r="626" spans="1:10">
      <c r="A626" s="35"/>
      <c r="J626" s="38"/>
    </row>
    <row r="627" spans="1:10">
      <c r="A627" s="35"/>
      <c r="J627" s="38"/>
    </row>
    <row r="628" spans="1:10">
      <c r="A628" s="35"/>
      <c r="J628" s="38"/>
    </row>
    <row r="629" spans="1:10">
      <c r="A629" s="35"/>
      <c r="J629" s="38"/>
    </row>
    <row r="630" spans="1:10">
      <c r="A630" s="35"/>
      <c r="J630" s="38"/>
    </row>
    <row r="631" spans="1:10">
      <c r="A631" s="35"/>
      <c r="J631" s="38"/>
    </row>
    <row r="632" spans="1:10">
      <c r="A632" s="35"/>
      <c r="J632" s="38"/>
    </row>
    <row r="633" spans="1:10">
      <c r="A633" s="35"/>
      <c r="J633" s="38"/>
    </row>
    <row r="634" spans="1:10">
      <c r="A634" s="35"/>
      <c r="J634" s="38"/>
    </row>
    <row r="635" spans="1:10">
      <c r="A635" s="35"/>
      <c r="J635" s="38"/>
    </row>
    <row r="636" spans="1:10">
      <c r="A636" s="35"/>
      <c r="J636" s="38"/>
    </row>
    <row r="637" spans="1:10">
      <c r="A637" s="35"/>
      <c r="J637" s="38"/>
    </row>
    <row r="638" spans="1:10">
      <c r="A638" s="35"/>
      <c r="J638" s="38"/>
    </row>
    <row r="639" spans="1:10">
      <c r="A639" s="35"/>
      <c r="J639" s="38"/>
    </row>
    <row r="640" spans="1:10">
      <c r="A640" s="35"/>
      <c r="J640" s="38"/>
    </row>
    <row r="641" spans="1:10">
      <c r="A641" s="35"/>
      <c r="J641" s="38"/>
    </row>
    <row r="642" spans="1:10">
      <c r="A642" s="35"/>
      <c r="J642" s="38"/>
    </row>
    <row r="643" spans="1:10">
      <c r="A643" s="35"/>
      <c r="J643" s="38"/>
    </row>
    <row r="644" spans="1:10">
      <c r="A644" s="35"/>
      <c r="J644" s="38"/>
    </row>
    <row r="645" spans="1:10">
      <c r="A645" s="35"/>
      <c r="J645" s="38"/>
    </row>
    <row r="646" spans="1:10">
      <c r="A646" s="35"/>
      <c r="J646" s="38"/>
    </row>
    <row r="647" spans="1:10">
      <c r="A647" s="35"/>
      <c r="J647" s="38"/>
    </row>
    <row r="648" spans="1:10">
      <c r="A648" s="35"/>
      <c r="J648" s="38"/>
    </row>
    <row r="649" spans="1:10">
      <c r="A649" s="35"/>
      <c r="J649" s="38"/>
    </row>
    <row r="650" spans="1:10">
      <c r="A650" s="35"/>
      <c r="J650" s="38"/>
    </row>
    <row r="651" spans="1:10">
      <c r="A651" s="35"/>
      <c r="J651" s="38"/>
    </row>
    <row r="652" spans="1:10">
      <c r="A652" s="35"/>
      <c r="J652" s="38"/>
    </row>
    <row r="653" spans="1:10">
      <c r="A653" s="35"/>
      <c r="J653" s="38"/>
    </row>
    <row r="654" spans="1:10">
      <c r="A654" s="35"/>
      <c r="J654" s="38"/>
    </row>
    <row r="655" spans="1:10">
      <c r="A655" s="35"/>
      <c r="J655" s="38"/>
    </row>
    <row r="656" spans="1:10">
      <c r="A656" s="35"/>
      <c r="J656" s="38"/>
    </row>
    <row r="657" spans="1:10">
      <c r="A657" s="35"/>
      <c r="J657" s="38"/>
    </row>
    <row r="658" spans="1:10">
      <c r="A658" s="35"/>
      <c r="J658" s="38"/>
    </row>
    <row r="659" spans="1:10">
      <c r="A659" s="35"/>
      <c r="J659" s="38"/>
    </row>
    <row r="660" spans="1:10">
      <c r="A660" s="35"/>
      <c r="J660" s="38"/>
    </row>
    <row r="661" spans="1:10">
      <c r="A661" s="35"/>
      <c r="J661" s="38"/>
    </row>
    <row r="662" spans="1:10">
      <c r="A662" s="35"/>
      <c r="J662" s="38"/>
    </row>
    <row r="663" spans="1:10">
      <c r="A663" s="35"/>
      <c r="J663" s="38"/>
    </row>
    <row r="664" spans="1:10">
      <c r="A664" s="35"/>
      <c r="J664" s="38"/>
    </row>
    <row r="665" spans="1:10">
      <c r="A665" s="35"/>
      <c r="J665" s="38"/>
    </row>
    <row r="666" spans="1:10">
      <c r="A666" s="35"/>
      <c r="J666" s="38"/>
    </row>
    <row r="667" spans="1:10">
      <c r="A667" s="35"/>
      <c r="J667" s="38"/>
    </row>
    <row r="668" spans="1:10">
      <c r="A668" s="35"/>
      <c r="J668" s="38"/>
    </row>
    <row r="669" spans="1:10">
      <c r="A669" s="35"/>
      <c r="J669" s="38"/>
    </row>
    <row r="670" spans="1:10">
      <c r="A670" s="35"/>
      <c r="J670" s="38"/>
    </row>
    <row r="671" spans="1:10">
      <c r="A671" s="35"/>
      <c r="J671" s="38"/>
    </row>
    <row r="672" spans="1:10">
      <c r="A672" s="35"/>
      <c r="J672" s="38"/>
    </row>
    <row r="673" spans="1:10">
      <c r="A673" s="35"/>
      <c r="J673" s="38"/>
    </row>
    <row r="674" spans="1:10">
      <c r="A674" s="35"/>
      <c r="J674" s="38"/>
    </row>
    <row r="675" spans="1:10">
      <c r="A675" s="35"/>
      <c r="J675" s="38"/>
    </row>
    <row r="676" spans="1:10">
      <c r="A676" s="35"/>
      <c r="J676" s="38"/>
    </row>
    <row r="677" spans="1:10">
      <c r="A677" s="35"/>
      <c r="J677" s="38"/>
    </row>
    <row r="678" spans="1:10">
      <c r="A678" s="35"/>
      <c r="J678" s="38"/>
    </row>
    <row r="679" spans="1:10">
      <c r="A679" s="35"/>
      <c r="J679" s="38"/>
    </row>
    <row r="680" spans="1:10">
      <c r="A680" s="35"/>
      <c r="J680" s="38"/>
    </row>
    <row r="681" spans="1:10">
      <c r="A681" s="35"/>
      <c r="J681" s="38"/>
    </row>
    <row r="682" spans="1:10">
      <c r="A682" s="35"/>
      <c r="J682" s="38"/>
    </row>
    <row r="683" spans="1:10">
      <c r="A683" s="35"/>
      <c r="J683" s="38"/>
    </row>
    <row r="684" spans="1:10">
      <c r="A684" s="35"/>
      <c r="J684" s="38"/>
    </row>
    <row r="685" spans="1:10">
      <c r="A685" s="35"/>
      <c r="J685" s="38"/>
    </row>
    <row r="686" spans="1:10">
      <c r="A686" s="35"/>
      <c r="J686" s="38"/>
    </row>
    <row r="687" spans="1:10">
      <c r="A687" s="35"/>
      <c r="J687" s="38"/>
    </row>
    <row r="688" spans="1:10">
      <c r="A688" s="35"/>
      <c r="J688" s="38"/>
    </row>
    <row r="689" spans="1:10">
      <c r="A689" s="35"/>
      <c r="J689" s="38"/>
    </row>
    <row r="690" spans="1:10">
      <c r="A690" s="35"/>
      <c r="J690" s="38"/>
    </row>
    <row r="691" spans="1:10">
      <c r="A691" s="35"/>
      <c r="J691" s="38"/>
    </row>
    <row r="692" spans="1:10">
      <c r="A692" s="35"/>
      <c r="J692" s="38"/>
    </row>
    <row r="693" spans="1:10">
      <c r="A693" s="35"/>
      <c r="J693" s="38"/>
    </row>
    <row r="694" spans="1:10">
      <c r="A694" s="35"/>
      <c r="J694" s="38"/>
    </row>
    <row r="695" spans="1:10">
      <c r="A695" s="35"/>
      <c r="J695" s="38"/>
    </row>
    <row r="696" spans="1:10">
      <c r="A696" s="35"/>
      <c r="J696" s="38"/>
    </row>
    <row r="697" spans="1:10">
      <c r="A697" s="35"/>
      <c r="J697" s="38"/>
    </row>
    <row r="698" spans="1:10">
      <c r="A698" s="35"/>
      <c r="J698" s="38"/>
    </row>
    <row r="699" spans="1:10">
      <c r="A699" s="35"/>
      <c r="J699" s="38"/>
    </row>
    <row r="700" spans="1:10">
      <c r="A700" s="35"/>
      <c r="J700" s="38"/>
    </row>
    <row r="701" spans="1:10">
      <c r="A701" s="35"/>
      <c r="J701" s="38"/>
    </row>
    <row r="702" spans="1:10">
      <c r="A702" s="35"/>
      <c r="J702" s="38"/>
    </row>
    <row r="703" spans="1:10">
      <c r="A703" s="35"/>
      <c r="J703" s="38"/>
    </row>
    <row r="704" spans="1:10">
      <c r="A704" s="35"/>
      <c r="J704" s="38"/>
    </row>
    <row r="705" spans="1:10">
      <c r="A705" s="35"/>
      <c r="J705" s="38"/>
    </row>
    <row r="706" spans="1:10">
      <c r="A706" s="35"/>
      <c r="J706" s="38"/>
    </row>
    <row r="707" spans="1:10">
      <c r="A707" s="35"/>
      <c r="J707" s="38"/>
    </row>
    <row r="708" spans="1:10">
      <c r="A708" s="35"/>
      <c r="J708" s="38"/>
    </row>
    <row r="709" spans="1:10">
      <c r="A709" s="35"/>
      <c r="J709" s="38"/>
    </row>
    <row r="710" spans="1:10">
      <c r="A710" s="35"/>
      <c r="J710" s="38"/>
    </row>
    <row r="711" spans="1:10">
      <c r="A711" s="35"/>
      <c r="J711" s="38"/>
    </row>
    <row r="712" spans="1:10">
      <c r="A712" s="35"/>
      <c r="J712" s="38"/>
    </row>
    <row r="713" spans="1:10">
      <c r="A713" s="35"/>
      <c r="J713" s="38"/>
    </row>
    <row r="714" spans="1:10">
      <c r="A714" s="35"/>
      <c r="J714" s="38"/>
    </row>
    <row r="715" spans="1:10">
      <c r="A715" s="35"/>
      <c r="J715" s="38"/>
    </row>
    <row r="716" spans="1:10">
      <c r="A716" s="35"/>
      <c r="J716" s="38"/>
    </row>
    <row r="717" spans="1:10">
      <c r="A717" s="35"/>
      <c r="J717" s="38"/>
    </row>
    <row r="718" spans="1:10">
      <c r="A718" s="35"/>
      <c r="J718" s="38"/>
    </row>
    <row r="719" spans="1:10">
      <c r="A719" s="35"/>
      <c r="J719" s="38"/>
    </row>
    <row r="720" spans="1:10">
      <c r="A720" s="35"/>
      <c r="J720" s="38"/>
    </row>
    <row r="721" spans="1:10">
      <c r="A721" s="35"/>
      <c r="J721" s="38"/>
    </row>
    <row r="722" spans="1:10">
      <c r="A722" s="35"/>
      <c r="J722" s="38"/>
    </row>
    <row r="723" spans="1:10">
      <c r="A723" s="35"/>
      <c r="J723" s="38"/>
    </row>
    <row r="724" spans="1:10">
      <c r="A724" s="35"/>
      <c r="J724" s="38"/>
    </row>
    <row r="725" spans="1:10">
      <c r="A725" s="35"/>
      <c r="J725" s="38"/>
    </row>
    <row r="726" spans="1:10">
      <c r="A726" s="35"/>
      <c r="J726" s="38"/>
    </row>
    <row r="727" spans="1:10">
      <c r="A727" s="35"/>
      <c r="J727" s="38"/>
    </row>
    <row r="728" spans="1:10">
      <c r="A728" s="35"/>
      <c r="J728" s="38"/>
    </row>
    <row r="729" spans="1:10">
      <c r="A729" s="35"/>
      <c r="J729" s="38"/>
    </row>
    <row r="730" spans="1:10">
      <c r="A730" s="35"/>
      <c r="J730" s="38"/>
    </row>
    <row r="731" spans="1:10">
      <c r="A731" s="35"/>
      <c r="J731" s="38"/>
    </row>
    <row r="732" spans="1:10">
      <c r="A732" s="35"/>
      <c r="J732" s="38"/>
    </row>
    <row r="733" spans="1:10">
      <c r="A733" s="35"/>
      <c r="J733" s="38"/>
    </row>
    <row r="734" spans="1:10">
      <c r="A734" s="35"/>
      <c r="J734" s="38"/>
    </row>
    <row r="735" spans="1:10">
      <c r="A735" s="35"/>
      <c r="J735" s="38"/>
    </row>
    <row r="736" spans="1:10">
      <c r="A736" s="35"/>
      <c r="J736" s="38"/>
    </row>
    <row r="737" spans="1:10">
      <c r="A737" s="35"/>
      <c r="J737" s="38"/>
    </row>
    <row r="738" spans="1:10">
      <c r="A738" s="35"/>
      <c r="J738" s="38"/>
    </row>
    <row r="739" spans="1:10">
      <c r="A739" s="35"/>
      <c r="J739" s="38"/>
    </row>
    <row r="740" spans="1:10">
      <c r="A740" s="35"/>
      <c r="J740" s="38"/>
    </row>
    <row r="741" spans="1:10">
      <c r="A741" s="35"/>
      <c r="J741" s="38"/>
    </row>
    <row r="742" spans="1:10">
      <c r="A742" s="35"/>
      <c r="J742" s="38"/>
    </row>
    <row r="743" spans="1:10">
      <c r="A743" s="35"/>
      <c r="J743" s="38"/>
    </row>
    <row r="744" spans="1:10">
      <c r="A744" s="35"/>
      <c r="J744" s="38"/>
    </row>
    <row r="745" spans="1:10">
      <c r="A745" s="35"/>
      <c r="J745" s="38"/>
    </row>
    <row r="746" spans="1:10">
      <c r="A746" s="35"/>
      <c r="J746" s="38"/>
    </row>
    <row r="747" spans="1:10">
      <c r="A747" s="35"/>
      <c r="J747" s="38"/>
    </row>
    <row r="748" spans="1:10">
      <c r="A748" s="35"/>
      <c r="J748" s="38"/>
    </row>
    <row r="749" spans="1:10">
      <c r="A749" s="35"/>
      <c r="J749" s="38"/>
    </row>
    <row r="750" spans="1:10">
      <c r="A750" s="35"/>
      <c r="J750" s="38"/>
    </row>
    <row r="751" spans="1:10">
      <c r="A751" s="35"/>
      <c r="J751" s="38"/>
    </row>
    <row r="752" spans="1:10">
      <c r="A752" s="35"/>
      <c r="J752" s="38"/>
    </row>
    <row r="753" spans="1:10">
      <c r="A753" s="35"/>
      <c r="J753" s="38"/>
    </row>
    <row r="754" spans="1:10">
      <c r="A754" s="35"/>
      <c r="J754" s="38"/>
    </row>
    <row r="755" spans="1:10">
      <c r="A755" s="35"/>
      <c r="J755" s="38"/>
    </row>
    <row r="756" spans="1:10">
      <c r="A756" s="35"/>
      <c r="J756" s="38"/>
    </row>
    <row r="757" spans="1:10">
      <c r="A757" s="35"/>
      <c r="J757" s="38"/>
    </row>
    <row r="758" spans="1:10">
      <c r="A758" s="35"/>
      <c r="J758" s="38"/>
    </row>
    <row r="759" spans="1:10">
      <c r="A759" s="35"/>
      <c r="J759" s="38"/>
    </row>
    <row r="760" spans="1:10">
      <c r="A760" s="35"/>
      <c r="J760" s="38"/>
    </row>
    <row r="761" spans="1:10">
      <c r="A761" s="35"/>
      <c r="J761" s="38"/>
    </row>
    <row r="762" spans="1:10">
      <c r="A762" s="35"/>
      <c r="J762" s="38"/>
    </row>
    <row r="763" spans="1:10">
      <c r="A763" s="35"/>
      <c r="J763" s="38"/>
    </row>
    <row r="764" spans="1:10">
      <c r="A764" s="35"/>
      <c r="J764" s="38"/>
    </row>
    <row r="765" spans="1:10">
      <c r="A765" s="35"/>
      <c r="J765" s="38"/>
    </row>
    <row r="766" spans="1:10">
      <c r="A766" s="35"/>
      <c r="J766" s="38"/>
    </row>
    <row r="767" spans="1:10">
      <c r="A767" s="35"/>
      <c r="J767" s="38"/>
    </row>
    <row r="768" spans="1:10">
      <c r="A768" s="35"/>
      <c r="J768" s="38"/>
    </row>
    <row r="769" spans="1:10">
      <c r="A769" s="35"/>
      <c r="J769" s="38"/>
    </row>
    <row r="770" spans="1:10">
      <c r="A770" s="35"/>
      <c r="J770" s="38"/>
    </row>
    <row r="771" spans="1:10">
      <c r="A771" s="35"/>
      <c r="J771" s="38"/>
    </row>
    <row r="772" spans="1:10">
      <c r="A772" s="35"/>
      <c r="J772" s="38"/>
    </row>
    <row r="773" spans="1:10">
      <c r="A773" s="35"/>
      <c r="J773" s="38"/>
    </row>
    <row r="774" spans="1:10">
      <c r="A774" s="35"/>
      <c r="J774" s="38"/>
    </row>
    <row r="775" spans="1:10">
      <c r="A775" s="35"/>
      <c r="J775" s="38"/>
    </row>
    <row r="776" spans="1:10">
      <c r="A776" s="35"/>
      <c r="J776" s="38"/>
    </row>
    <row r="777" spans="1:10">
      <c r="A777" s="35"/>
      <c r="J777" s="38"/>
    </row>
    <row r="778" spans="1:10">
      <c r="A778" s="35"/>
      <c r="J778" s="38"/>
    </row>
    <row r="779" spans="1:10">
      <c r="A779" s="35"/>
      <c r="J779" s="38"/>
    </row>
    <row r="780" spans="1:10">
      <c r="A780" s="35"/>
      <c r="J780" s="38"/>
    </row>
    <row r="781" spans="1:10">
      <c r="A781" s="35"/>
      <c r="J781" s="38"/>
    </row>
    <row r="782" spans="1:10">
      <c r="A782" s="35"/>
      <c r="J782" s="38"/>
    </row>
    <row r="783" spans="1:10">
      <c r="A783" s="35"/>
      <c r="J783" s="38"/>
    </row>
    <row r="784" spans="1:10">
      <c r="A784" s="35"/>
      <c r="J784" s="38"/>
    </row>
    <row r="785" spans="1:10">
      <c r="A785" s="35"/>
      <c r="J785" s="38"/>
    </row>
    <row r="786" spans="1:10">
      <c r="A786" s="35"/>
      <c r="J786" s="38"/>
    </row>
    <row r="787" spans="1:10">
      <c r="A787" s="35"/>
      <c r="J787" s="38"/>
    </row>
    <row r="788" spans="1:10">
      <c r="A788" s="35"/>
      <c r="J788" s="38"/>
    </row>
    <row r="789" spans="1:10">
      <c r="A789" s="35"/>
      <c r="J789" s="38"/>
    </row>
    <row r="790" spans="1:10">
      <c r="A790" s="35"/>
      <c r="J790" s="38"/>
    </row>
    <row r="791" spans="1:10">
      <c r="A791" s="35"/>
      <c r="J791" s="38"/>
    </row>
    <row r="792" spans="1:10">
      <c r="A792" s="35"/>
      <c r="J792" s="38"/>
    </row>
    <row r="793" spans="1:10">
      <c r="A793" s="35"/>
      <c r="J793" s="38"/>
    </row>
    <row r="794" spans="1:10">
      <c r="A794" s="35"/>
      <c r="J794" s="38"/>
    </row>
    <row r="795" spans="1:10">
      <c r="A795" s="35"/>
      <c r="J795" s="38"/>
    </row>
    <row r="796" spans="1:10">
      <c r="A796" s="35"/>
      <c r="J796" s="38"/>
    </row>
    <row r="797" spans="1:10">
      <c r="A797" s="35"/>
      <c r="J797" s="38"/>
    </row>
    <row r="798" spans="1:10">
      <c r="A798" s="35"/>
      <c r="J798" s="38"/>
    </row>
    <row r="799" spans="1:10">
      <c r="A799" s="35"/>
      <c r="J799" s="38"/>
    </row>
    <row r="800" spans="1:10">
      <c r="A800" s="35"/>
      <c r="J800" s="38"/>
    </row>
    <row r="801" spans="1:10">
      <c r="A801" s="35"/>
      <c r="J801" s="38"/>
    </row>
    <row r="802" spans="1:10">
      <c r="A802" s="35"/>
      <c r="J802" s="38"/>
    </row>
    <row r="803" spans="1:10">
      <c r="A803" s="35"/>
      <c r="J803" s="38"/>
    </row>
    <row r="804" spans="1:10">
      <c r="A804" s="35"/>
      <c r="J804" s="38"/>
    </row>
    <row r="805" spans="1:10">
      <c r="A805" s="35"/>
      <c r="J805" s="38"/>
    </row>
    <row r="806" spans="1:10">
      <c r="A806" s="35"/>
      <c r="J806" s="38"/>
    </row>
    <row r="807" spans="1:10">
      <c r="A807" s="35"/>
      <c r="J807" s="38"/>
    </row>
    <row r="808" spans="1:10">
      <c r="A808" s="35"/>
      <c r="J808" s="38"/>
    </row>
    <row r="809" spans="1:10">
      <c r="A809" s="35"/>
      <c r="J809" s="38"/>
    </row>
    <row r="810" spans="1:10">
      <c r="A810" s="35"/>
      <c r="J810" s="38"/>
    </row>
    <row r="811" spans="1:10">
      <c r="A811" s="35"/>
      <c r="J811" s="38"/>
    </row>
    <row r="812" spans="1:10">
      <c r="A812" s="35"/>
      <c r="J812" s="38"/>
    </row>
    <row r="813" spans="1:10">
      <c r="A813" s="35"/>
      <c r="J813" s="38"/>
    </row>
    <row r="814" spans="1:10">
      <c r="A814" s="35"/>
      <c r="J814" s="38"/>
    </row>
    <row r="815" spans="1:10">
      <c r="A815" s="35"/>
      <c r="J815" s="38"/>
    </row>
    <row r="816" spans="1:10">
      <c r="A816" s="35"/>
      <c r="J816" s="38"/>
    </row>
    <row r="817" spans="1:10">
      <c r="A817" s="35"/>
      <c r="J817" s="38"/>
    </row>
    <row r="818" spans="1:10">
      <c r="A818" s="35"/>
      <c r="J818" s="38"/>
    </row>
    <row r="819" spans="1:10">
      <c r="A819" s="35"/>
      <c r="J819" s="38"/>
    </row>
    <row r="820" spans="1:10">
      <c r="A820" s="35"/>
      <c r="J820" s="38"/>
    </row>
    <row r="821" spans="1:10">
      <c r="A821" s="35"/>
      <c r="J821" s="38"/>
    </row>
    <row r="822" spans="1:10">
      <c r="A822" s="35"/>
      <c r="J822" s="38"/>
    </row>
    <row r="823" spans="1:10">
      <c r="A823" s="35"/>
      <c r="J823" s="38"/>
    </row>
    <row r="824" spans="1:10">
      <c r="A824" s="35"/>
      <c r="J824" s="38"/>
    </row>
    <row r="825" spans="1:10">
      <c r="A825" s="35"/>
      <c r="J825" s="38"/>
    </row>
    <row r="826" spans="1:10">
      <c r="A826" s="35"/>
      <c r="J826" s="38"/>
    </row>
    <row r="827" spans="1:10">
      <c r="A827" s="35"/>
      <c r="J827" s="38"/>
    </row>
    <row r="828" spans="1:10">
      <c r="A828" s="35"/>
      <c r="J828" s="38"/>
    </row>
    <row r="829" spans="1:10">
      <c r="A829" s="35"/>
      <c r="J829" s="38"/>
    </row>
    <row r="830" spans="1:10">
      <c r="A830" s="35"/>
      <c r="J830" s="38"/>
    </row>
    <row r="831" spans="1:10">
      <c r="A831" s="35"/>
      <c r="J831" s="38"/>
    </row>
    <row r="832" spans="1:10">
      <c r="A832" s="35"/>
      <c r="J832" s="38"/>
    </row>
    <row r="833" spans="1:10">
      <c r="A833" s="35"/>
      <c r="J833" s="38"/>
    </row>
    <row r="834" spans="1:10">
      <c r="A834" s="35"/>
      <c r="J834" s="38"/>
    </row>
    <row r="835" spans="1:10">
      <c r="A835" s="35"/>
      <c r="J835" s="38"/>
    </row>
    <row r="836" spans="1:10">
      <c r="A836" s="35"/>
      <c r="J836" s="38"/>
    </row>
    <row r="837" spans="1:10">
      <c r="A837" s="35"/>
      <c r="J837" s="38"/>
    </row>
    <row r="838" spans="1:10">
      <c r="A838" s="35"/>
      <c r="J838" s="38"/>
    </row>
    <row r="839" spans="1:10">
      <c r="A839" s="35"/>
      <c r="J839" s="38"/>
    </row>
    <row r="840" spans="1:10">
      <c r="A840" s="35"/>
      <c r="J840" s="38"/>
    </row>
    <row r="841" spans="1:10">
      <c r="A841" s="35"/>
      <c r="J841" s="38"/>
    </row>
    <row r="842" spans="1:10">
      <c r="A842" s="35"/>
      <c r="J842" s="38"/>
    </row>
    <row r="843" spans="1:10">
      <c r="A843" s="35"/>
      <c r="J843" s="38"/>
    </row>
    <row r="844" spans="1:10">
      <c r="A844" s="35"/>
      <c r="J844" s="38"/>
    </row>
    <row r="845" spans="1:10">
      <c r="A845" s="35"/>
      <c r="J845" s="38"/>
    </row>
    <row r="846" spans="1:10">
      <c r="A846" s="35"/>
      <c r="J846" s="38"/>
    </row>
    <row r="847" spans="1:10">
      <c r="A847" s="35"/>
      <c r="J847" s="38"/>
    </row>
    <row r="848" spans="1:10">
      <c r="A848" s="35"/>
      <c r="J848" s="38"/>
    </row>
    <row r="849" spans="1:10">
      <c r="A849" s="35"/>
      <c r="J849" s="38"/>
    </row>
    <row r="850" spans="1:10">
      <c r="A850" s="35"/>
      <c r="J850" s="38"/>
    </row>
    <row r="851" spans="1:10">
      <c r="A851" s="35"/>
      <c r="J851" s="38"/>
    </row>
    <row r="852" spans="1:10">
      <c r="A852" s="35"/>
      <c r="J852" s="38"/>
    </row>
    <row r="853" spans="1:10">
      <c r="A853" s="35"/>
      <c r="J853" s="38"/>
    </row>
    <row r="854" spans="1:10">
      <c r="A854" s="35"/>
      <c r="J854" s="38"/>
    </row>
    <row r="855" spans="1:10">
      <c r="A855" s="35"/>
      <c r="J855" s="38"/>
    </row>
    <row r="856" spans="1:10">
      <c r="A856" s="35"/>
      <c r="J856" s="38"/>
    </row>
    <row r="857" spans="1:10">
      <c r="A857" s="35"/>
      <c r="J857" s="38"/>
    </row>
    <row r="858" spans="1:10">
      <c r="A858" s="35"/>
      <c r="J858" s="38"/>
    </row>
    <row r="859" spans="1:10">
      <c r="A859" s="35"/>
      <c r="J859" s="38"/>
    </row>
    <row r="860" spans="1:10">
      <c r="A860" s="35"/>
      <c r="J860" s="38"/>
    </row>
    <row r="861" spans="1:10">
      <c r="A861" s="35"/>
      <c r="J861" s="38"/>
    </row>
    <row r="862" spans="1:10">
      <c r="A862" s="35"/>
      <c r="J862" s="38"/>
    </row>
    <row r="863" spans="1:10">
      <c r="A863" s="35"/>
      <c r="J863" s="38"/>
    </row>
    <row r="864" spans="1:10">
      <c r="A864" s="35"/>
      <c r="J864" s="38"/>
    </row>
    <row r="865" spans="1:10">
      <c r="A865" s="35"/>
      <c r="J865" s="38"/>
    </row>
    <row r="866" spans="1:10">
      <c r="A866" s="35"/>
      <c r="J866" s="38"/>
    </row>
    <row r="867" spans="1:10">
      <c r="A867" s="35"/>
      <c r="J867" s="38"/>
    </row>
    <row r="868" spans="1:10">
      <c r="A868" s="35"/>
      <c r="J868" s="38"/>
    </row>
    <row r="869" spans="1:10">
      <c r="A869" s="35"/>
      <c r="J869" s="38"/>
    </row>
    <row r="870" spans="1:10">
      <c r="A870" s="35"/>
      <c r="J870" s="38"/>
    </row>
    <row r="871" spans="1:10">
      <c r="A871" s="35"/>
      <c r="J871" s="38"/>
    </row>
    <row r="872" spans="1:10">
      <c r="A872" s="35"/>
      <c r="J872" s="38"/>
    </row>
    <row r="873" spans="1:10">
      <c r="A873" s="35"/>
      <c r="J873" s="38"/>
    </row>
    <row r="874" spans="1:10">
      <c r="A874" s="35"/>
      <c r="J874" s="38"/>
    </row>
    <row r="875" spans="1:10">
      <c r="A875" s="35"/>
      <c r="J875" s="38"/>
    </row>
    <row r="876" spans="1:10">
      <c r="A876" s="35"/>
      <c r="J876" s="38"/>
    </row>
    <row r="877" spans="1:10">
      <c r="A877" s="35"/>
      <c r="J877" s="38"/>
    </row>
    <row r="878" spans="1:10">
      <c r="A878" s="35"/>
      <c r="J878" s="38"/>
    </row>
    <row r="879" spans="1:10">
      <c r="A879" s="35"/>
      <c r="J879" s="38"/>
    </row>
    <row r="880" spans="1:10">
      <c r="A880" s="35"/>
      <c r="J880" s="38"/>
    </row>
    <row r="881" spans="1:10">
      <c r="A881" s="35"/>
      <c r="J881" s="38"/>
    </row>
    <row r="882" spans="1:10">
      <c r="A882" s="35"/>
      <c r="J882" s="38"/>
    </row>
    <row r="883" spans="1:10">
      <c r="A883" s="35"/>
      <c r="J883" s="38"/>
    </row>
    <row r="884" spans="1:10">
      <c r="A884" s="35"/>
      <c r="J884" s="38"/>
    </row>
    <row r="885" spans="1:10">
      <c r="A885" s="35"/>
      <c r="J885" s="38"/>
    </row>
    <row r="886" spans="1:10">
      <c r="A886" s="35"/>
      <c r="J886" s="38"/>
    </row>
    <row r="887" spans="1:10">
      <c r="A887" s="35"/>
      <c r="J887" s="38"/>
    </row>
    <row r="888" spans="1:10">
      <c r="A888" s="35"/>
      <c r="J888" s="38"/>
    </row>
    <row r="889" spans="1:10">
      <c r="A889" s="35"/>
      <c r="J889" s="38"/>
    </row>
    <row r="890" spans="1:10">
      <c r="A890" s="35"/>
      <c r="J890" s="38"/>
    </row>
    <row r="891" spans="1:10">
      <c r="A891" s="35"/>
      <c r="J891" s="38"/>
    </row>
    <row r="892" spans="1:10">
      <c r="A892" s="35"/>
      <c r="J892" s="38"/>
    </row>
    <row r="893" spans="1:10">
      <c r="A893" s="35"/>
      <c r="J893" s="38"/>
    </row>
    <row r="894" spans="1:10">
      <c r="A894" s="35"/>
      <c r="J894" s="38"/>
    </row>
    <row r="895" spans="1:10">
      <c r="A895" s="35"/>
      <c r="J895" s="38"/>
    </row>
    <row r="896" spans="1:10">
      <c r="A896" s="35"/>
      <c r="J896" s="38"/>
    </row>
    <row r="897" spans="1:10">
      <c r="A897" s="35"/>
      <c r="J897" s="38"/>
    </row>
    <row r="898" spans="1:10">
      <c r="A898" s="35"/>
      <c r="J898" s="38"/>
    </row>
    <row r="899" spans="1:10">
      <c r="A899" s="35"/>
      <c r="J899" s="38"/>
    </row>
    <row r="900" spans="1:10">
      <c r="A900" s="35"/>
      <c r="J900" s="38"/>
    </row>
    <row r="901" spans="1:10">
      <c r="A901" s="35"/>
      <c r="J901" s="38"/>
    </row>
    <row r="902" spans="1:10">
      <c r="A902" s="35"/>
      <c r="J902" s="38"/>
    </row>
    <row r="903" spans="1:10">
      <c r="A903" s="35"/>
      <c r="J903" s="38"/>
    </row>
    <row r="904" spans="1:10">
      <c r="A904" s="35"/>
      <c r="J904" s="38"/>
    </row>
    <row r="905" spans="1:10">
      <c r="A905" s="35"/>
      <c r="J905" s="38"/>
    </row>
    <row r="906" spans="1:10">
      <c r="A906" s="35"/>
      <c r="J906" s="38"/>
    </row>
    <row r="907" spans="1:10">
      <c r="A907" s="35"/>
      <c r="J907" s="38"/>
    </row>
    <row r="908" spans="1:10">
      <c r="A908" s="35"/>
      <c r="J908" s="38"/>
    </row>
    <row r="909" spans="1:10">
      <c r="A909" s="35"/>
      <c r="J909" s="38"/>
    </row>
    <row r="910" spans="1:10">
      <c r="A910" s="35"/>
      <c r="J910" s="38"/>
    </row>
    <row r="911" spans="1:10">
      <c r="A911" s="35"/>
      <c r="J911" s="38"/>
    </row>
    <row r="912" spans="1:10">
      <c r="A912" s="35"/>
      <c r="J912" s="38"/>
    </row>
    <row r="913" spans="1:10">
      <c r="A913" s="35"/>
      <c r="J913" s="38"/>
    </row>
    <row r="914" spans="1:10">
      <c r="A914" s="35"/>
      <c r="J914" s="38"/>
    </row>
    <row r="915" spans="1:10">
      <c r="A915" s="35"/>
      <c r="J915" s="38"/>
    </row>
    <row r="916" spans="1:10">
      <c r="A916" s="35"/>
      <c r="J916" s="38"/>
    </row>
    <row r="917" spans="1:10">
      <c r="A917" s="35"/>
      <c r="J917" s="38"/>
    </row>
    <row r="918" spans="1:10">
      <c r="A918" s="35"/>
      <c r="J918" s="38"/>
    </row>
    <row r="919" spans="1:10">
      <c r="A919" s="35"/>
      <c r="J919" s="38"/>
    </row>
    <row r="920" spans="1:10">
      <c r="A920" s="35"/>
      <c r="J920" s="38"/>
    </row>
    <row r="921" spans="1:10">
      <c r="A921" s="35"/>
      <c r="J921" s="38"/>
    </row>
    <row r="922" spans="1:10">
      <c r="A922" s="35"/>
      <c r="J922" s="38"/>
    </row>
    <row r="923" spans="1:10">
      <c r="A923" s="35"/>
      <c r="J923" s="38"/>
    </row>
    <row r="924" spans="1:10">
      <c r="A924" s="35"/>
      <c r="J924" s="38"/>
    </row>
    <row r="925" spans="1:10">
      <c r="A925" s="35"/>
      <c r="J925" s="38"/>
    </row>
    <row r="926" spans="1:10">
      <c r="A926" s="35"/>
      <c r="J926" s="38"/>
    </row>
    <row r="927" spans="1:10">
      <c r="A927" s="35"/>
      <c r="J927" s="38"/>
    </row>
    <row r="928" spans="1:10">
      <c r="A928" s="35"/>
      <c r="J928" s="38"/>
    </row>
    <row r="929" spans="1:10">
      <c r="A929" s="35"/>
      <c r="J929" s="38"/>
    </row>
    <row r="930" spans="1:10">
      <c r="A930" s="35"/>
      <c r="J930" s="38"/>
    </row>
    <row r="931" spans="1:10">
      <c r="A931" s="35"/>
      <c r="J931" s="38"/>
    </row>
    <row r="932" spans="1:10">
      <c r="A932" s="35"/>
      <c r="J932" s="38"/>
    </row>
    <row r="933" spans="1:10">
      <c r="A933" s="35"/>
      <c r="J933" s="38"/>
    </row>
    <row r="934" spans="1:10">
      <c r="A934" s="35"/>
      <c r="J934" s="38"/>
    </row>
    <row r="935" spans="1:10">
      <c r="A935" s="35"/>
      <c r="J935" s="38"/>
    </row>
    <row r="936" spans="1:10">
      <c r="A936" s="35"/>
      <c r="J936" s="38"/>
    </row>
    <row r="937" spans="1:10">
      <c r="A937" s="35"/>
      <c r="J937" s="38"/>
    </row>
    <row r="938" spans="1:10">
      <c r="A938" s="35"/>
      <c r="J938" s="38"/>
    </row>
    <row r="939" spans="1:10">
      <c r="A939" s="35"/>
      <c r="J939" s="38"/>
    </row>
    <row r="940" spans="1:10">
      <c r="A940" s="35"/>
      <c r="J940" s="38"/>
    </row>
    <row r="941" spans="1:10">
      <c r="A941" s="35"/>
      <c r="J941" s="38"/>
    </row>
    <row r="942" spans="1:10">
      <c r="A942" s="35"/>
      <c r="J942" s="38"/>
    </row>
    <row r="943" spans="1:10">
      <c r="A943" s="35"/>
      <c r="J943" s="38"/>
    </row>
    <row r="944" spans="1:10">
      <c r="A944" s="35"/>
      <c r="J944" s="38"/>
    </row>
    <row r="945" spans="1:10">
      <c r="A945" s="35"/>
      <c r="J945" s="38"/>
    </row>
    <row r="946" spans="1:10">
      <c r="A946" s="35"/>
      <c r="J946" s="38"/>
    </row>
    <row r="947" spans="1:10">
      <c r="A947" s="35"/>
      <c r="J947" s="38"/>
    </row>
    <row r="948" spans="1:10">
      <c r="A948" s="35"/>
      <c r="J948" s="38"/>
    </row>
    <row r="949" spans="1:10">
      <c r="A949" s="35"/>
      <c r="J949" s="38"/>
    </row>
    <row r="950" spans="1:10">
      <c r="A950" s="35"/>
      <c r="J950" s="38"/>
    </row>
    <row r="951" spans="1:10">
      <c r="A951" s="35"/>
      <c r="J951" s="38"/>
    </row>
    <row r="952" spans="1:10">
      <c r="A952" s="35"/>
      <c r="J952" s="38"/>
    </row>
    <row r="953" spans="1:10">
      <c r="A953" s="35"/>
      <c r="J953" s="38"/>
    </row>
    <row r="954" spans="1:10">
      <c r="A954" s="35"/>
      <c r="J954" s="38"/>
    </row>
    <row r="955" spans="1:10">
      <c r="A955" s="35"/>
      <c r="J955" s="38"/>
    </row>
    <row r="956" spans="1:10">
      <c r="A956" s="35"/>
      <c r="J956" s="38"/>
    </row>
    <row r="957" spans="1:10">
      <c r="A957" s="35"/>
      <c r="J957" s="38"/>
    </row>
    <row r="958" spans="1:10">
      <c r="A958" s="35"/>
      <c r="J958" s="38"/>
    </row>
    <row r="959" spans="1:10">
      <c r="A959" s="35"/>
      <c r="J959" s="38"/>
    </row>
    <row r="960" spans="1:10">
      <c r="A960" s="35"/>
      <c r="J960" s="38"/>
    </row>
    <row r="961" spans="1:10">
      <c r="A961" s="35"/>
      <c r="J961" s="38"/>
    </row>
    <row r="962" spans="1:10">
      <c r="A962" s="35"/>
      <c r="J962" s="38"/>
    </row>
    <row r="963" spans="1:10">
      <c r="A963" s="35"/>
      <c r="J963" s="38"/>
    </row>
    <row r="964" spans="1:10">
      <c r="A964" s="35"/>
      <c r="J964" s="38"/>
    </row>
    <row r="965" spans="1:10">
      <c r="A965" s="35"/>
      <c r="J965" s="38"/>
    </row>
    <row r="966" spans="1:10">
      <c r="A966" s="35"/>
      <c r="J966" s="38"/>
    </row>
    <row r="967" spans="1:10">
      <c r="A967" s="35"/>
      <c r="J967" s="38"/>
    </row>
    <row r="968" spans="1:10">
      <c r="A968" s="35"/>
      <c r="J968" s="38"/>
    </row>
    <row r="969" spans="1:10">
      <c r="A969" s="35"/>
      <c r="J969" s="38"/>
    </row>
    <row r="970" spans="1:10">
      <c r="A970" s="35"/>
      <c r="J970" s="38"/>
    </row>
    <row r="971" spans="1:10">
      <c r="A971" s="35"/>
      <c r="J971" s="38"/>
    </row>
    <row r="972" spans="1:10">
      <c r="A972" s="35"/>
      <c r="J972" s="38"/>
    </row>
    <row r="973" spans="1:10">
      <c r="A973" s="35"/>
      <c r="J973" s="38"/>
    </row>
    <row r="974" spans="1:10">
      <c r="A974" s="35"/>
      <c r="J974" s="38"/>
    </row>
    <row r="975" spans="1:10">
      <c r="A975" s="35"/>
      <c r="J975" s="38"/>
    </row>
    <row r="976" spans="1:10">
      <c r="A976" s="35"/>
      <c r="J976" s="38"/>
    </row>
    <row r="977" spans="1:10">
      <c r="A977" s="35"/>
      <c r="J977" s="38"/>
    </row>
    <row r="978" spans="1:10">
      <c r="A978" s="35"/>
      <c r="J978" s="38"/>
    </row>
    <row r="979" spans="1:10">
      <c r="A979" s="35"/>
      <c r="J979" s="38"/>
    </row>
    <row r="980" spans="1:10">
      <c r="A980" s="35"/>
      <c r="J980" s="38"/>
    </row>
    <row r="981" spans="1:10">
      <c r="A981" s="35"/>
      <c r="J981" s="38"/>
    </row>
    <row r="982" spans="1:10">
      <c r="A982" s="35"/>
      <c r="J982" s="38"/>
    </row>
    <row r="983" spans="1:10">
      <c r="A983" s="35"/>
      <c r="J983" s="38"/>
    </row>
    <row r="984" spans="1:10">
      <c r="A984" s="35"/>
      <c r="J984" s="38"/>
    </row>
    <row r="985" spans="1:10">
      <c r="A985" s="35"/>
      <c r="J985" s="38"/>
    </row>
    <row r="986" spans="1:10">
      <c r="A986" s="35"/>
      <c r="J986" s="38"/>
    </row>
    <row r="987" spans="1:10">
      <c r="A987" s="35"/>
      <c r="J987" s="38"/>
    </row>
    <row r="988" spans="1:10">
      <c r="A988" s="35"/>
      <c r="J988" s="38"/>
    </row>
    <row r="989" spans="1:10">
      <c r="A989" s="35"/>
      <c r="J989" s="38"/>
    </row>
    <row r="990" spans="1:10">
      <c r="A990" s="35"/>
      <c r="J990" s="38"/>
    </row>
    <row r="991" spans="1:10">
      <c r="A991" s="35"/>
      <c r="J991" s="38"/>
    </row>
    <row r="992" spans="1:10">
      <c r="A992" s="35"/>
      <c r="J992" s="38"/>
    </row>
    <row r="993" spans="1:10">
      <c r="A993" s="35"/>
      <c r="J993" s="38"/>
    </row>
    <row r="994" spans="1:10">
      <c r="A994" s="35"/>
      <c r="J994" s="38"/>
    </row>
    <row r="995" spans="1:10">
      <c r="A995" s="35"/>
      <c r="J995" s="38"/>
    </row>
    <row r="996" spans="1:10">
      <c r="A996" s="35"/>
      <c r="J996" s="38"/>
    </row>
    <row r="997" spans="1:10">
      <c r="A997" s="35"/>
      <c r="J997" s="38"/>
    </row>
    <row r="998" spans="1:10">
      <c r="A998" s="35"/>
      <c r="J998" s="38"/>
    </row>
    <row r="999" spans="1:10">
      <c r="A999" s="35"/>
      <c r="J999" s="38"/>
    </row>
    <row r="1000" spans="1:10">
      <c r="A1000" s="35"/>
      <c r="J1000" s="38"/>
    </row>
  </sheetData>
  <dataConsolid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1001"/>
  <sheetViews>
    <sheetView topLeftCell="A73" workbookViewId="0">
      <selection activeCell="A2" sqref="A2:J91"/>
    </sheetView>
  </sheetViews>
  <sheetFormatPr defaultColWidth="14.42578125" defaultRowHeight="15" customHeight="1"/>
  <cols>
    <col min="4" max="4" width="16.85546875" customWidth="1"/>
  </cols>
  <sheetData>
    <row r="1" spans="1:10">
      <c r="A1" s="4" t="s">
        <v>10</v>
      </c>
      <c r="B1" s="4" t="s">
        <v>712</v>
      </c>
      <c r="C1" s="4" t="s">
        <v>713</v>
      </c>
      <c r="D1" s="4" t="s">
        <v>18</v>
      </c>
      <c r="E1" s="4" t="s">
        <v>16</v>
      </c>
      <c r="F1" s="4" t="s">
        <v>714</v>
      </c>
      <c r="G1" s="4" t="s">
        <v>26</v>
      </c>
      <c r="H1" s="4" t="s">
        <v>28</v>
      </c>
      <c r="I1" s="4" t="s">
        <v>715</v>
      </c>
      <c r="J1" s="4" t="s">
        <v>32</v>
      </c>
    </row>
    <row r="2" spans="1:10">
      <c r="A2" s="41">
        <v>45536</v>
      </c>
      <c r="B2" s="38" t="s">
        <v>964</v>
      </c>
      <c r="C2" s="38" t="s">
        <v>725</v>
      </c>
      <c r="D2" s="39" t="s">
        <v>718</v>
      </c>
      <c r="E2" s="38" t="s">
        <v>609</v>
      </c>
      <c r="F2" s="38">
        <v>52100</v>
      </c>
      <c r="G2" s="40" t="s">
        <v>733</v>
      </c>
      <c r="H2" s="38" t="s">
        <v>721</v>
      </c>
      <c r="I2" s="38" t="s">
        <v>722</v>
      </c>
      <c r="J2" s="38" t="s">
        <v>965</v>
      </c>
    </row>
    <row r="3" spans="1:10">
      <c r="A3" s="41">
        <v>45536</v>
      </c>
      <c r="B3" s="38" t="s">
        <v>966</v>
      </c>
      <c r="C3" s="38" t="s">
        <v>781</v>
      </c>
      <c r="D3" s="39" t="s">
        <v>718</v>
      </c>
      <c r="E3" s="38" t="s">
        <v>326</v>
      </c>
      <c r="F3" s="38">
        <v>18300</v>
      </c>
      <c r="G3" s="38" t="s">
        <v>738</v>
      </c>
      <c r="H3" s="38" t="s">
        <v>757</v>
      </c>
      <c r="I3" s="38" t="s">
        <v>722</v>
      </c>
      <c r="J3" s="38" t="s">
        <v>967</v>
      </c>
    </row>
    <row r="4" spans="1:10">
      <c r="A4" s="41">
        <v>45536</v>
      </c>
      <c r="B4" s="38" t="s">
        <v>968</v>
      </c>
      <c r="C4" s="38" t="s">
        <v>736</v>
      </c>
      <c r="D4" s="39" t="s">
        <v>718</v>
      </c>
      <c r="E4" s="38" t="s">
        <v>969</v>
      </c>
      <c r="F4" s="38">
        <v>64000</v>
      </c>
      <c r="G4" s="40" t="s">
        <v>733</v>
      </c>
      <c r="H4" s="38" t="s">
        <v>757</v>
      </c>
      <c r="I4" s="38" t="s">
        <v>722</v>
      </c>
      <c r="J4" s="38" t="s">
        <v>970</v>
      </c>
    </row>
    <row r="5" spans="1:10">
      <c r="A5" s="41">
        <v>45536</v>
      </c>
      <c r="B5" s="38" t="s">
        <v>971</v>
      </c>
      <c r="C5" s="38" t="s">
        <v>736</v>
      </c>
      <c r="D5" s="39" t="s">
        <v>718</v>
      </c>
      <c r="E5" s="38" t="s">
        <v>205</v>
      </c>
      <c r="F5" s="38">
        <v>43300</v>
      </c>
      <c r="G5" s="40" t="s">
        <v>733</v>
      </c>
      <c r="H5" s="38" t="s">
        <v>721</v>
      </c>
      <c r="I5" s="38" t="s">
        <v>722</v>
      </c>
      <c r="J5" s="38" t="s">
        <v>972</v>
      </c>
    </row>
    <row r="6" spans="1:10">
      <c r="A6" s="41">
        <v>45536</v>
      </c>
      <c r="B6" s="38" t="s">
        <v>973</v>
      </c>
      <c r="C6" s="38" t="s">
        <v>773</v>
      </c>
      <c r="D6" s="39" t="s">
        <v>718</v>
      </c>
      <c r="E6" s="38" t="s">
        <v>974</v>
      </c>
      <c r="F6" s="38">
        <v>65000</v>
      </c>
      <c r="G6" s="38" t="s">
        <v>738</v>
      </c>
      <c r="H6" s="38" t="s">
        <v>721</v>
      </c>
      <c r="I6" s="38" t="s">
        <v>722</v>
      </c>
      <c r="J6" s="38" t="s">
        <v>975</v>
      </c>
    </row>
    <row r="7" spans="1:10">
      <c r="A7" s="41">
        <v>45537</v>
      </c>
      <c r="B7" s="38" t="s">
        <v>976</v>
      </c>
      <c r="C7" s="38" t="s">
        <v>732</v>
      </c>
      <c r="D7" s="39" t="s">
        <v>718</v>
      </c>
      <c r="E7" s="38" t="s">
        <v>526</v>
      </c>
      <c r="F7" s="38">
        <v>53000</v>
      </c>
      <c r="G7" s="40" t="s">
        <v>733</v>
      </c>
      <c r="H7" s="38" t="s">
        <v>721</v>
      </c>
      <c r="I7" s="38" t="s">
        <v>722</v>
      </c>
      <c r="J7" s="38" t="s">
        <v>977</v>
      </c>
    </row>
    <row r="8" spans="1:10">
      <c r="A8" s="41">
        <v>45538</v>
      </c>
      <c r="B8" s="38" t="s">
        <v>978</v>
      </c>
      <c r="C8" s="38" t="s">
        <v>769</v>
      </c>
      <c r="D8" s="39" t="s">
        <v>718</v>
      </c>
      <c r="E8" s="38" t="s">
        <v>979</v>
      </c>
      <c r="F8" s="38">
        <v>24215</v>
      </c>
      <c r="G8" s="38" t="s">
        <v>738</v>
      </c>
      <c r="H8" s="38" t="s">
        <v>721</v>
      </c>
      <c r="I8" s="38" t="s">
        <v>722</v>
      </c>
      <c r="J8" s="38" t="s">
        <v>980</v>
      </c>
    </row>
    <row r="9" spans="1:10">
      <c r="A9" s="41">
        <v>45538</v>
      </c>
      <c r="B9" s="38" t="s">
        <v>981</v>
      </c>
      <c r="C9" s="38" t="s">
        <v>725</v>
      </c>
      <c r="D9" s="39" t="s">
        <v>718</v>
      </c>
      <c r="E9" s="38" t="s">
        <v>292</v>
      </c>
      <c r="F9" s="38">
        <v>47000</v>
      </c>
      <c r="G9" s="40" t="s">
        <v>733</v>
      </c>
      <c r="H9" s="38" t="s">
        <v>721</v>
      </c>
      <c r="I9" s="38" t="s">
        <v>722</v>
      </c>
      <c r="J9" s="38" t="s">
        <v>982</v>
      </c>
    </row>
    <row r="10" spans="1:10">
      <c r="A10" s="41">
        <v>45538</v>
      </c>
      <c r="B10" s="38" t="s">
        <v>983</v>
      </c>
      <c r="C10" s="38" t="s">
        <v>278</v>
      </c>
      <c r="D10" s="39" t="s">
        <v>718</v>
      </c>
      <c r="E10" s="38" t="s">
        <v>581</v>
      </c>
      <c r="F10" s="38">
        <v>40000</v>
      </c>
      <c r="G10" s="40" t="s">
        <v>733</v>
      </c>
      <c r="H10" s="38" t="s">
        <v>721</v>
      </c>
      <c r="I10" s="38" t="s">
        <v>722</v>
      </c>
      <c r="J10" s="38" t="s">
        <v>984</v>
      </c>
    </row>
    <row r="11" spans="1:10">
      <c r="A11" s="41">
        <v>45538</v>
      </c>
      <c r="B11" s="38" t="s">
        <v>985</v>
      </c>
      <c r="C11" s="38" t="s">
        <v>736</v>
      </c>
      <c r="D11" s="39" t="s">
        <v>718</v>
      </c>
      <c r="E11" s="38" t="s">
        <v>224</v>
      </c>
      <c r="F11" s="38">
        <v>159500</v>
      </c>
      <c r="G11" s="38" t="s">
        <v>770</v>
      </c>
      <c r="H11" s="38" t="s">
        <v>721</v>
      </c>
      <c r="I11" s="38" t="s">
        <v>722</v>
      </c>
      <c r="J11" s="38" t="s">
        <v>986</v>
      </c>
    </row>
    <row r="12" spans="1:10">
      <c r="A12" s="41">
        <v>45538</v>
      </c>
      <c r="B12" s="38" t="s">
        <v>987</v>
      </c>
      <c r="C12" s="38" t="s">
        <v>725</v>
      </c>
      <c r="D12" s="39" t="s">
        <v>718</v>
      </c>
      <c r="E12" s="38" t="s">
        <v>800</v>
      </c>
      <c r="F12" s="38">
        <v>275000</v>
      </c>
      <c r="G12" s="38" t="s">
        <v>738</v>
      </c>
      <c r="H12" s="38" t="s">
        <v>721</v>
      </c>
      <c r="I12" s="38" t="s">
        <v>722</v>
      </c>
      <c r="J12" s="38" t="s">
        <v>988</v>
      </c>
    </row>
    <row r="13" spans="1:10">
      <c r="A13" s="41">
        <v>45538</v>
      </c>
      <c r="B13" s="38" t="s">
        <v>989</v>
      </c>
      <c r="C13" s="38" t="s">
        <v>725</v>
      </c>
      <c r="D13" s="39" t="s">
        <v>718</v>
      </c>
      <c r="E13" s="38" t="s">
        <v>990</v>
      </c>
      <c r="F13" s="38">
        <v>34000</v>
      </c>
      <c r="G13" s="38" t="s">
        <v>738</v>
      </c>
      <c r="H13" s="38" t="s">
        <v>721</v>
      </c>
      <c r="I13" s="38" t="s">
        <v>722</v>
      </c>
      <c r="J13" s="38" t="s">
        <v>991</v>
      </c>
    </row>
    <row r="14" spans="1:10">
      <c r="A14" s="41">
        <v>45538</v>
      </c>
      <c r="B14" s="38" t="s">
        <v>992</v>
      </c>
      <c r="C14" s="38" t="s">
        <v>725</v>
      </c>
      <c r="D14" s="39" t="s">
        <v>718</v>
      </c>
      <c r="E14" s="38" t="s">
        <v>800</v>
      </c>
      <c r="F14" s="38">
        <v>83000</v>
      </c>
      <c r="G14" s="38" t="s">
        <v>738</v>
      </c>
      <c r="H14" s="38" t="s">
        <v>721</v>
      </c>
      <c r="I14" s="38" t="s">
        <v>722</v>
      </c>
      <c r="J14" s="38" t="s">
        <v>993</v>
      </c>
    </row>
    <row r="15" spans="1:10">
      <c r="A15" s="41">
        <v>45538</v>
      </c>
      <c r="B15" s="38" t="s">
        <v>994</v>
      </c>
      <c r="C15" s="38" t="s">
        <v>725</v>
      </c>
      <c r="D15" s="39" t="s">
        <v>718</v>
      </c>
      <c r="E15" s="38" t="s">
        <v>800</v>
      </c>
      <c r="F15" s="38">
        <v>35000</v>
      </c>
      <c r="G15" s="38" t="s">
        <v>738</v>
      </c>
      <c r="H15" s="38" t="s">
        <v>721</v>
      </c>
      <c r="I15" s="38" t="s">
        <v>722</v>
      </c>
      <c r="J15" s="38" t="s">
        <v>995</v>
      </c>
    </row>
    <row r="16" spans="1:10">
      <c r="A16" s="41">
        <v>45538</v>
      </c>
      <c r="B16" s="38" t="s">
        <v>996</v>
      </c>
      <c r="C16" s="38" t="s">
        <v>781</v>
      </c>
      <c r="D16" s="39" t="s">
        <v>718</v>
      </c>
      <c r="E16" s="38" t="s">
        <v>997</v>
      </c>
      <c r="F16" s="38">
        <v>29500</v>
      </c>
      <c r="G16" s="38" t="s">
        <v>738</v>
      </c>
      <c r="H16" s="38" t="s">
        <v>721</v>
      </c>
      <c r="I16" s="38" t="s">
        <v>722</v>
      </c>
      <c r="J16" s="38" t="s">
        <v>998</v>
      </c>
    </row>
    <row r="17" spans="1:10">
      <c r="A17" s="41">
        <v>45538</v>
      </c>
      <c r="B17" s="38" t="s">
        <v>999</v>
      </c>
      <c r="C17" s="38" t="s">
        <v>717</v>
      </c>
      <c r="D17" s="39" t="s">
        <v>718</v>
      </c>
      <c r="E17" s="38" t="s">
        <v>1000</v>
      </c>
      <c r="F17" s="38">
        <v>28800</v>
      </c>
      <c r="G17" s="40" t="s">
        <v>733</v>
      </c>
      <c r="H17" s="38" t="s">
        <v>721</v>
      </c>
      <c r="I17" s="38" t="s">
        <v>722</v>
      </c>
      <c r="J17" s="38" t="s">
        <v>1001</v>
      </c>
    </row>
    <row r="18" spans="1:10">
      <c r="A18" s="41">
        <v>45539</v>
      </c>
      <c r="B18" s="38" t="s">
        <v>1002</v>
      </c>
      <c r="C18" s="38" t="s">
        <v>781</v>
      </c>
      <c r="D18" s="39" t="s">
        <v>718</v>
      </c>
      <c r="E18" s="38" t="s">
        <v>1003</v>
      </c>
      <c r="F18" s="38">
        <v>72000</v>
      </c>
      <c r="G18" s="40" t="s">
        <v>733</v>
      </c>
      <c r="H18" s="38" t="s">
        <v>721</v>
      </c>
      <c r="I18" s="38" t="s">
        <v>722</v>
      </c>
      <c r="J18" s="38" t="s">
        <v>1004</v>
      </c>
    </row>
    <row r="19" spans="1:10">
      <c r="A19" s="41">
        <v>45539</v>
      </c>
      <c r="B19" s="38" t="s">
        <v>1005</v>
      </c>
      <c r="C19" s="38" t="s">
        <v>725</v>
      </c>
      <c r="D19" s="39" t="s">
        <v>718</v>
      </c>
      <c r="E19" s="38" t="s">
        <v>872</v>
      </c>
      <c r="F19" s="38">
        <v>15100</v>
      </c>
      <c r="G19" s="38" t="s">
        <v>1006</v>
      </c>
      <c r="H19" s="38" t="s">
        <v>721</v>
      </c>
      <c r="I19" s="38" t="s">
        <v>722</v>
      </c>
      <c r="J19" s="38" t="s">
        <v>1007</v>
      </c>
    </row>
    <row r="20" spans="1:10">
      <c r="A20" s="41">
        <v>45540</v>
      </c>
      <c r="B20" s="38" t="s">
        <v>1008</v>
      </c>
      <c r="C20" s="38" t="s">
        <v>725</v>
      </c>
      <c r="D20" s="39" t="s">
        <v>718</v>
      </c>
      <c r="E20" s="38" t="s">
        <v>452</v>
      </c>
      <c r="F20" s="38">
        <v>18800</v>
      </c>
      <c r="G20" s="38" t="s">
        <v>770</v>
      </c>
      <c r="H20" s="38" t="s">
        <v>721</v>
      </c>
      <c r="I20" s="38" t="s">
        <v>722</v>
      </c>
      <c r="J20" s="38" t="s">
        <v>1009</v>
      </c>
    </row>
    <row r="21" spans="1:10">
      <c r="A21" s="41">
        <v>45540</v>
      </c>
      <c r="B21" s="38" t="s">
        <v>1010</v>
      </c>
      <c r="C21" s="38" t="s">
        <v>736</v>
      </c>
      <c r="D21" s="39" t="s">
        <v>718</v>
      </c>
      <c r="E21" s="38" t="s">
        <v>205</v>
      </c>
      <c r="F21" s="38">
        <v>72000</v>
      </c>
      <c r="G21" s="38" t="s">
        <v>1011</v>
      </c>
      <c r="H21" s="38" t="s">
        <v>721</v>
      </c>
      <c r="I21" s="38" t="s">
        <v>722</v>
      </c>
      <c r="J21" s="38" t="s">
        <v>1012</v>
      </c>
    </row>
    <row r="22" spans="1:10">
      <c r="A22" s="41">
        <v>45541</v>
      </c>
      <c r="B22" s="38" t="s">
        <v>1013</v>
      </c>
      <c r="C22" s="38" t="s">
        <v>736</v>
      </c>
      <c r="D22" s="39" t="s">
        <v>718</v>
      </c>
      <c r="E22" s="38" t="s">
        <v>1014</v>
      </c>
      <c r="F22" s="38">
        <v>39000</v>
      </c>
      <c r="G22" s="40" t="s">
        <v>733</v>
      </c>
      <c r="H22" s="38" t="s">
        <v>721</v>
      </c>
      <c r="I22" s="38" t="s">
        <v>722</v>
      </c>
      <c r="J22" s="38" t="s">
        <v>1015</v>
      </c>
    </row>
    <row r="23" spans="1:10">
      <c r="A23" s="41">
        <v>45541</v>
      </c>
      <c r="B23" s="38" t="s">
        <v>1016</v>
      </c>
      <c r="C23" s="38" t="s">
        <v>725</v>
      </c>
      <c r="D23" s="39" t="s">
        <v>718</v>
      </c>
      <c r="E23" s="38" t="s">
        <v>543</v>
      </c>
      <c r="F23" s="38">
        <v>24000</v>
      </c>
      <c r="G23" s="40" t="s">
        <v>733</v>
      </c>
      <c r="H23" s="38" t="s">
        <v>721</v>
      </c>
      <c r="I23" s="38" t="s">
        <v>722</v>
      </c>
      <c r="J23" s="38" t="s">
        <v>1017</v>
      </c>
    </row>
    <row r="24" spans="1:10">
      <c r="A24" s="41">
        <v>45541</v>
      </c>
      <c r="B24" s="38" t="s">
        <v>1018</v>
      </c>
      <c r="C24" s="38" t="s">
        <v>781</v>
      </c>
      <c r="D24" s="39" t="s">
        <v>718</v>
      </c>
      <c r="E24" s="38" t="s">
        <v>1019</v>
      </c>
      <c r="F24" s="38">
        <v>11500</v>
      </c>
      <c r="G24" s="40" t="s">
        <v>733</v>
      </c>
      <c r="H24" s="38" t="s">
        <v>757</v>
      </c>
      <c r="I24" s="38" t="s">
        <v>722</v>
      </c>
      <c r="J24" s="38" t="s">
        <v>1020</v>
      </c>
    </row>
    <row r="25" spans="1:10">
      <c r="A25" s="41">
        <v>45541</v>
      </c>
      <c r="B25" s="38" t="s">
        <v>1021</v>
      </c>
      <c r="C25" s="38" t="s">
        <v>725</v>
      </c>
      <c r="D25" s="39" t="s">
        <v>718</v>
      </c>
      <c r="E25" s="38" t="s">
        <v>292</v>
      </c>
      <c r="F25" s="38">
        <v>23000</v>
      </c>
      <c r="G25" s="38" t="s">
        <v>770</v>
      </c>
      <c r="H25" s="38" t="s">
        <v>721</v>
      </c>
      <c r="I25" s="38" t="s">
        <v>722</v>
      </c>
      <c r="J25" s="38" t="s">
        <v>1022</v>
      </c>
    </row>
    <row r="26" spans="1:10">
      <c r="A26" s="41">
        <v>45542</v>
      </c>
      <c r="B26" s="38" t="s">
        <v>1023</v>
      </c>
      <c r="C26" s="38" t="s">
        <v>743</v>
      </c>
      <c r="D26" s="39" t="s">
        <v>718</v>
      </c>
      <c r="E26" s="38" t="s">
        <v>1024</v>
      </c>
      <c r="F26" s="38">
        <v>14100</v>
      </c>
      <c r="G26" s="38" t="s">
        <v>770</v>
      </c>
      <c r="H26" s="38" t="s">
        <v>721</v>
      </c>
      <c r="I26" s="38" t="s">
        <v>722</v>
      </c>
      <c r="J26" s="38" t="s">
        <v>1025</v>
      </c>
    </row>
    <row r="27" spans="1:10">
      <c r="A27" s="41">
        <v>45543</v>
      </c>
      <c r="B27" s="38" t="s">
        <v>1026</v>
      </c>
      <c r="C27" s="38" t="s">
        <v>725</v>
      </c>
      <c r="D27" s="39" t="s">
        <v>718</v>
      </c>
      <c r="E27" s="38" t="s">
        <v>1027</v>
      </c>
      <c r="F27" s="38">
        <v>90000</v>
      </c>
      <c r="G27" s="38" t="s">
        <v>738</v>
      </c>
      <c r="H27" s="38" t="s">
        <v>757</v>
      </c>
      <c r="I27" s="38" t="s">
        <v>722</v>
      </c>
      <c r="J27" s="38" t="s">
        <v>1028</v>
      </c>
    </row>
    <row r="28" spans="1:10">
      <c r="A28" s="41">
        <v>45543</v>
      </c>
      <c r="B28" s="38" t="s">
        <v>1029</v>
      </c>
      <c r="C28" s="38" t="s">
        <v>725</v>
      </c>
      <c r="D28" s="39" t="s">
        <v>718</v>
      </c>
      <c r="E28" s="38" t="s">
        <v>990</v>
      </c>
      <c r="F28" s="38">
        <v>23000</v>
      </c>
      <c r="G28" s="40" t="s">
        <v>733</v>
      </c>
      <c r="H28" s="38" t="s">
        <v>721</v>
      </c>
      <c r="I28" s="38" t="s">
        <v>722</v>
      </c>
      <c r="J28" s="38" t="s">
        <v>1030</v>
      </c>
    </row>
    <row r="29" spans="1:10">
      <c r="A29" s="41">
        <v>45543</v>
      </c>
      <c r="B29" s="38" t="s">
        <v>1031</v>
      </c>
      <c r="C29" s="38" t="s">
        <v>725</v>
      </c>
      <c r="D29" s="39" t="s">
        <v>718</v>
      </c>
      <c r="E29" s="38" t="s">
        <v>1032</v>
      </c>
      <c r="F29" s="38">
        <v>61000</v>
      </c>
      <c r="G29" s="38" t="s">
        <v>770</v>
      </c>
      <c r="H29" s="38" t="s">
        <v>721</v>
      </c>
      <c r="I29" s="38" t="s">
        <v>722</v>
      </c>
      <c r="J29" s="38" t="s">
        <v>1033</v>
      </c>
    </row>
    <row r="30" spans="1:10">
      <c r="A30" s="41">
        <v>45544</v>
      </c>
      <c r="B30" s="38" t="s">
        <v>1034</v>
      </c>
      <c r="C30" s="38" t="s">
        <v>725</v>
      </c>
      <c r="D30" s="39" t="s">
        <v>718</v>
      </c>
      <c r="E30" s="38" t="s">
        <v>867</v>
      </c>
      <c r="F30" s="38">
        <v>20000</v>
      </c>
      <c r="G30" s="40" t="s">
        <v>733</v>
      </c>
      <c r="H30" s="38" t="s">
        <v>721</v>
      </c>
      <c r="I30" s="38" t="s">
        <v>722</v>
      </c>
      <c r="J30" s="38" t="s">
        <v>1035</v>
      </c>
    </row>
    <row r="31" spans="1:10">
      <c r="A31" s="41">
        <v>45544</v>
      </c>
      <c r="B31" s="38" t="s">
        <v>1036</v>
      </c>
      <c r="C31" s="38" t="s">
        <v>743</v>
      </c>
      <c r="D31" s="39" t="s">
        <v>718</v>
      </c>
      <c r="E31" s="38" t="s">
        <v>744</v>
      </c>
      <c r="F31" s="38">
        <v>23000</v>
      </c>
      <c r="G31" s="38" t="s">
        <v>720</v>
      </c>
      <c r="H31" s="38" t="s">
        <v>721</v>
      </c>
      <c r="I31" s="38" t="s">
        <v>722</v>
      </c>
      <c r="J31" s="38" t="s">
        <v>1037</v>
      </c>
    </row>
    <row r="32" spans="1:10">
      <c r="A32" s="41">
        <v>45544</v>
      </c>
      <c r="B32" s="38" t="s">
        <v>1038</v>
      </c>
      <c r="C32" s="38" t="s">
        <v>743</v>
      </c>
      <c r="D32" s="39" t="s">
        <v>718</v>
      </c>
      <c r="E32" s="38" t="s">
        <v>1039</v>
      </c>
      <c r="F32" s="38">
        <v>17000</v>
      </c>
      <c r="G32" s="38" t="s">
        <v>738</v>
      </c>
      <c r="H32" s="38" t="s">
        <v>721</v>
      </c>
      <c r="I32" s="38" t="s">
        <v>722</v>
      </c>
      <c r="J32" s="38" t="s">
        <v>1040</v>
      </c>
    </row>
    <row r="33" spans="1:10">
      <c r="A33" s="41">
        <v>45544</v>
      </c>
      <c r="B33" s="38" t="s">
        <v>1041</v>
      </c>
      <c r="C33" s="38" t="s">
        <v>732</v>
      </c>
      <c r="D33" s="39" t="s">
        <v>718</v>
      </c>
      <c r="E33" s="38" t="s">
        <v>694</v>
      </c>
      <c r="F33" s="38">
        <v>72000</v>
      </c>
      <c r="G33" s="40" t="s">
        <v>733</v>
      </c>
      <c r="H33" s="38" t="s">
        <v>757</v>
      </c>
      <c r="I33" s="38" t="s">
        <v>722</v>
      </c>
      <c r="J33" s="38" t="s">
        <v>1042</v>
      </c>
    </row>
    <row r="34" spans="1:10">
      <c r="A34" s="41">
        <v>45544</v>
      </c>
      <c r="B34" s="38" t="s">
        <v>1043</v>
      </c>
      <c r="C34" s="38" t="s">
        <v>755</v>
      </c>
      <c r="D34" s="39" t="s">
        <v>718</v>
      </c>
      <c r="E34" s="38" t="s">
        <v>1044</v>
      </c>
      <c r="F34" s="38">
        <v>15000</v>
      </c>
      <c r="G34" s="40" t="s">
        <v>733</v>
      </c>
      <c r="H34" s="38" t="s">
        <v>721</v>
      </c>
      <c r="I34" s="38" t="s">
        <v>722</v>
      </c>
      <c r="J34" s="38" t="s">
        <v>1037</v>
      </c>
    </row>
    <row r="35" spans="1:10">
      <c r="A35" s="41">
        <v>45545</v>
      </c>
      <c r="B35" s="38" t="s">
        <v>1045</v>
      </c>
      <c r="C35" s="38" t="s">
        <v>755</v>
      </c>
      <c r="D35" s="39" t="s">
        <v>718</v>
      </c>
      <c r="E35" s="38" t="s">
        <v>1046</v>
      </c>
      <c r="F35" s="38">
        <v>22000</v>
      </c>
      <c r="G35" s="38" t="s">
        <v>720</v>
      </c>
      <c r="H35" s="38" t="s">
        <v>721</v>
      </c>
      <c r="I35" s="38" t="s">
        <v>722</v>
      </c>
      <c r="J35" s="38" t="s">
        <v>1047</v>
      </c>
    </row>
    <row r="36" spans="1:10">
      <c r="A36" s="41">
        <v>45545</v>
      </c>
      <c r="B36" s="38" t="s">
        <v>1048</v>
      </c>
      <c r="C36" s="38" t="s">
        <v>725</v>
      </c>
      <c r="D36" s="39" t="s">
        <v>718</v>
      </c>
      <c r="E36" s="38" t="s">
        <v>1049</v>
      </c>
      <c r="F36" s="38">
        <v>34000</v>
      </c>
      <c r="G36" s="38" t="s">
        <v>720</v>
      </c>
      <c r="H36" s="38" t="s">
        <v>721</v>
      </c>
      <c r="I36" s="38" t="s">
        <v>722</v>
      </c>
      <c r="J36" s="38" t="s">
        <v>1050</v>
      </c>
    </row>
    <row r="37" spans="1:10">
      <c r="A37" s="41">
        <v>45545</v>
      </c>
      <c r="B37" s="38" t="s">
        <v>1051</v>
      </c>
      <c r="C37" s="38" t="s">
        <v>769</v>
      </c>
      <c r="D37" s="39" t="s">
        <v>718</v>
      </c>
      <c r="E37" s="38" t="s">
        <v>897</v>
      </c>
      <c r="F37" s="38">
        <v>110000</v>
      </c>
      <c r="G37" s="40" t="s">
        <v>733</v>
      </c>
      <c r="H37" s="38" t="s">
        <v>721</v>
      </c>
      <c r="I37" s="38" t="s">
        <v>722</v>
      </c>
      <c r="J37" s="38" t="s">
        <v>1052</v>
      </c>
    </row>
    <row r="38" spans="1:10">
      <c r="A38" s="41">
        <v>45546</v>
      </c>
      <c r="B38" s="38" t="s">
        <v>1053</v>
      </c>
      <c r="C38" s="38" t="s">
        <v>732</v>
      </c>
      <c r="D38" s="39" t="s">
        <v>718</v>
      </c>
      <c r="E38" s="38" t="s">
        <v>1054</v>
      </c>
      <c r="F38" s="38">
        <v>103500</v>
      </c>
      <c r="G38" s="40" t="s">
        <v>733</v>
      </c>
      <c r="H38" s="38" t="s">
        <v>721</v>
      </c>
      <c r="I38" s="38" t="s">
        <v>722</v>
      </c>
      <c r="J38" s="38" t="s">
        <v>1055</v>
      </c>
    </row>
    <row r="39" spans="1:10">
      <c r="A39" s="41">
        <v>45546</v>
      </c>
      <c r="B39" s="38" t="s">
        <v>1056</v>
      </c>
      <c r="C39" s="38" t="s">
        <v>725</v>
      </c>
      <c r="D39" s="39" t="s">
        <v>718</v>
      </c>
      <c r="E39" s="38" t="s">
        <v>515</v>
      </c>
      <c r="F39" s="38">
        <v>28000</v>
      </c>
      <c r="G39" s="38" t="s">
        <v>770</v>
      </c>
      <c r="H39" s="38" t="s">
        <v>721</v>
      </c>
      <c r="I39" s="38" t="s">
        <v>722</v>
      </c>
      <c r="J39" s="38" t="s">
        <v>1057</v>
      </c>
    </row>
    <row r="40" spans="1:10">
      <c r="A40" s="41">
        <v>45547</v>
      </c>
      <c r="B40" s="38" t="s">
        <v>1058</v>
      </c>
      <c r="C40" s="38" t="s">
        <v>755</v>
      </c>
      <c r="D40" s="39" t="s">
        <v>718</v>
      </c>
      <c r="E40" s="38" t="s">
        <v>439</v>
      </c>
      <c r="F40" s="38">
        <v>159500</v>
      </c>
      <c r="G40" s="40" t="s">
        <v>733</v>
      </c>
      <c r="H40" s="38" t="s">
        <v>721</v>
      </c>
      <c r="I40" s="38" t="s">
        <v>722</v>
      </c>
      <c r="J40" s="38" t="s">
        <v>1059</v>
      </c>
    </row>
    <row r="41" spans="1:10">
      <c r="A41" s="41">
        <v>45547</v>
      </c>
      <c r="B41" s="38" t="s">
        <v>1060</v>
      </c>
      <c r="C41" s="38" t="s">
        <v>732</v>
      </c>
      <c r="D41" s="39" t="s">
        <v>718</v>
      </c>
      <c r="E41" s="38" t="s">
        <v>294</v>
      </c>
      <c r="F41" s="38">
        <v>19500</v>
      </c>
      <c r="G41" s="38" t="s">
        <v>1011</v>
      </c>
      <c r="H41" s="38" t="s">
        <v>721</v>
      </c>
      <c r="I41" s="38" t="s">
        <v>722</v>
      </c>
      <c r="J41" s="38" t="s">
        <v>1061</v>
      </c>
    </row>
    <row r="42" spans="1:10">
      <c r="A42" s="41">
        <v>45547</v>
      </c>
      <c r="B42" s="38" t="s">
        <v>1062</v>
      </c>
      <c r="C42" s="38" t="s">
        <v>732</v>
      </c>
      <c r="D42" s="39" t="s">
        <v>718</v>
      </c>
      <c r="E42" s="38" t="s">
        <v>526</v>
      </c>
      <c r="F42" s="38">
        <v>100000</v>
      </c>
      <c r="G42" s="40" t="s">
        <v>733</v>
      </c>
      <c r="H42" s="38" t="s">
        <v>721</v>
      </c>
      <c r="I42" s="38" t="s">
        <v>722</v>
      </c>
      <c r="J42" s="38" t="s">
        <v>1063</v>
      </c>
    </row>
    <row r="43" spans="1:10">
      <c r="A43" s="41">
        <v>45547</v>
      </c>
      <c r="B43" s="38" t="s">
        <v>1064</v>
      </c>
      <c r="C43" s="38" t="s">
        <v>725</v>
      </c>
      <c r="D43" s="39" t="s">
        <v>718</v>
      </c>
      <c r="E43" s="38" t="s">
        <v>800</v>
      </c>
      <c r="F43" s="38">
        <v>40000</v>
      </c>
      <c r="G43" s="38" t="s">
        <v>738</v>
      </c>
      <c r="H43" s="38" t="s">
        <v>721</v>
      </c>
      <c r="I43" s="38" t="s">
        <v>722</v>
      </c>
      <c r="J43" s="38" t="s">
        <v>1065</v>
      </c>
    </row>
    <row r="44" spans="1:10">
      <c r="A44" s="41">
        <v>45547</v>
      </c>
      <c r="B44" s="38" t="s">
        <v>1066</v>
      </c>
      <c r="C44" s="38" t="s">
        <v>1067</v>
      </c>
      <c r="D44" s="39" t="s">
        <v>718</v>
      </c>
      <c r="E44" s="38" t="s">
        <v>1068</v>
      </c>
      <c r="F44" s="38">
        <v>38000</v>
      </c>
      <c r="G44" s="38" t="s">
        <v>738</v>
      </c>
      <c r="H44" s="38" t="s">
        <v>721</v>
      </c>
      <c r="I44" s="38" t="s">
        <v>722</v>
      </c>
      <c r="J44" s="38" t="s">
        <v>1069</v>
      </c>
    </row>
    <row r="45" spans="1:10">
      <c r="A45" s="41">
        <v>45547</v>
      </c>
      <c r="B45" s="38" t="s">
        <v>1070</v>
      </c>
      <c r="C45" s="38" t="s">
        <v>769</v>
      </c>
      <c r="D45" s="39" t="s">
        <v>718</v>
      </c>
      <c r="E45" s="38" t="s">
        <v>1071</v>
      </c>
      <c r="F45" s="38">
        <v>60000</v>
      </c>
      <c r="G45" s="38" t="s">
        <v>770</v>
      </c>
      <c r="H45" s="38" t="s">
        <v>721</v>
      </c>
      <c r="I45" s="38" t="s">
        <v>722</v>
      </c>
      <c r="J45" s="38" t="s">
        <v>1072</v>
      </c>
    </row>
    <row r="46" spans="1:10">
      <c r="A46" s="41">
        <v>45547</v>
      </c>
      <c r="B46" s="38" t="s">
        <v>1073</v>
      </c>
      <c r="C46" s="38" t="s">
        <v>736</v>
      </c>
      <c r="D46" s="39" t="s">
        <v>718</v>
      </c>
      <c r="E46" s="38" t="s">
        <v>793</v>
      </c>
      <c r="F46" s="38">
        <v>70000</v>
      </c>
      <c r="G46" s="40" t="s">
        <v>733</v>
      </c>
      <c r="H46" s="38" t="s">
        <v>721</v>
      </c>
      <c r="I46" s="38" t="s">
        <v>722</v>
      </c>
      <c r="J46" s="38" t="s">
        <v>1074</v>
      </c>
    </row>
    <row r="47" spans="1:10">
      <c r="A47" s="41">
        <v>45547</v>
      </c>
      <c r="B47" s="38" t="s">
        <v>1075</v>
      </c>
      <c r="C47" s="38" t="s">
        <v>781</v>
      </c>
      <c r="D47" s="39" t="s">
        <v>718</v>
      </c>
      <c r="E47" s="38" t="s">
        <v>894</v>
      </c>
      <c r="F47" s="38">
        <v>45000</v>
      </c>
      <c r="G47" s="38" t="s">
        <v>738</v>
      </c>
      <c r="H47" s="38" t="s">
        <v>721</v>
      </c>
      <c r="I47" s="38" t="s">
        <v>722</v>
      </c>
      <c r="J47" s="38" t="s">
        <v>1076</v>
      </c>
    </row>
    <row r="48" spans="1:10">
      <c r="A48" s="41">
        <v>45547</v>
      </c>
      <c r="B48" s="38" t="s">
        <v>1077</v>
      </c>
      <c r="C48" s="38" t="s">
        <v>725</v>
      </c>
      <c r="D48" s="39" t="s">
        <v>718</v>
      </c>
      <c r="E48" s="38" t="s">
        <v>292</v>
      </c>
      <c r="F48" s="38">
        <v>26000</v>
      </c>
      <c r="G48" s="38" t="s">
        <v>738</v>
      </c>
      <c r="H48" s="38" t="s">
        <v>721</v>
      </c>
      <c r="I48" s="38" t="s">
        <v>722</v>
      </c>
      <c r="J48" s="38" t="s">
        <v>1078</v>
      </c>
    </row>
    <row r="49" spans="1:10">
      <c r="A49" s="41">
        <v>45547</v>
      </c>
      <c r="B49" s="38" t="s">
        <v>1079</v>
      </c>
      <c r="C49" s="38" t="s">
        <v>769</v>
      </c>
      <c r="D49" s="39" t="s">
        <v>718</v>
      </c>
      <c r="E49" s="38" t="s">
        <v>1080</v>
      </c>
      <c r="F49" s="38">
        <v>105000</v>
      </c>
      <c r="G49" s="38" t="s">
        <v>738</v>
      </c>
      <c r="H49" s="38" t="s">
        <v>721</v>
      </c>
      <c r="I49" s="38" t="s">
        <v>722</v>
      </c>
      <c r="J49" s="38" t="s">
        <v>1081</v>
      </c>
    </row>
    <row r="50" spans="1:10">
      <c r="A50" s="41">
        <v>45549</v>
      </c>
      <c r="B50" s="38" t="s">
        <v>1082</v>
      </c>
      <c r="C50" s="38" t="s">
        <v>736</v>
      </c>
      <c r="D50" s="39" t="s">
        <v>718</v>
      </c>
      <c r="E50" s="38" t="s">
        <v>902</v>
      </c>
      <c r="F50" s="38">
        <v>6000</v>
      </c>
      <c r="G50" s="38" t="s">
        <v>760</v>
      </c>
      <c r="H50" s="38" t="s">
        <v>721</v>
      </c>
      <c r="I50" s="38" t="s">
        <v>722</v>
      </c>
      <c r="J50" s="38" t="s">
        <v>1083</v>
      </c>
    </row>
    <row r="51" spans="1:10">
      <c r="A51" s="41">
        <v>45549</v>
      </c>
      <c r="B51" s="38" t="s">
        <v>1084</v>
      </c>
      <c r="C51" s="38" t="s">
        <v>769</v>
      </c>
      <c r="D51" s="39" t="s">
        <v>718</v>
      </c>
      <c r="E51" s="38" t="s">
        <v>891</v>
      </c>
      <c r="F51" s="38">
        <v>17500</v>
      </c>
      <c r="G51" s="38" t="s">
        <v>720</v>
      </c>
      <c r="H51" s="38" t="s">
        <v>721</v>
      </c>
      <c r="I51" s="38" t="s">
        <v>722</v>
      </c>
      <c r="J51" s="38" t="s">
        <v>1085</v>
      </c>
    </row>
    <row r="52" spans="1:10">
      <c r="A52" s="41">
        <v>45549</v>
      </c>
      <c r="B52" s="38" t="s">
        <v>1086</v>
      </c>
      <c r="C52" s="38" t="s">
        <v>769</v>
      </c>
      <c r="D52" s="39" t="s">
        <v>718</v>
      </c>
      <c r="E52" s="38" t="s">
        <v>433</v>
      </c>
      <c r="F52" s="38">
        <v>140000</v>
      </c>
      <c r="G52" s="38" t="s">
        <v>720</v>
      </c>
      <c r="H52" s="38" t="s">
        <v>721</v>
      </c>
      <c r="I52" s="38" t="s">
        <v>722</v>
      </c>
      <c r="J52" s="38" t="s">
        <v>1087</v>
      </c>
    </row>
    <row r="53" spans="1:10">
      <c r="A53" s="41">
        <v>45550</v>
      </c>
      <c r="B53" s="38" t="s">
        <v>1088</v>
      </c>
      <c r="C53" s="38" t="s">
        <v>725</v>
      </c>
      <c r="D53" s="39" t="s">
        <v>718</v>
      </c>
      <c r="E53" s="38" t="s">
        <v>990</v>
      </c>
      <c r="F53" s="38">
        <v>120000</v>
      </c>
      <c r="G53" s="38" t="s">
        <v>720</v>
      </c>
      <c r="H53" s="38" t="s">
        <v>721</v>
      </c>
      <c r="I53" s="38" t="s">
        <v>722</v>
      </c>
      <c r="J53" s="38" t="s">
        <v>1089</v>
      </c>
    </row>
    <row r="54" spans="1:10">
      <c r="A54" s="41">
        <v>45550</v>
      </c>
      <c r="B54" s="38" t="s">
        <v>1090</v>
      </c>
      <c r="C54" s="38" t="s">
        <v>725</v>
      </c>
      <c r="D54" s="39" t="s">
        <v>718</v>
      </c>
      <c r="E54" s="38" t="s">
        <v>292</v>
      </c>
      <c r="F54" s="38">
        <v>60000</v>
      </c>
      <c r="G54" s="40" t="s">
        <v>733</v>
      </c>
      <c r="H54" s="38" t="s">
        <v>721</v>
      </c>
      <c r="I54" s="38" t="s">
        <v>722</v>
      </c>
      <c r="J54" s="38" t="s">
        <v>1091</v>
      </c>
    </row>
    <row r="55" spans="1:10">
      <c r="A55" s="41">
        <v>45550</v>
      </c>
      <c r="B55" s="38" t="s">
        <v>1092</v>
      </c>
      <c r="C55" s="38" t="s">
        <v>725</v>
      </c>
      <c r="D55" s="39" t="s">
        <v>718</v>
      </c>
      <c r="E55" s="38" t="s">
        <v>1093</v>
      </c>
      <c r="F55" s="38">
        <v>50000</v>
      </c>
      <c r="G55" s="40" t="s">
        <v>733</v>
      </c>
      <c r="H55" s="38" t="s">
        <v>721</v>
      </c>
      <c r="I55" s="38" t="s">
        <v>722</v>
      </c>
      <c r="J55" s="38" t="s">
        <v>1094</v>
      </c>
    </row>
    <row r="56" spans="1:10">
      <c r="A56" s="41">
        <v>45550</v>
      </c>
      <c r="B56" s="38" t="s">
        <v>1095</v>
      </c>
      <c r="C56" s="38" t="s">
        <v>736</v>
      </c>
      <c r="D56" s="39" t="s">
        <v>718</v>
      </c>
      <c r="E56" s="38" t="s">
        <v>205</v>
      </c>
      <c r="F56" s="38">
        <v>65000</v>
      </c>
      <c r="G56" s="38" t="s">
        <v>738</v>
      </c>
      <c r="H56" s="38" t="s">
        <v>721</v>
      </c>
      <c r="I56" s="38" t="s">
        <v>722</v>
      </c>
      <c r="J56" s="38" t="s">
        <v>1096</v>
      </c>
    </row>
    <row r="57" spans="1:10">
      <c r="A57" s="41">
        <v>45550</v>
      </c>
      <c r="B57" s="38" t="s">
        <v>1097</v>
      </c>
      <c r="C57" s="38" t="s">
        <v>725</v>
      </c>
      <c r="D57" s="39" t="s">
        <v>718</v>
      </c>
      <c r="E57" s="38" t="s">
        <v>292</v>
      </c>
      <c r="F57" s="38">
        <v>150000</v>
      </c>
      <c r="G57" s="40" t="s">
        <v>733</v>
      </c>
      <c r="H57" s="38" t="s">
        <v>721</v>
      </c>
      <c r="I57" s="38" t="s">
        <v>722</v>
      </c>
      <c r="J57" s="38" t="s">
        <v>1098</v>
      </c>
    </row>
    <row r="58" spans="1:10">
      <c r="A58" s="41">
        <v>45550</v>
      </c>
      <c r="B58" s="38" t="s">
        <v>1099</v>
      </c>
      <c r="C58" s="38" t="s">
        <v>725</v>
      </c>
      <c r="D58" s="39" t="s">
        <v>718</v>
      </c>
      <c r="E58" s="38" t="s">
        <v>356</v>
      </c>
      <c r="F58" s="38">
        <v>37500</v>
      </c>
      <c r="G58" s="38" t="s">
        <v>738</v>
      </c>
      <c r="H58" s="38" t="s">
        <v>721</v>
      </c>
      <c r="I58" s="38" t="s">
        <v>722</v>
      </c>
      <c r="J58" s="38" t="s">
        <v>1100</v>
      </c>
    </row>
    <row r="59" spans="1:10">
      <c r="A59" s="41">
        <v>45551</v>
      </c>
      <c r="B59" s="38" t="s">
        <v>1101</v>
      </c>
      <c r="C59" s="38" t="s">
        <v>736</v>
      </c>
      <c r="D59" s="39" t="s">
        <v>718</v>
      </c>
      <c r="E59" s="38" t="s">
        <v>1102</v>
      </c>
      <c r="F59" s="38">
        <v>30000</v>
      </c>
      <c r="G59" s="40" t="s">
        <v>733</v>
      </c>
      <c r="H59" s="38" t="s">
        <v>721</v>
      </c>
      <c r="I59" s="38" t="s">
        <v>722</v>
      </c>
      <c r="J59" s="38" t="s">
        <v>1103</v>
      </c>
    </row>
    <row r="60" spans="1:10">
      <c r="A60" s="41">
        <v>45552</v>
      </c>
      <c r="B60" s="38" t="s">
        <v>1104</v>
      </c>
      <c r="C60" s="38" t="s">
        <v>725</v>
      </c>
      <c r="D60" s="39" t="s">
        <v>718</v>
      </c>
      <c r="E60" s="38" t="s">
        <v>1105</v>
      </c>
      <c r="F60" s="38">
        <v>60000</v>
      </c>
      <c r="G60" s="40" t="s">
        <v>733</v>
      </c>
      <c r="H60" s="38" t="s">
        <v>721</v>
      </c>
      <c r="I60" s="38" t="s">
        <v>722</v>
      </c>
      <c r="J60" s="38" t="s">
        <v>1106</v>
      </c>
    </row>
    <row r="61" spans="1:10">
      <c r="A61" s="41">
        <v>45552</v>
      </c>
      <c r="B61" s="38" t="s">
        <v>1107</v>
      </c>
      <c r="C61" s="38" t="s">
        <v>725</v>
      </c>
      <c r="D61" s="39" t="s">
        <v>718</v>
      </c>
      <c r="E61" s="38" t="s">
        <v>515</v>
      </c>
      <c r="F61" s="38">
        <v>28000</v>
      </c>
      <c r="G61" s="40" t="s">
        <v>733</v>
      </c>
      <c r="H61" s="38" t="s">
        <v>721</v>
      </c>
      <c r="I61" s="38" t="s">
        <v>722</v>
      </c>
      <c r="J61" s="38" t="s">
        <v>1108</v>
      </c>
    </row>
    <row r="62" spans="1:10">
      <c r="A62" s="41">
        <v>45554</v>
      </c>
      <c r="B62" s="38" t="s">
        <v>1109</v>
      </c>
      <c r="C62" s="38" t="s">
        <v>725</v>
      </c>
      <c r="D62" s="39" t="s">
        <v>718</v>
      </c>
      <c r="E62" s="38" t="s">
        <v>1110</v>
      </c>
      <c r="F62" s="38">
        <v>90000</v>
      </c>
      <c r="G62" s="40" t="s">
        <v>733</v>
      </c>
      <c r="H62" s="38" t="s">
        <v>721</v>
      </c>
      <c r="I62" s="38" t="s">
        <v>722</v>
      </c>
      <c r="J62" s="38" t="s">
        <v>1111</v>
      </c>
    </row>
    <row r="63" spans="1:10">
      <c r="A63" s="41">
        <v>45554</v>
      </c>
      <c r="B63" s="38" t="s">
        <v>1112</v>
      </c>
      <c r="C63" s="38" t="s">
        <v>278</v>
      </c>
      <c r="D63" s="39" t="s">
        <v>718</v>
      </c>
      <c r="E63" s="38" t="s">
        <v>1113</v>
      </c>
      <c r="F63" s="38">
        <v>44000</v>
      </c>
      <c r="G63" s="38" t="s">
        <v>770</v>
      </c>
      <c r="H63" s="38" t="s">
        <v>721</v>
      </c>
      <c r="I63" s="38" t="s">
        <v>722</v>
      </c>
      <c r="J63" s="38" t="s">
        <v>1114</v>
      </c>
    </row>
    <row r="64" spans="1:10">
      <c r="A64" s="41">
        <v>45554</v>
      </c>
      <c r="B64" s="38" t="s">
        <v>1115</v>
      </c>
      <c r="C64" s="38" t="s">
        <v>781</v>
      </c>
      <c r="D64" s="39" t="s">
        <v>718</v>
      </c>
      <c r="E64" s="38" t="s">
        <v>1116</v>
      </c>
      <c r="F64" s="38">
        <v>275000</v>
      </c>
      <c r="G64" s="40" t="s">
        <v>733</v>
      </c>
      <c r="H64" s="38" t="s">
        <v>721</v>
      </c>
      <c r="I64" s="38" t="s">
        <v>722</v>
      </c>
      <c r="J64" s="38" t="s">
        <v>1117</v>
      </c>
    </row>
    <row r="65" spans="1:10">
      <c r="A65" s="41">
        <v>45554</v>
      </c>
      <c r="B65" s="38" t="s">
        <v>1118</v>
      </c>
      <c r="C65" s="38" t="s">
        <v>725</v>
      </c>
      <c r="D65" s="39" t="s">
        <v>718</v>
      </c>
      <c r="E65" s="38" t="s">
        <v>441</v>
      </c>
      <c r="F65" s="38">
        <v>145000</v>
      </c>
      <c r="G65" s="40" t="s">
        <v>733</v>
      </c>
      <c r="H65" s="38" t="s">
        <v>721</v>
      </c>
      <c r="I65" s="38" t="s">
        <v>722</v>
      </c>
      <c r="J65" s="38" t="s">
        <v>1119</v>
      </c>
    </row>
    <row r="66" spans="1:10">
      <c r="A66" s="41">
        <v>45554</v>
      </c>
      <c r="B66" s="38" t="s">
        <v>1120</v>
      </c>
      <c r="C66" s="38" t="s">
        <v>725</v>
      </c>
      <c r="D66" s="39" t="s">
        <v>718</v>
      </c>
      <c r="E66" s="38" t="s">
        <v>1121</v>
      </c>
      <c r="F66" s="38">
        <v>23000</v>
      </c>
      <c r="G66" s="40" t="s">
        <v>733</v>
      </c>
      <c r="H66" s="38" t="s">
        <v>721</v>
      </c>
      <c r="I66" s="38" t="s">
        <v>722</v>
      </c>
      <c r="J66" s="38" t="s">
        <v>1122</v>
      </c>
    </row>
    <row r="67" spans="1:10">
      <c r="A67" s="41">
        <v>45555</v>
      </c>
      <c r="B67" s="38" t="s">
        <v>1123</v>
      </c>
      <c r="C67" s="38" t="s">
        <v>725</v>
      </c>
      <c r="D67" s="39" t="s">
        <v>718</v>
      </c>
      <c r="E67" s="38" t="s">
        <v>1124</v>
      </c>
      <c r="F67" s="38">
        <v>35000</v>
      </c>
      <c r="G67" s="40" t="s">
        <v>733</v>
      </c>
      <c r="H67" s="38" t="s">
        <v>721</v>
      </c>
      <c r="I67" s="38" t="s">
        <v>722</v>
      </c>
      <c r="J67" s="38" t="s">
        <v>1125</v>
      </c>
    </row>
    <row r="68" spans="1:10">
      <c r="A68" s="41">
        <v>45555</v>
      </c>
      <c r="B68" s="38" t="s">
        <v>1126</v>
      </c>
      <c r="C68" s="38" t="s">
        <v>743</v>
      </c>
      <c r="D68" s="39" t="s">
        <v>718</v>
      </c>
      <c r="E68" s="38" t="s">
        <v>684</v>
      </c>
      <c r="F68" s="38">
        <v>60000</v>
      </c>
      <c r="G68" s="40" t="s">
        <v>733</v>
      </c>
      <c r="H68" s="38" t="s">
        <v>721</v>
      </c>
      <c r="I68" s="38" t="s">
        <v>722</v>
      </c>
      <c r="J68" s="38" t="s">
        <v>1127</v>
      </c>
    </row>
    <row r="69" spans="1:10">
      <c r="A69" s="41">
        <v>45555</v>
      </c>
      <c r="B69" s="38" t="s">
        <v>1128</v>
      </c>
      <c r="C69" s="38" t="s">
        <v>725</v>
      </c>
      <c r="D69" s="39" t="s">
        <v>718</v>
      </c>
      <c r="E69" s="38" t="s">
        <v>872</v>
      </c>
      <c r="F69" s="38">
        <v>56500</v>
      </c>
      <c r="G69" s="40" t="s">
        <v>733</v>
      </c>
      <c r="H69" s="38" t="s">
        <v>721</v>
      </c>
      <c r="I69" s="38" t="s">
        <v>722</v>
      </c>
      <c r="J69" s="38" t="s">
        <v>1129</v>
      </c>
    </row>
    <row r="70" spans="1:10">
      <c r="A70" s="41">
        <v>45556</v>
      </c>
      <c r="B70" s="38" t="s">
        <v>1130</v>
      </c>
      <c r="C70" s="38" t="s">
        <v>732</v>
      </c>
      <c r="D70" s="39" t="s">
        <v>718</v>
      </c>
      <c r="E70" s="38" t="s">
        <v>1054</v>
      </c>
      <c r="F70" s="38">
        <v>16000</v>
      </c>
      <c r="G70" s="40" t="s">
        <v>733</v>
      </c>
      <c r="H70" s="38" t="s">
        <v>757</v>
      </c>
      <c r="I70" s="38" t="s">
        <v>722</v>
      </c>
      <c r="J70" s="38" t="s">
        <v>1131</v>
      </c>
    </row>
    <row r="71" spans="1:10">
      <c r="A71" s="41">
        <v>45556</v>
      </c>
      <c r="B71" s="38" t="s">
        <v>1132</v>
      </c>
      <c r="C71" s="38" t="s">
        <v>725</v>
      </c>
      <c r="D71" s="39" t="s">
        <v>718</v>
      </c>
      <c r="E71" s="38" t="s">
        <v>292</v>
      </c>
      <c r="F71" s="38">
        <v>60000</v>
      </c>
      <c r="G71" s="38" t="s">
        <v>770</v>
      </c>
      <c r="H71" s="38" t="s">
        <v>721</v>
      </c>
      <c r="I71" s="38" t="s">
        <v>722</v>
      </c>
      <c r="J71" s="38" t="s">
        <v>1133</v>
      </c>
    </row>
    <row r="72" spans="1:10">
      <c r="A72" s="41">
        <v>45557</v>
      </c>
      <c r="B72" s="38" t="s">
        <v>1134</v>
      </c>
      <c r="C72" s="38" t="s">
        <v>781</v>
      </c>
      <c r="D72" s="39" t="s">
        <v>718</v>
      </c>
      <c r="E72" s="38" t="s">
        <v>1135</v>
      </c>
      <c r="F72" s="38">
        <v>28000</v>
      </c>
      <c r="G72" s="40" t="s">
        <v>733</v>
      </c>
      <c r="H72" s="38" t="s">
        <v>721</v>
      </c>
      <c r="I72" s="38" t="s">
        <v>722</v>
      </c>
      <c r="J72" s="38" t="s">
        <v>1136</v>
      </c>
    </row>
    <row r="73" spans="1:10">
      <c r="A73" s="41">
        <v>45557</v>
      </c>
      <c r="B73" s="38" t="s">
        <v>1137</v>
      </c>
      <c r="C73" s="38" t="s">
        <v>725</v>
      </c>
      <c r="D73" s="39" t="s">
        <v>718</v>
      </c>
      <c r="E73" s="38" t="s">
        <v>909</v>
      </c>
      <c r="F73" s="38">
        <v>60000</v>
      </c>
      <c r="G73" s="40" t="s">
        <v>733</v>
      </c>
      <c r="H73" s="38" t="s">
        <v>757</v>
      </c>
      <c r="I73" s="38" t="s">
        <v>722</v>
      </c>
      <c r="J73" s="38" t="s">
        <v>1138</v>
      </c>
    </row>
    <row r="74" spans="1:10">
      <c r="A74" s="41">
        <v>45557</v>
      </c>
      <c r="B74" s="38" t="s">
        <v>1139</v>
      </c>
      <c r="C74" s="38" t="s">
        <v>725</v>
      </c>
      <c r="D74" s="39" t="s">
        <v>718</v>
      </c>
      <c r="E74" s="38" t="s">
        <v>515</v>
      </c>
      <c r="F74" s="38">
        <v>23000</v>
      </c>
      <c r="G74" s="38" t="s">
        <v>738</v>
      </c>
      <c r="H74" s="38" t="s">
        <v>721</v>
      </c>
      <c r="I74" s="38" t="s">
        <v>722</v>
      </c>
      <c r="J74" s="38" t="s">
        <v>1140</v>
      </c>
    </row>
    <row r="75" spans="1:10">
      <c r="A75" s="41">
        <v>45558</v>
      </c>
      <c r="B75" s="38" t="s">
        <v>1141</v>
      </c>
      <c r="C75" s="38" t="s">
        <v>725</v>
      </c>
      <c r="D75" s="39" t="s">
        <v>718</v>
      </c>
      <c r="E75" s="38" t="s">
        <v>441</v>
      </c>
      <c r="F75" s="38">
        <v>60000</v>
      </c>
      <c r="G75" s="40" t="s">
        <v>733</v>
      </c>
      <c r="H75" s="38" t="s">
        <v>721</v>
      </c>
      <c r="I75" s="38" t="s">
        <v>722</v>
      </c>
      <c r="J75" s="38" t="s">
        <v>1142</v>
      </c>
    </row>
    <row r="76" spans="1:10">
      <c r="A76" s="41">
        <v>45558</v>
      </c>
      <c r="B76" s="38" t="s">
        <v>1143</v>
      </c>
      <c r="C76" s="38" t="s">
        <v>781</v>
      </c>
      <c r="D76" s="39" t="s">
        <v>718</v>
      </c>
      <c r="E76" s="38" t="s">
        <v>1116</v>
      </c>
      <c r="F76" s="38">
        <v>72000</v>
      </c>
      <c r="G76" s="40" t="s">
        <v>733</v>
      </c>
      <c r="H76" s="38" t="s">
        <v>721</v>
      </c>
      <c r="I76" s="38" t="s">
        <v>722</v>
      </c>
      <c r="J76" s="38" t="s">
        <v>1144</v>
      </c>
    </row>
    <row r="77" spans="1:10">
      <c r="A77" s="41">
        <v>45559</v>
      </c>
      <c r="B77" s="38" t="s">
        <v>1145</v>
      </c>
      <c r="C77" s="38" t="s">
        <v>278</v>
      </c>
      <c r="D77" s="39" t="s">
        <v>718</v>
      </c>
      <c r="E77" s="38" t="s">
        <v>1113</v>
      </c>
      <c r="F77" s="38">
        <v>51000</v>
      </c>
      <c r="G77" s="40" t="s">
        <v>733</v>
      </c>
      <c r="H77" s="38" t="s">
        <v>721</v>
      </c>
      <c r="I77" s="38" t="s">
        <v>722</v>
      </c>
      <c r="J77" s="38" t="s">
        <v>1146</v>
      </c>
    </row>
    <row r="78" spans="1:10">
      <c r="A78" s="41">
        <v>45559</v>
      </c>
      <c r="B78" s="38" t="s">
        <v>1147</v>
      </c>
      <c r="C78" s="38" t="s">
        <v>736</v>
      </c>
      <c r="D78" s="39" t="s">
        <v>718</v>
      </c>
      <c r="E78" s="38" t="s">
        <v>750</v>
      </c>
      <c r="F78" s="38">
        <v>28000</v>
      </c>
      <c r="G78" s="40" t="s">
        <v>733</v>
      </c>
      <c r="H78" s="38" t="s">
        <v>721</v>
      </c>
      <c r="I78" s="38" t="s">
        <v>722</v>
      </c>
      <c r="J78" s="38" t="s">
        <v>1148</v>
      </c>
    </row>
    <row r="79" spans="1:10">
      <c r="A79" s="41">
        <v>45560</v>
      </c>
      <c r="B79" s="38" t="s">
        <v>1149</v>
      </c>
      <c r="C79" s="38" t="s">
        <v>725</v>
      </c>
      <c r="D79" s="39" t="s">
        <v>718</v>
      </c>
      <c r="E79" s="38" t="s">
        <v>545</v>
      </c>
      <c r="F79" s="38">
        <v>19000</v>
      </c>
      <c r="G79" s="40" t="s">
        <v>733</v>
      </c>
      <c r="H79" s="38" t="s">
        <v>721</v>
      </c>
      <c r="I79" s="38" t="s">
        <v>722</v>
      </c>
      <c r="J79" s="38" t="s">
        <v>1150</v>
      </c>
    </row>
    <row r="80" spans="1:10">
      <c r="A80" s="41">
        <v>45560</v>
      </c>
      <c r="B80" s="38" t="s">
        <v>1151</v>
      </c>
      <c r="C80" s="38" t="s">
        <v>781</v>
      </c>
      <c r="D80" s="39" t="s">
        <v>718</v>
      </c>
      <c r="E80" s="38" t="s">
        <v>275</v>
      </c>
      <c r="F80" s="38">
        <v>74500</v>
      </c>
      <c r="G80" s="40" t="s">
        <v>733</v>
      </c>
      <c r="H80" s="38" t="s">
        <v>721</v>
      </c>
      <c r="I80" s="38" t="s">
        <v>722</v>
      </c>
      <c r="J80" s="38" t="s">
        <v>1152</v>
      </c>
    </row>
    <row r="81" spans="1:25">
      <c r="A81" s="41">
        <v>45561</v>
      </c>
      <c r="B81" s="38" t="s">
        <v>1153</v>
      </c>
      <c r="C81" s="38" t="s">
        <v>755</v>
      </c>
      <c r="D81" s="39" t="s">
        <v>718</v>
      </c>
      <c r="E81" s="38" t="s">
        <v>1154</v>
      </c>
      <c r="F81" s="38">
        <v>70000</v>
      </c>
      <c r="G81" s="40" t="s">
        <v>733</v>
      </c>
      <c r="H81" s="38" t="s">
        <v>721</v>
      </c>
      <c r="I81" s="38" t="s">
        <v>722</v>
      </c>
      <c r="J81" s="38" t="s">
        <v>1155</v>
      </c>
    </row>
    <row r="82" spans="1:25">
      <c r="A82" s="41">
        <v>45561</v>
      </c>
      <c r="B82" s="38" t="s">
        <v>1156</v>
      </c>
      <c r="C82" s="38" t="s">
        <v>732</v>
      </c>
      <c r="D82" s="39" t="s">
        <v>718</v>
      </c>
      <c r="E82" s="38" t="s">
        <v>1054</v>
      </c>
      <c r="F82" s="38">
        <v>29000</v>
      </c>
      <c r="G82" s="40" t="s">
        <v>733</v>
      </c>
      <c r="H82" s="38" t="s">
        <v>721</v>
      </c>
      <c r="I82" s="38" t="s">
        <v>722</v>
      </c>
      <c r="J82" s="38" t="s">
        <v>1157</v>
      </c>
    </row>
    <row r="83" spans="1:25">
      <c r="A83" s="41">
        <v>45561</v>
      </c>
      <c r="B83" s="38" t="s">
        <v>1158</v>
      </c>
      <c r="C83" s="38" t="s">
        <v>769</v>
      </c>
      <c r="D83" s="39" t="s">
        <v>718</v>
      </c>
      <c r="E83" s="38" t="s">
        <v>979</v>
      </c>
      <c r="F83" s="38">
        <v>15000</v>
      </c>
      <c r="G83" s="38" t="s">
        <v>738</v>
      </c>
      <c r="H83" s="38" t="s">
        <v>721</v>
      </c>
      <c r="I83" s="38" t="s">
        <v>722</v>
      </c>
      <c r="J83" s="38" t="s">
        <v>1159</v>
      </c>
    </row>
    <row r="84" spans="1:25">
      <c r="A84" s="41">
        <v>45561</v>
      </c>
      <c r="B84" s="38" t="s">
        <v>1160</v>
      </c>
      <c r="C84" s="38" t="s">
        <v>725</v>
      </c>
      <c r="D84" s="39" t="s">
        <v>718</v>
      </c>
      <c r="E84" s="38" t="s">
        <v>800</v>
      </c>
      <c r="F84" s="38">
        <v>60000</v>
      </c>
      <c r="G84" s="40" t="s">
        <v>733</v>
      </c>
      <c r="H84" s="38" t="s">
        <v>721</v>
      </c>
      <c r="I84" s="38" t="s">
        <v>722</v>
      </c>
      <c r="J84" s="38" t="s">
        <v>1161</v>
      </c>
    </row>
    <row r="85" spans="1:25">
      <c r="A85" s="41">
        <v>45562</v>
      </c>
      <c r="B85" s="38" t="s">
        <v>1162</v>
      </c>
      <c r="C85" s="38" t="s">
        <v>717</v>
      </c>
      <c r="D85" s="39" t="s">
        <v>718</v>
      </c>
      <c r="E85" s="38" t="s">
        <v>1163</v>
      </c>
      <c r="F85" s="38">
        <v>22000</v>
      </c>
      <c r="G85" s="40" t="s">
        <v>733</v>
      </c>
      <c r="H85" s="38" t="s">
        <v>721</v>
      </c>
      <c r="I85" s="38" t="s">
        <v>722</v>
      </c>
      <c r="J85" s="38" t="s">
        <v>1164</v>
      </c>
    </row>
    <row r="86" spans="1:25">
      <c r="A86" s="41">
        <v>45563</v>
      </c>
      <c r="B86" s="38" t="s">
        <v>1165</v>
      </c>
      <c r="C86" s="38" t="s">
        <v>769</v>
      </c>
      <c r="D86" s="39" t="s">
        <v>718</v>
      </c>
      <c r="E86" s="38" t="s">
        <v>433</v>
      </c>
      <c r="F86" s="38">
        <v>28000</v>
      </c>
      <c r="G86" s="40" t="s">
        <v>733</v>
      </c>
      <c r="H86" s="38" t="s">
        <v>721</v>
      </c>
      <c r="I86" s="38" t="s">
        <v>722</v>
      </c>
      <c r="J86" s="38" t="s">
        <v>1166</v>
      </c>
    </row>
    <row r="87" spans="1:25">
      <c r="A87" s="41">
        <v>45564</v>
      </c>
      <c r="B87" s="38" t="s">
        <v>1167</v>
      </c>
      <c r="C87" s="38" t="s">
        <v>725</v>
      </c>
      <c r="D87" s="39" t="s">
        <v>718</v>
      </c>
      <c r="E87" s="38" t="s">
        <v>867</v>
      </c>
      <c r="F87" s="38">
        <v>28500</v>
      </c>
      <c r="G87" s="40" t="s">
        <v>733</v>
      </c>
      <c r="H87" s="38" t="s">
        <v>721</v>
      </c>
      <c r="I87" s="38" t="s">
        <v>722</v>
      </c>
      <c r="J87" s="38" t="s">
        <v>1168</v>
      </c>
    </row>
    <row r="88" spans="1:25">
      <c r="A88" s="41">
        <v>45564</v>
      </c>
      <c r="B88" s="38" t="s">
        <v>1169</v>
      </c>
      <c r="C88" s="38" t="s">
        <v>732</v>
      </c>
      <c r="D88" s="39" t="s">
        <v>718</v>
      </c>
      <c r="E88" s="38" t="s">
        <v>694</v>
      </c>
      <c r="F88" s="38">
        <v>15000</v>
      </c>
      <c r="G88" s="40" t="s">
        <v>733</v>
      </c>
      <c r="H88" s="38" t="s">
        <v>721</v>
      </c>
      <c r="I88" s="38" t="s">
        <v>722</v>
      </c>
      <c r="J88" s="38" t="s">
        <v>1170</v>
      </c>
    </row>
    <row r="89" spans="1:25">
      <c r="A89" s="41">
        <v>45564</v>
      </c>
      <c r="B89" s="38" t="s">
        <v>1171</v>
      </c>
      <c r="C89" s="38" t="s">
        <v>769</v>
      </c>
      <c r="D89" s="39" t="s">
        <v>718</v>
      </c>
      <c r="E89" s="38" t="s">
        <v>819</v>
      </c>
      <c r="F89" s="38">
        <v>24215</v>
      </c>
      <c r="G89" s="40" t="s">
        <v>733</v>
      </c>
      <c r="H89" s="38" t="s">
        <v>721</v>
      </c>
      <c r="I89" s="38" t="s">
        <v>722</v>
      </c>
      <c r="J89" s="38" t="s">
        <v>1172</v>
      </c>
    </row>
    <row r="90" spans="1:25">
      <c r="A90" s="41">
        <v>45565</v>
      </c>
      <c r="B90" s="38" t="s">
        <v>1173</v>
      </c>
      <c r="C90" s="38" t="s">
        <v>781</v>
      </c>
      <c r="D90" s="39" t="s">
        <v>718</v>
      </c>
      <c r="E90" s="38" t="s">
        <v>1174</v>
      </c>
      <c r="F90" s="38">
        <v>61000</v>
      </c>
      <c r="G90" s="38" t="s">
        <v>720</v>
      </c>
      <c r="H90" s="38" t="s">
        <v>721</v>
      </c>
      <c r="I90" s="38" t="s">
        <v>722</v>
      </c>
      <c r="J90" s="38" t="s">
        <v>1175</v>
      </c>
      <c r="K90" s="38"/>
      <c r="L90" s="38"/>
      <c r="M90" s="38"/>
      <c r="N90" s="38"/>
      <c r="O90" s="38"/>
      <c r="P90" s="38"/>
      <c r="Q90" s="38"/>
      <c r="R90" s="38"/>
      <c r="S90" s="38"/>
      <c r="T90" s="38"/>
      <c r="U90" s="38"/>
      <c r="V90" s="38"/>
      <c r="W90" s="38"/>
      <c r="X90" s="38"/>
      <c r="Y90" s="38"/>
    </row>
    <row r="91" spans="1:25">
      <c r="A91" s="41">
        <v>45565</v>
      </c>
      <c r="B91" s="38" t="s">
        <v>1176</v>
      </c>
      <c r="C91" s="38" t="s">
        <v>736</v>
      </c>
      <c r="D91" s="39" t="s">
        <v>718</v>
      </c>
      <c r="E91" s="38" t="s">
        <v>1177</v>
      </c>
      <c r="F91" s="38">
        <v>47000</v>
      </c>
      <c r="G91" s="40" t="s">
        <v>733</v>
      </c>
      <c r="H91" s="38" t="s">
        <v>721</v>
      </c>
      <c r="I91" s="38" t="s">
        <v>722</v>
      </c>
      <c r="J91" s="38" t="s">
        <v>1178</v>
      </c>
    </row>
    <row r="92" spans="1:25">
      <c r="J92" s="38"/>
    </row>
    <row r="93" spans="1:25">
      <c r="J93" s="38"/>
    </row>
    <row r="94" spans="1:25">
      <c r="J94" s="38"/>
    </row>
    <row r="95" spans="1:25">
      <c r="J95" s="38"/>
    </row>
    <row r="96" spans="1:25">
      <c r="J96" s="38"/>
    </row>
    <row r="97" spans="10:10">
      <c r="J97" s="38"/>
    </row>
    <row r="98" spans="10:10">
      <c r="J98" s="38"/>
    </row>
    <row r="99" spans="10:10">
      <c r="J99" s="38"/>
    </row>
    <row r="100" spans="10:10">
      <c r="J100" s="38"/>
    </row>
    <row r="101" spans="10:10">
      <c r="J101" s="38"/>
    </row>
    <row r="102" spans="10:10">
      <c r="J102" s="38"/>
    </row>
    <row r="103" spans="10:10">
      <c r="J103" s="38"/>
    </row>
    <row r="104" spans="10:10">
      <c r="J104" s="38"/>
    </row>
    <row r="105" spans="10:10">
      <c r="J105" s="38"/>
    </row>
    <row r="106" spans="10:10">
      <c r="J106" s="38"/>
    </row>
    <row r="107" spans="10:10">
      <c r="J107" s="38"/>
    </row>
    <row r="108" spans="10:10">
      <c r="J108" s="38"/>
    </row>
    <row r="109" spans="10:10">
      <c r="J109" s="38"/>
    </row>
    <row r="110" spans="10:10">
      <c r="J110" s="38"/>
    </row>
    <row r="111" spans="10:10">
      <c r="J111" s="38"/>
    </row>
    <row r="112" spans="10:10">
      <c r="J112" s="38"/>
    </row>
    <row r="113" spans="10:10">
      <c r="J113" s="38"/>
    </row>
    <row r="114" spans="10:10">
      <c r="J114" s="38"/>
    </row>
    <row r="115" spans="10:10">
      <c r="J115" s="38"/>
    </row>
    <row r="116" spans="10:10">
      <c r="J116" s="38"/>
    </row>
    <row r="117" spans="10:10">
      <c r="J117" s="38"/>
    </row>
    <row r="118" spans="10:10">
      <c r="J118" s="38"/>
    </row>
    <row r="119" spans="10:10">
      <c r="J119" s="38"/>
    </row>
    <row r="120" spans="10:10">
      <c r="J120" s="38"/>
    </row>
    <row r="121" spans="10:10">
      <c r="J121" s="38"/>
    </row>
    <row r="122" spans="10:10">
      <c r="J122" s="38"/>
    </row>
    <row r="123" spans="10:10">
      <c r="J123" s="38"/>
    </row>
    <row r="124" spans="10:10">
      <c r="J124" s="38"/>
    </row>
    <row r="125" spans="10:10">
      <c r="J125" s="38"/>
    </row>
    <row r="126" spans="10:10">
      <c r="J126" s="38"/>
    </row>
    <row r="127" spans="10:10">
      <c r="J127" s="38"/>
    </row>
    <row r="128" spans="10:10">
      <c r="J128" s="38"/>
    </row>
    <row r="129" spans="10:10">
      <c r="J129" s="38"/>
    </row>
    <row r="130" spans="10:10">
      <c r="J130" s="38"/>
    </row>
    <row r="131" spans="10:10">
      <c r="J131" s="38"/>
    </row>
    <row r="132" spans="10:10">
      <c r="J132" s="38"/>
    </row>
    <row r="133" spans="10:10">
      <c r="J133" s="38"/>
    </row>
    <row r="134" spans="10:10">
      <c r="J134" s="38"/>
    </row>
    <row r="135" spans="10:10">
      <c r="J135" s="38"/>
    </row>
    <row r="136" spans="10:10">
      <c r="J136" s="38"/>
    </row>
    <row r="137" spans="10:10">
      <c r="J137" s="38"/>
    </row>
    <row r="138" spans="10:10">
      <c r="J138" s="38"/>
    </row>
    <row r="139" spans="10:10">
      <c r="J139" s="38"/>
    </row>
    <row r="140" spans="10:10">
      <c r="J140" s="38"/>
    </row>
    <row r="141" spans="10:10">
      <c r="J141" s="38"/>
    </row>
    <row r="142" spans="10:10">
      <c r="J142" s="38"/>
    </row>
    <row r="143" spans="10:10">
      <c r="J143" s="38"/>
    </row>
    <row r="144" spans="10:10">
      <c r="J144" s="38"/>
    </row>
    <row r="145" spans="10:10">
      <c r="J145" s="38"/>
    </row>
    <row r="146" spans="10:10">
      <c r="J146" s="38"/>
    </row>
    <row r="147" spans="10:10">
      <c r="J147" s="38"/>
    </row>
    <row r="148" spans="10:10">
      <c r="J148" s="38"/>
    </row>
    <row r="149" spans="10:10">
      <c r="J149" s="38"/>
    </row>
    <row r="150" spans="10:10">
      <c r="J150" s="38"/>
    </row>
    <row r="151" spans="10:10">
      <c r="J151" s="38"/>
    </row>
    <row r="152" spans="10:10">
      <c r="J152" s="38"/>
    </row>
    <row r="153" spans="10:10">
      <c r="J153" s="38"/>
    </row>
    <row r="154" spans="10:10">
      <c r="J154" s="38"/>
    </row>
    <row r="155" spans="10:10">
      <c r="J155" s="38"/>
    </row>
    <row r="156" spans="10:10">
      <c r="J156" s="38"/>
    </row>
    <row r="157" spans="10:10">
      <c r="J157" s="38"/>
    </row>
    <row r="158" spans="10:10">
      <c r="J158" s="38"/>
    </row>
    <row r="159" spans="10:10">
      <c r="J159" s="38"/>
    </row>
    <row r="160" spans="10:10">
      <c r="J160" s="38"/>
    </row>
    <row r="161" spans="10:10">
      <c r="J161" s="38"/>
    </row>
    <row r="162" spans="10:10">
      <c r="J162" s="38"/>
    </row>
    <row r="163" spans="10:10">
      <c r="J163" s="38"/>
    </row>
    <row r="164" spans="10:10">
      <c r="J164" s="38"/>
    </row>
    <row r="165" spans="10:10">
      <c r="J165" s="38"/>
    </row>
    <row r="166" spans="10:10">
      <c r="J166" s="38"/>
    </row>
    <row r="167" spans="10:10">
      <c r="J167" s="38"/>
    </row>
    <row r="168" spans="10:10">
      <c r="J168" s="38"/>
    </row>
    <row r="169" spans="10:10">
      <c r="J169" s="38"/>
    </row>
    <row r="170" spans="10:10">
      <c r="J170" s="38"/>
    </row>
    <row r="171" spans="10:10">
      <c r="J171" s="38"/>
    </row>
    <row r="172" spans="10:10">
      <c r="J172" s="38"/>
    </row>
    <row r="173" spans="10:10">
      <c r="J173" s="38"/>
    </row>
    <row r="174" spans="10:10">
      <c r="J174" s="38"/>
    </row>
    <row r="175" spans="10:10">
      <c r="J175" s="38"/>
    </row>
    <row r="176" spans="10:10">
      <c r="J176" s="38"/>
    </row>
    <row r="177" spans="10:10">
      <c r="J177" s="38"/>
    </row>
    <row r="178" spans="10:10">
      <c r="J178" s="38"/>
    </row>
    <row r="179" spans="10:10">
      <c r="J179" s="38"/>
    </row>
    <row r="180" spans="10:10">
      <c r="J180" s="38"/>
    </row>
    <row r="181" spans="10:10">
      <c r="J181" s="38"/>
    </row>
    <row r="182" spans="10:10">
      <c r="J182" s="38"/>
    </row>
    <row r="183" spans="10:10">
      <c r="J183" s="38"/>
    </row>
    <row r="184" spans="10:10">
      <c r="J184" s="38"/>
    </row>
    <row r="185" spans="10:10">
      <c r="J185" s="38"/>
    </row>
    <row r="186" spans="10:10">
      <c r="J186" s="38"/>
    </row>
    <row r="187" spans="10:10">
      <c r="J187" s="38"/>
    </row>
    <row r="188" spans="10:10">
      <c r="J188" s="38"/>
    </row>
    <row r="189" spans="10:10">
      <c r="J189" s="38"/>
    </row>
    <row r="190" spans="10:10">
      <c r="J190" s="38"/>
    </row>
    <row r="191" spans="10:10">
      <c r="J191" s="38"/>
    </row>
    <row r="192" spans="10:10">
      <c r="J192" s="38"/>
    </row>
    <row r="193" spans="10:10">
      <c r="J193" s="38"/>
    </row>
    <row r="194" spans="10:10">
      <c r="J194" s="38"/>
    </row>
    <row r="195" spans="10:10">
      <c r="J195" s="38"/>
    </row>
    <row r="196" spans="10:10">
      <c r="J196" s="38"/>
    </row>
    <row r="197" spans="10:10">
      <c r="J197" s="38"/>
    </row>
    <row r="198" spans="10:10">
      <c r="J198" s="38"/>
    </row>
    <row r="199" spans="10:10">
      <c r="J199" s="38"/>
    </row>
    <row r="200" spans="10:10">
      <c r="J200" s="38"/>
    </row>
    <row r="201" spans="10:10">
      <c r="J201" s="38"/>
    </row>
    <row r="202" spans="10:10">
      <c r="J202" s="38"/>
    </row>
    <row r="203" spans="10:10">
      <c r="J203" s="38"/>
    </row>
    <row r="204" spans="10:10">
      <c r="J204" s="38"/>
    </row>
    <row r="205" spans="10:10">
      <c r="J205" s="38"/>
    </row>
    <row r="206" spans="10:10">
      <c r="J206" s="38"/>
    </row>
    <row r="207" spans="10:10">
      <c r="J207" s="38"/>
    </row>
    <row r="208" spans="10:10">
      <c r="J208" s="38"/>
    </row>
    <row r="209" spans="10:10">
      <c r="J209" s="38"/>
    </row>
    <row r="210" spans="10:10">
      <c r="J210" s="38"/>
    </row>
    <row r="211" spans="10:10">
      <c r="J211" s="38"/>
    </row>
    <row r="212" spans="10:10">
      <c r="J212" s="38"/>
    </row>
    <row r="213" spans="10:10">
      <c r="J213" s="38"/>
    </row>
    <row r="214" spans="10:10">
      <c r="J214" s="38"/>
    </row>
    <row r="215" spans="10:10">
      <c r="J215" s="38"/>
    </row>
    <row r="216" spans="10:10">
      <c r="J216" s="38"/>
    </row>
    <row r="217" spans="10:10">
      <c r="J217" s="38"/>
    </row>
    <row r="218" spans="10:10">
      <c r="J218" s="38"/>
    </row>
    <row r="219" spans="10:10">
      <c r="J219" s="38"/>
    </row>
    <row r="220" spans="10:10">
      <c r="J220" s="38"/>
    </row>
    <row r="221" spans="10:10">
      <c r="J221" s="38"/>
    </row>
    <row r="222" spans="10:10">
      <c r="J222" s="38"/>
    </row>
    <row r="223" spans="10:10">
      <c r="J223" s="38"/>
    </row>
    <row r="224" spans="10:10">
      <c r="J224" s="38"/>
    </row>
    <row r="225" spans="10:10">
      <c r="J225" s="38"/>
    </row>
    <row r="226" spans="10:10">
      <c r="J226" s="38"/>
    </row>
    <row r="227" spans="10:10">
      <c r="J227" s="38"/>
    </row>
    <row r="228" spans="10:10">
      <c r="J228" s="38"/>
    </row>
    <row r="229" spans="10:10">
      <c r="J229" s="38"/>
    </row>
    <row r="230" spans="10:10">
      <c r="J230" s="38"/>
    </row>
    <row r="231" spans="10:10">
      <c r="J231" s="38"/>
    </row>
    <row r="232" spans="10:10">
      <c r="J232" s="38"/>
    </row>
    <row r="233" spans="10:10">
      <c r="J233" s="38"/>
    </row>
    <row r="234" spans="10:10">
      <c r="J234" s="38"/>
    </row>
    <row r="235" spans="10:10">
      <c r="J235" s="38"/>
    </row>
    <row r="236" spans="10:10">
      <c r="J236" s="38"/>
    </row>
    <row r="237" spans="10:10">
      <c r="J237" s="38"/>
    </row>
    <row r="238" spans="10:10">
      <c r="J238" s="38"/>
    </row>
    <row r="239" spans="10:10">
      <c r="J239" s="38"/>
    </row>
    <row r="240" spans="10:10">
      <c r="J240" s="38"/>
    </row>
    <row r="241" spans="10:10">
      <c r="J241" s="38"/>
    </row>
    <row r="242" spans="10:10">
      <c r="J242" s="38"/>
    </row>
    <row r="243" spans="10:10">
      <c r="J243" s="38"/>
    </row>
    <row r="244" spans="10:10">
      <c r="J244" s="38"/>
    </row>
    <row r="245" spans="10:10">
      <c r="J245" s="38"/>
    </row>
    <row r="246" spans="10:10">
      <c r="J246" s="38"/>
    </row>
    <row r="247" spans="10:10">
      <c r="J247" s="38"/>
    </row>
    <row r="248" spans="10:10">
      <c r="J248" s="38"/>
    </row>
    <row r="249" spans="10:10">
      <c r="J249" s="38"/>
    </row>
    <row r="250" spans="10:10">
      <c r="J250" s="38"/>
    </row>
    <row r="251" spans="10:10">
      <c r="J251" s="38"/>
    </row>
    <row r="252" spans="10:10">
      <c r="J252" s="38"/>
    </row>
    <row r="253" spans="10:10">
      <c r="J253" s="38"/>
    </row>
    <row r="254" spans="10:10">
      <c r="J254" s="38"/>
    </row>
    <row r="255" spans="10:10">
      <c r="J255" s="38"/>
    </row>
    <row r="256" spans="10:10">
      <c r="J256" s="38"/>
    </row>
    <row r="257" spans="10:10">
      <c r="J257" s="38"/>
    </row>
    <row r="258" spans="10:10">
      <c r="J258" s="38"/>
    </row>
    <row r="259" spans="10:10">
      <c r="J259" s="38"/>
    </row>
    <row r="260" spans="10:10">
      <c r="J260" s="38"/>
    </row>
    <row r="261" spans="10:10">
      <c r="J261" s="38"/>
    </row>
    <row r="262" spans="10:10">
      <c r="J262" s="38"/>
    </row>
    <row r="263" spans="10:10">
      <c r="J263" s="38"/>
    </row>
    <row r="264" spans="10:10">
      <c r="J264" s="38"/>
    </row>
    <row r="265" spans="10:10">
      <c r="J265" s="38"/>
    </row>
    <row r="266" spans="10:10">
      <c r="J266" s="38"/>
    </row>
    <row r="267" spans="10:10">
      <c r="J267" s="38"/>
    </row>
    <row r="268" spans="10:10">
      <c r="J268" s="38"/>
    </row>
    <row r="269" spans="10:10">
      <c r="J269" s="38"/>
    </row>
    <row r="270" spans="10:10">
      <c r="J270" s="38"/>
    </row>
    <row r="271" spans="10:10">
      <c r="J271" s="38"/>
    </row>
    <row r="272" spans="10:10">
      <c r="J272" s="38"/>
    </row>
    <row r="273" spans="10:10">
      <c r="J273" s="38"/>
    </row>
    <row r="274" spans="10:10">
      <c r="J274" s="38"/>
    </row>
    <row r="275" spans="10:10">
      <c r="J275" s="38"/>
    </row>
    <row r="276" spans="10:10">
      <c r="J276" s="38"/>
    </row>
    <row r="277" spans="10:10">
      <c r="J277" s="38"/>
    </row>
    <row r="278" spans="10:10">
      <c r="J278" s="38"/>
    </row>
    <row r="279" spans="10:10">
      <c r="J279" s="38"/>
    </row>
    <row r="280" spans="10:10">
      <c r="J280" s="38"/>
    </row>
    <row r="281" spans="10:10">
      <c r="J281" s="38"/>
    </row>
    <row r="282" spans="10:10">
      <c r="J282" s="38"/>
    </row>
    <row r="283" spans="10:10">
      <c r="J283" s="38"/>
    </row>
    <row r="284" spans="10:10">
      <c r="J284" s="38"/>
    </row>
    <row r="285" spans="10:10">
      <c r="J285" s="38"/>
    </row>
    <row r="286" spans="10:10">
      <c r="J286" s="38"/>
    </row>
    <row r="287" spans="10:10">
      <c r="J287" s="38"/>
    </row>
    <row r="288" spans="10:10">
      <c r="J288" s="38"/>
    </row>
    <row r="289" spans="10:10">
      <c r="J289" s="38"/>
    </row>
    <row r="290" spans="10:10">
      <c r="J290" s="38"/>
    </row>
    <row r="291" spans="10:10">
      <c r="J291" s="38"/>
    </row>
    <row r="292" spans="10:10">
      <c r="J292" s="38"/>
    </row>
    <row r="293" spans="10:10">
      <c r="J293" s="38"/>
    </row>
    <row r="294" spans="10:10">
      <c r="J294" s="38"/>
    </row>
    <row r="295" spans="10:10">
      <c r="J295" s="38"/>
    </row>
    <row r="296" spans="10:10">
      <c r="J296" s="38"/>
    </row>
    <row r="297" spans="10:10">
      <c r="J297" s="38"/>
    </row>
    <row r="298" spans="10:10">
      <c r="J298" s="38"/>
    </row>
    <row r="299" spans="10:10">
      <c r="J299" s="38"/>
    </row>
    <row r="300" spans="10:10">
      <c r="J300" s="38"/>
    </row>
    <row r="301" spans="10:10">
      <c r="J301" s="38"/>
    </row>
    <row r="302" spans="10:10">
      <c r="J302" s="38"/>
    </row>
    <row r="303" spans="10:10">
      <c r="J303" s="38"/>
    </row>
    <row r="304" spans="10:10">
      <c r="J304" s="38"/>
    </row>
    <row r="305" spans="10:10">
      <c r="J305" s="38"/>
    </row>
    <row r="306" spans="10:10">
      <c r="J306" s="38"/>
    </row>
    <row r="307" spans="10:10">
      <c r="J307" s="38"/>
    </row>
    <row r="308" spans="10:10">
      <c r="J308" s="38"/>
    </row>
    <row r="309" spans="10:10">
      <c r="J309" s="38"/>
    </row>
    <row r="310" spans="10:10">
      <c r="J310" s="38"/>
    </row>
    <row r="311" spans="10:10">
      <c r="J311" s="38"/>
    </row>
    <row r="312" spans="10:10">
      <c r="J312" s="38"/>
    </row>
    <row r="313" spans="10:10">
      <c r="J313" s="38"/>
    </row>
    <row r="314" spans="10:10">
      <c r="J314" s="38"/>
    </row>
    <row r="315" spans="10:10">
      <c r="J315" s="38"/>
    </row>
    <row r="316" spans="10:10">
      <c r="J316" s="38"/>
    </row>
    <row r="317" spans="10:10">
      <c r="J317" s="38"/>
    </row>
    <row r="318" spans="10:10">
      <c r="J318" s="38"/>
    </row>
    <row r="319" spans="10:10">
      <c r="J319" s="38"/>
    </row>
    <row r="320" spans="10:10">
      <c r="J320" s="38"/>
    </row>
    <row r="321" spans="10:10">
      <c r="J321" s="38"/>
    </row>
    <row r="322" spans="10:10">
      <c r="J322" s="38"/>
    </row>
    <row r="323" spans="10:10">
      <c r="J323" s="38"/>
    </row>
    <row r="324" spans="10:10">
      <c r="J324" s="38"/>
    </row>
    <row r="325" spans="10:10">
      <c r="J325" s="38"/>
    </row>
    <row r="326" spans="10:10">
      <c r="J326" s="38"/>
    </row>
    <row r="327" spans="10:10">
      <c r="J327" s="38"/>
    </row>
    <row r="328" spans="10:10">
      <c r="J328" s="38"/>
    </row>
    <row r="329" spans="10:10">
      <c r="J329" s="38"/>
    </row>
    <row r="330" spans="10:10">
      <c r="J330" s="38"/>
    </row>
    <row r="331" spans="10:10">
      <c r="J331" s="38"/>
    </row>
    <row r="332" spans="10:10">
      <c r="J332" s="38"/>
    </row>
    <row r="333" spans="10:10">
      <c r="J333" s="38"/>
    </row>
    <row r="334" spans="10:10">
      <c r="J334" s="38"/>
    </row>
    <row r="335" spans="10:10">
      <c r="J335" s="38"/>
    </row>
    <row r="336" spans="10:10">
      <c r="J336" s="38"/>
    </row>
    <row r="337" spans="10:10">
      <c r="J337" s="38"/>
    </row>
    <row r="338" spans="10:10">
      <c r="J338" s="38"/>
    </row>
    <row r="339" spans="10:10">
      <c r="J339" s="38"/>
    </row>
    <row r="340" spans="10:10">
      <c r="J340" s="38"/>
    </row>
    <row r="341" spans="10:10">
      <c r="J341" s="38"/>
    </row>
    <row r="342" spans="10:10">
      <c r="J342" s="38"/>
    </row>
    <row r="343" spans="10:10">
      <c r="J343" s="38"/>
    </row>
    <row r="344" spans="10:10">
      <c r="J344" s="38"/>
    </row>
    <row r="345" spans="10:10">
      <c r="J345" s="38"/>
    </row>
    <row r="346" spans="10:10">
      <c r="J346" s="38"/>
    </row>
    <row r="347" spans="10:10">
      <c r="J347" s="38"/>
    </row>
    <row r="348" spans="10:10">
      <c r="J348" s="38"/>
    </row>
    <row r="349" spans="10:10">
      <c r="J349" s="38"/>
    </row>
    <row r="350" spans="10:10">
      <c r="J350" s="38"/>
    </row>
    <row r="351" spans="10:10">
      <c r="J351" s="38"/>
    </row>
    <row r="352" spans="10:10">
      <c r="J352" s="38"/>
    </row>
    <row r="353" spans="10:10">
      <c r="J353" s="38"/>
    </row>
    <row r="354" spans="10:10">
      <c r="J354" s="38"/>
    </row>
    <row r="355" spans="10:10">
      <c r="J355" s="38"/>
    </row>
    <row r="356" spans="10:10">
      <c r="J356" s="38"/>
    </row>
    <row r="357" spans="10:10">
      <c r="J357" s="38"/>
    </row>
    <row r="358" spans="10:10">
      <c r="J358" s="38"/>
    </row>
    <row r="359" spans="10:10">
      <c r="J359" s="38"/>
    </row>
    <row r="360" spans="10:10">
      <c r="J360" s="38"/>
    </row>
    <row r="361" spans="10:10">
      <c r="J361" s="38"/>
    </row>
    <row r="362" spans="10:10">
      <c r="J362" s="38"/>
    </row>
    <row r="363" spans="10:10">
      <c r="J363" s="38"/>
    </row>
    <row r="364" spans="10:10">
      <c r="J364" s="38"/>
    </row>
    <row r="365" spans="10:10">
      <c r="J365" s="38"/>
    </row>
    <row r="366" spans="10:10">
      <c r="J366" s="38"/>
    </row>
    <row r="367" spans="10:10">
      <c r="J367" s="38"/>
    </row>
    <row r="368" spans="10:10">
      <c r="J368" s="38"/>
    </row>
    <row r="369" spans="10:10">
      <c r="J369" s="38"/>
    </row>
    <row r="370" spans="10:10">
      <c r="J370" s="38"/>
    </row>
    <row r="371" spans="10:10">
      <c r="J371" s="38"/>
    </row>
    <row r="372" spans="10:10">
      <c r="J372" s="38"/>
    </row>
    <row r="373" spans="10:10">
      <c r="J373" s="38"/>
    </row>
    <row r="374" spans="10:10">
      <c r="J374" s="38"/>
    </row>
    <row r="375" spans="10:10">
      <c r="J375" s="38"/>
    </row>
    <row r="376" spans="10:10">
      <c r="J376" s="38"/>
    </row>
    <row r="377" spans="10:10">
      <c r="J377" s="38"/>
    </row>
    <row r="378" spans="10:10">
      <c r="J378" s="38"/>
    </row>
    <row r="379" spans="10:10">
      <c r="J379" s="38"/>
    </row>
    <row r="380" spans="10:10">
      <c r="J380" s="38"/>
    </row>
    <row r="381" spans="10:10">
      <c r="J381" s="38"/>
    </row>
    <row r="382" spans="10:10">
      <c r="J382" s="38"/>
    </row>
    <row r="383" spans="10:10">
      <c r="J383" s="38"/>
    </row>
    <row r="384" spans="10:10">
      <c r="J384" s="38"/>
    </row>
    <row r="385" spans="10:10">
      <c r="J385" s="38"/>
    </row>
    <row r="386" spans="10:10">
      <c r="J386" s="38"/>
    </row>
    <row r="387" spans="10:10">
      <c r="J387" s="38"/>
    </row>
    <row r="388" spans="10:10">
      <c r="J388" s="38"/>
    </row>
    <row r="389" spans="10:10">
      <c r="J389" s="38"/>
    </row>
    <row r="390" spans="10:10">
      <c r="J390" s="38"/>
    </row>
    <row r="391" spans="10:10">
      <c r="J391" s="38"/>
    </row>
    <row r="392" spans="10:10">
      <c r="J392" s="38"/>
    </row>
    <row r="393" spans="10:10">
      <c r="J393" s="38"/>
    </row>
    <row r="394" spans="10:10">
      <c r="J394" s="38"/>
    </row>
    <row r="395" spans="10:10">
      <c r="J395" s="38"/>
    </row>
    <row r="396" spans="10:10">
      <c r="J396" s="38"/>
    </row>
    <row r="397" spans="10:10">
      <c r="J397" s="38"/>
    </row>
    <row r="398" spans="10:10">
      <c r="J398" s="38"/>
    </row>
    <row r="399" spans="10:10">
      <c r="J399" s="38"/>
    </row>
    <row r="400" spans="10:10">
      <c r="J400" s="38"/>
    </row>
    <row r="401" spans="10:10">
      <c r="J401" s="38"/>
    </row>
    <row r="402" spans="10:10">
      <c r="J402" s="38"/>
    </row>
    <row r="403" spans="10:10">
      <c r="J403" s="38"/>
    </row>
    <row r="404" spans="10:10">
      <c r="J404" s="38"/>
    </row>
    <row r="405" spans="10:10">
      <c r="J405" s="38"/>
    </row>
    <row r="406" spans="10:10">
      <c r="J406" s="38"/>
    </row>
    <row r="407" spans="10:10">
      <c r="J407" s="38"/>
    </row>
    <row r="408" spans="10:10">
      <c r="J408" s="38"/>
    </row>
    <row r="409" spans="10:10">
      <c r="J409" s="38"/>
    </row>
    <row r="410" spans="10:10">
      <c r="J410" s="38"/>
    </row>
    <row r="411" spans="10:10">
      <c r="J411" s="38"/>
    </row>
    <row r="412" spans="10:10">
      <c r="J412" s="38"/>
    </row>
    <row r="413" spans="10:10">
      <c r="J413" s="38"/>
    </row>
    <row r="414" spans="10:10">
      <c r="J414" s="38"/>
    </row>
    <row r="415" spans="10:10">
      <c r="J415" s="38"/>
    </row>
    <row r="416" spans="10:10">
      <c r="J416" s="38"/>
    </row>
    <row r="417" spans="10:10">
      <c r="J417" s="38"/>
    </row>
    <row r="418" spans="10:10">
      <c r="J418" s="38"/>
    </row>
    <row r="419" spans="10:10">
      <c r="J419" s="38"/>
    </row>
    <row r="420" spans="10:10">
      <c r="J420" s="38"/>
    </row>
    <row r="421" spans="10:10">
      <c r="J421" s="38"/>
    </row>
    <row r="422" spans="10:10">
      <c r="J422" s="38"/>
    </row>
    <row r="423" spans="10:10">
      <c r="J423" s="38"/>
    </row>
    <row r="424" spans="10:10">
      <c r="J424" s="38"/>
    </row>
    <row r="425" spans="10:10">
      <c r="J425" s="38"/>
    </row>
    <row r="426" spans="10:10">
      <c r="J426" s="38"/>
    </row>
    <row r="427" spans="10:10">
      <c r="J427" s="38"/>
    </row>
    <row r="428" spans="10:10">
      <c r="J428" s="38"/>
    </row>
    <row r="429" spans="10:10">
      <c r="J429" s="38"/>
    </row>
    <row r="430" spans="10:10">
      <c r="J430" s="38"/>
    </row>
    <row r="431" spans="10:10">
      <c r="J431" s="38"/>
    </row>
    <row r="432" spans="10:10">
      <c r="J432" s="38"/>
    </row>
    <row r="433" spans="10:10">
      <c r="J433" s="38"/>
    </row>
    <row r="434" spans="10:10">
      <c r="J434" s="38"/>
    </row>
    <row r="435" spans="10:10">
      <c r="J435" s="38"/>
    </row>
    <row r="436" spans="10:10">
      <c r="J436" s="38"/>
    </row>
    <row r="437" spans="10:10">
      <c r="J437" s="38"/>
    </row>
    <row r="438" spans="10:10">
      <c r="J438" s="38"/>
    </row>
    <row r="439" spans="10:10">
      <c r="J439" s="38"/>
    </row>
    <row r="440" spans="10:10">
      <c r="J440" s="38"/>
    </row>
    <row r="441" spans="10:10">
      <c r="J441" s="38"/>
    </row>
    <row r="442" spans="10:10">
      <c r="J442" s="38"/>
    </row>
    <row r="443" spans="10:10">
      <c r="J443" s="38"/>
    </row>
    <row r="444" spans="10:10">
      <c r="J444" s="38"/>
    </row>
    <row r="445" spans="10:10">
      <c r="J445" s="38"/>
    </row>
    <row r="446" spans="10:10">
      <c r="J446" s="38"/>
    </row>
    <row r="447" spans="10:10">
      <c r="J447" s="38"/>
    </row>
    <row r="448" spans="10:10">
      <c r="J448" s="38"/>
    </row>
    <row r="449" spans="10:10">
      <c r="J449" s="38"/>
    </row>
    <row r="450" spans="10:10">
      <c r="J450" s="38"/>
    </row>
    <row r="451" spans="10:10">
      <c r="J451" s="38"/>
    </row>
    <row r="452" spans="10:10">
      <c r="J452" s="38"/>
    </row>
    <row r="453" spans="10:10">
      <c r="J453" s="38"/>
    </row>
    <row r="454" spans="10:10">
      <c r="J454" s="38"/>
    </row>
    <row r="455" spans="10:10">
      <c r="J455" s="38"/>
    </row>
    <row r="456" spans="10:10">
      <c r="J456" s="38"/>
    </row>
    <row r="457" spans="10:10">
      <c r="J457" s="38"/>
    </row>
    <row r="458" spans="10:10">
      <c r="J458" s="38"/>
    </row>
    <row r="459" spans="10:10">
      <c r="J459" s="38"/>
    </row>
    <row r="460" spans="10:10">
      <c r="J460" s="38"/>
    </row>
    <row r="461" spans="10:10">
      <c r="J461" s="38"/>
    </row>
    <row r="462" spans="10:10">
      <c r="J462" s="38"/>
    </row>
    <row r="463" spans="10:10">
      <c r="J463" s="38"/>
    </row>
    <row r="464" spans="10:10">
      <c r="J464" s="38"/>
    </row>
    <row r="465" spans="10:10">
      <c r="J465" s="38"/>
    </row>
    <row r="466" spans="10:10">
      <c r="J466" s="38"/>
    </row>
    <row r="467" spans="10:10">
      <c r="J467" s="38"/>
    </row>
    <row r="468" spans="10:10">
      <c r="J468" s="38"/>
    </row>
    <row r="469" spans="10:10">
      <c r="J469" s="38"/>
    </row>
    <row r="470" spans="10:10">
      <c r="J470" s="38"/>
    </row>
    <row r="471" spans="10:10">
      <c r="J471" s="38"/>
    </row>
    <row r="472" spans="10:10">
      <c r="J472" s="38"/>
    </row>
    <row r="473" spans="10:10">
      <c r="J473" s="38"/>
    </row>
    <row r="474" spans="10:10">
      <c r="J474" s="38"/>
    </row>
    <row r="475" spans="10:10">
      <c r="J475" s="38"/>
    </row>
    <row r="476" spans="10:10">
      <c r="J476" s="38"/>
    </row>
    <row r="477" spans="10:10">
      <c r="J477" s="38"/>
    </row>
    <row r="478" spans="10:10">
      <c r="J478" s="38"/>
    </row>
    <row r="479" spans="10:10">
      <c r="J479" s="38"/>
    </row>
    <row r="480" spans="10:10">
      <c r="J480" s="38"/>
    </row>
    <row r="481" spans="10:10">
      <c r="J481" s="38"/>
    </row>
    <row r="482" spans="10:10">
      <c r="J482" s="38"/>
    </row>
    <row r="483" spans="10:10">
      <c r="J483" s="38"/>
    </row>
    <row r="484" spans="10:10">
      <c r="J484" s="38"/>
    </row>
    <row r="485" spans="10:10">
      <c r="J485" s="38"/>
    </row>
    <row r="486" spans="10:10">
      <c r="J486" s="38"/>
    </row>
    <row r="487" spans="10:10">
      <c r="J487" s="38"/>
    </row>
    <row r="488" spans="10:10">
      <c r="J488" s="38"/>
    </row>
    <row r="489" spans="10:10">
      <c r="J489" s="38"/>
    </row>
    <row r="490" spans="10:10">
      <c r="J490" s="38"/>
    </row>
    <row r="491" spans="10:10">
      <c r="J491" s="38"/>
    </row>
    <row r="492" spans="10:10">
      <c r="J492" s="38"/>
    </row>
    <row r="493" spans="10:10">
      <c r="J493" s="38"/>
    </row>
    <row r="494" spans="10:10">
      <c r="J494" s="38"/>
    </row>
    <row r="495" spans="10:10">
      <c r="J495" s="38"/>
    </row>
    <row r="496" spans="10:10">
      <c r="J496" s="38"/>
    </row>
    <row r="497" spans="10:10">
      <c r="J497" s="38"/>
    </row>
    <row r="498" spans="10:10">
      <c r="J498" s="38"/>
    </row>
    <row r="499" spans="10:10">
      <c r="J499" s="38"/>
    </row>
    <row r="500" spans="10:10">
      <c r="J500" s="38"/>
    </row>
    <row r="501" spans="10:10">
      <c r="J501" s="38"/>
    </row>
    <row r="502" spans="10:10">
      <c r="J502" s="38"/>
    </row>
    <row r="503" spans="10:10">
      <c r="J503" s="38"/>
    </row>
    <row r="504" spans="10:10">
      <c r="J504" s="38"/>
    </row>
    <row r="505" spans="10:10">
      <c r="J505" s="38"/>
    </row>
    <row r="506" spans="10:10">
      <c r="J506" s="38"/>
    </row>
    <row r="507" spans="10:10">
      <c r="J507" s="38"/>
    </row>
    <row r="508" spans="10:10">
      <c r="J508" s="38"/>
    </row>
    <row r="509" spans="10:10">
      <c r="J509" s="38"/>
    </row>
    <row r="510" spans="10:10">
      <c r="J510" s="38"/>
    </row>
    <row r="511" spans="10:10">
      <c r="J511" s="38"/>
    </row>
    <row r="512" spans="10:10">
      <c r="J512" s="38"/>
    </row>
    <row r="513" spans="10:10">
      <c r="J513" s="38"/>
    </row>
    <row r="514" spans="10:10">
      <c r="J514" s="38"/>
    </row>
    <row r="515" spans="10:10">
      <c r="J515" s="38"/>
    </row>
    <row r="516" spans="10:10">
      <c r="J516" s="38"/>
    </row>
    <row r="517" spans="10:10">
      <c r="J517" s="38"/>
    </row>
    <row r="518" spans="10:10">
      <c r="J518" s="38"/>
    </row>
    <row r="519" spans="10:10">
      <c r="J519" s="38"/>
    </row>
    <row r="520" spans="10:10">
      <c r="J520" s="38"/>
    </row>
    <row r="521" spans="10:10">
      <c r="J521" s="38"/>
    </row>
    <row r="522" spans="10:10">
      <c r="J522" s="38"/>
    </row>
    <row r="523" spans="10:10">
      <c r="J523" s="38"/>
    </row>
    <row r="524" spans="10:10">
      <c r="J524" s="38"/>
    </row>
    <row r="525" spans="10:10">
      <c r="J525" s="38"/>
    </row>
    <row r="526" spans="10:10">
      <c r="J526" s="38"/>
    </row>
    <row r="527" spans="10:10">
      <c r="J527" s="38"/>
    </row>
    <row r="528" spans="10:10">
      <c r="J528" s="38"/>
    </row>
    <row r="529" spans="10:10">
      <c r="J529" s="38"/>
    </row>
    <row r="530" spans="10:10">
      <c r="J530" s="38"/>
    </row>
    <row r="531" spans="10:10">
      <c r="J531" s="38"/>
    </row>
    <row r="532" spans="10:10">
      <c r="J532" s="38"/>
    </row>
    <row r="533" spans="10:10">
      <c r="J533" s="38"/>
    </row>
    <row r="534" spans="10:10">
      <c r="J534" s="38"/>
    </row>
    <row r="535" spans="10:10">
      <c r="J535" s="38"/>
    </row>
    <row r="536" spans="10:10">
      <c r="J536" s="38"/>
    </row>
    <row r="537" spans="10:10">
      <c r="J537" s="38"/>
    </row>
    <row r="538" spans="10:10">
      <c r="J538" s="38"/>
    </row>
    <row r="539" spans="10:10">
      <c r="J539" s="38"/>
    </row>
    <row r="540" spans="10:10">
      <c r="J540" s="38"/>
    </row>
    <row r="541" spans="10:10">
      <c r="J541" s="38"/>
    </row>
    <row r="542" spans="10:10">
      <c r="J542" s="38"/>
    </row>
    <row r="543" spans="10:10">
      <c r="J543" s="38"/>
    </row>
    <row r="544" spans="10:10">
      <c r="J544" s="38"/>
    </row>
    <row r="545" spans="10:10">
      <c r="J545" s="38"/>
    </row>
    <row r="546" spans="10:10">
      <c r="J546" s="38"/>
    </row>
    <row r="547" spans="10:10">
      <c r="J547" s="38"/>
    </row>
    <row r="548" spans="10:10">
      <c r="J548" s="38"/>
    </row>
    <row r="549" spans="10:10">
      <c r="J549" s="38"/>
    </row>
    <row r="550" spans="10:10">
      <c r="J550" s="38"/>
    </row>
    <row r="551" spans="10:10">
      <c r="J551" s="38"/>
    </row>
    <row r="552" spans="10:10">
      <c r="J552" s="38"/>
    </row>
    <row r="553" spans="10:10">
      <c r="J553" s="38"/>
    </row>
    <row r="554" spans="10:10">
      <c r="J554" s="38"/>
    </row>
    <row r="555" spans="10:10">
      <c r="J555" s="38"/>
    </row>
    <row r="556" spans="10:10">
      <c r="J556" s="38"/>
    </row>
    <row r="557" spans="10:10">
      <c r="J557" s="38"/>
    </row>
    <row r="558" spans="10:10">
      <c r="J558" s="38"/>
    </row>
    <row r="559" spans="10:10">
      <c r="J559" s="38"/>
    </row>
    <row r="560" spans="10:10">
      <c r="J560" s="38"/>
    </row>
    <row r="561" spans="10:10">
      <c r="J561" s="38"/>
    </row>
    <row r="562" spans="10:10">
      <c r="J562" s="38"/>
    </row>
    <row r="563" spans="10:10">
      <c r="J563" s="38"/>
    </row>
    <row r="564" spans="10:10">
      <c r="J564" s="38"/>
    </row>
    <row r="565" spans="10:10">
      <c r="J565" s="38"/>
    </row>
    <row r="566" spans="10:10">
      <c r="J566" s="38"/>
    </row>
    <row r="567" spans="10:10">
      <c r="J567" s="38"/>
    </row>
    <row r="568" spans="10:10">
      <c r="J568" s="38"/>
    </row>
    <row r="569" spans="10:10">
      <c r="J569" s="38"/>
    </row>
    <row r="570" spans="10:10">
      <c r="J570" s="38"/>
    </row>
    <row r="571" spans="10:10">
      <c r="J571" s="38"/>
    </row>
    <row r="572" spans="10:10">
      <c r="J572" s="38"/>
    </row>
    <row r="573" spans="10:10">
      <c r="J573" s="38"/>
    </row>
    <row r="574" spans="10:10">
      <c r="J574" s="38"/>
    </row>
    <row r="575" spans="10:10">
      <c r="J575" s="38"/>
    </row>
    <row r="576" spans="10:10">
      <c r="J576" s="38"/>
    </row>
    <row r="577" spans="10:10">
      <c r="J577" s="38"/>
    </row>
    <row r="578" spans="10:10">
      <c r="J578" s="38"/>
    </row>
    <row r="579" spans="10:10">
      <c r="J579" s="38"/>
    </row>
    <row r="580" spans="10:10">
      <c r="J580" s="38"/>
    </row>
    <row r="581" spans="10:10">
      <c r="J581" s="38"/>
    </row>
    <row r="582" spans="10:10">
      <c r="J582" s="38"/>
    </row>
    <row r="583" spans="10:10">
      <c r="J583" s="38"/>
    </row>
    <row r="584" spans="10:10">
      <c r="J584" s="38"/>
    </row>
    <row r="585" spans="10:10">
      <c r="J585" s="38"/>
    </row>
    <row r="586" spans="10:10">
      <c r="J586" s="38"/>
    </row>
    <row r="587" spans="10:10">
      <c r="J587" s="38"/>
    </row>
    <row r="588" spans="10:10">
      <c r="J588" s="38"/>
    </row>
    <row r="589" spans="10:10">
      <c r="J589" s="38"/>
    </row>
    <row r="590" spans="10:10">
      <c r="J590" s="38"/>
    </row>
    <row r="591" spans="10:10">
      <c r="J591" s="38"/>
    </row>
    <row r="592" spans="10:10">
      <c r="J592" s="38"/>
    </row>
    <row r="593" spans="10:10">
      <c r="J593" s="38"/>
    </row>
    <row r="594" spans="10:10">
      <c r="J594" s="38"/>
    </row>
    <row r="595" spans="10:10">
      <c r="J595" s="38"/>
    </row>
    <row r="596" spans="10:10">
      <c r="J596" s="38"/>
    </row>
    <row r="597" spans="10:10">
      <c r="J597" s="38"/>
    </row>
    <row r="598" spans="10:10">
      <c r="J598" s="38"/>
    </row>
    <row r="599" spans="10:10">
      <c r="J599" s="38"/>
    </row>
    <row r="600" spans="10:10">
      <c r="J600" s="38"/>
    </row>
    <row r="601" spans="10:10">
      <c r="J601" s="38"/>
    </row>
    <row r="602" spans="10:10">
      <c r="J602" s="38"/>
    </row>
    <row r="603" spans="10:10">
      <c r="J603" s="38"/>
    </row>
    <row r="604" spans="10:10">
      <c r="J604" s="38"/>
    </row>
    <row r="605" spans="10:10">
      <c r="J605" s="38"/>
    </row>
    <row r="606" spans="10:10">
      <c r="J606" s="38"/>
    </row>
    <row r="607" spans="10:10">
      <c r="J607" s="38"/>
    </row>
    <row r="608" spans="10:10">
      <c r="J608" s="38"/>
    </row>
    <row r="609" spans="10:10">
      <c r="J609" s="38"/>
    </row>
    <row r="610" spans="10:10">
      <c r="J610" s="38"/>
    </row>
    <row r="611" spans="10:10">
      <c r="J611" s="38"/>
    </row>
    <row r="612" spans="10:10">
      <c r="J612" s="38"/>
    </row>
    <row r="613" spans="10:10">
      <c r="J613" s="38"/>
    </row>
    <row r="614" spans="10:10">
      <c r="J614" s="38"/>
    </row>
    <row r="615" spans="10:10">
      <c r="J615" s="38"/>
    </row>
    <row r="616" spans="10:10">
      <c r="J616" s="38"/>
    </row>
    <row r="617" spans="10:10">
      <c r="J617" s="38"/>
    </row>
    <row r="618" spans="10:10">
      <c r="J618" s="38"/>
    </row>
    <row r="619" spans="10:10">
      <c r="J619" s="38"/>
    </row>
    <row r="620" spans="10:10">
      <c r="J620" s="38"/>
    </row>
    <row r="621" spans="10:10">
      <c r="J621" s="38"/>
    </row>
    <row r="622" spans="10:10">
      <c r="J622" s="38"/>
    </row>
    <row r="623" spans="10:10">
      <c r="J623" s="38"/>
    </row>
    <row r="624" spans="10:10">
      <c r="J624" s="38"/>
    </row>
    <row r="625" spans="10:10">
      <c r="J625" s="38"/>
    </row>
    <row r="626" spans="10:10">
      <c r="J626" s="38"/>
    </row>
    <row r="627" spans="10:10">
      <c r="J627" s="38"/>
    </row>
    <row r="628" spans="10:10">
      <c r="J628" s="38"/>
    </row>
    <row r="629" spans="10:10">
      <c r="J629" s="38"/>
    </row>
    <row r="630" spans="10:10">
      <c r="J630" s="38"/>
    </row>
    <row r="631" spans="10:10">
      <c r="J631" s="38"/>
    </row>
    <row r="632" spans="10:10">
      <c r="J632" s="38"/>
    </row>
    <row r="633" spans="10:10">
      <c r="J633" s="38"/>
    </row>
    <row r="634" spans="10:10">
      <c r="J634" s="38"/>
    </row>
    <row r="635" spans="10:10">
      <c r="J635" s="38"/>
    </row>
    <row r="636" spans="10:10">
      <c r="J636" s="38"/>
    </row>
    <row r="637" spans="10:10">
      <c r="J637" s="38"/>
    </row>
    <row r="638" spans="10:10">
      <c r="J638" s="38"/>
    </row>
    <row r="639" spans="10:10">
      <c r="J639" s="38"/>
    </row>
    <row r="640" spans="10:10">
      <c r="J640" s="38"/>
    </row>
    <row r="641" spans="10:10">
      <c r="J641" s="38"/>
    </row>
    <row r="642" spans="10:10">
      <c r="J642" s="38"/>
    </row>
    <row r="643" spans="10:10">
      <c r="J643" s="38"/>
    </row>
    <row r="644" spans="10:10">
      <c r="J644" s="38"/>
    </row>
    <row r="645" spans="10:10">
      <c r="J645" s="38"/>
    </row>
    <row r="646" spans="10:10">
      <c r="J646" s="38"/>
    </row>
    <row r="647" spans="10:10">
      <c r="J647" s="38"/>
    </row>
    <row r="648" spans="10:10">
      <c r="J648" s="38"/>
    </row>
    <row r="649" spans="10:10">
      <c r="J649" s="38"/>
    </row>
    <row r="650" spans="10:10">
      <c r="J650" s="38"/>
    </row>
    <row r="651" spans="10:10">
      <c r="J651" s="38"/>
    </row>
    <row r="652" spans="10:10">
      <c r="J652" s="38"/>
    </row>
    <row r="653" spans="10:10">
      <c r="J653" s="38"/>
    </row>
    <row r="654" spans="10:10">
      <c r="J654" s="38"/>
    </row>
    <row r="655" spans="10:10">
      <c r="J655" s="38"/>
    </row>
    <row r="656" spans="10:10">
      <c r="J656" s="38"/>
    </row>
    <row r="657" spans="10:10">
      <c r="J657" s="38"/>
    </row>
    <row r="658" spans="10:10">
      <c r="J658" s="38"/>
    </row>
    <row r="659" spans="10:10">
      <c r="J659" s="38"/>
    </row>
    <row r="660" spans="10:10">
      <c r="J660" s="38"/>
    </row>
    <row r="661" spans="10:10">
      <c r="J661" s="38"/>
    </row>
    <row r="662" spans="10:10">
      <c r="J662" s="38"/>
    </row>
    <row r="663" spans="10:10">
      <c r="J663" s="38"/>
    </row>
    <row r="664" spans="10:10">
      <c r="J664" s="38"/>
    </row>
    <row r="665" spans="10:10">
      <c r="J665" s="38"/>
    </row>
    <row r="666" spans="10:10">
      <c r="J666" s="38"/>
    </row>
    <row r="667" spans="10:10">
      <c r="J667" s="38"/>
    </row>
    <row r="668" spans="10:10">
      <c r="J668" s="38"/>
    </row>
    <row r="669" spans="10:10">
      <c r="J669" s="38"/>
    </row>
    <row r="670" spans="10:10">
      <c r="J670" s="38"/>
    </row>
    <row r="671" spans="10:10">
      <c r="J671" s="38"/>
    </row>
    <row r="672" spans="10:10">
      <c r="J672" s="38"/>
    </row>
    <row r="673" spans="10:10">
      <c r="J673" s="38"/>
    </row>
    <row r="674" spans="10:10">
      <c r="J674" s="38"/>
    </row>
    <row r="675" spans="10:10">
      <c r="J675" s="38"/>
    </row>
    <row r="676" spans="10:10">
      <c r="J676" s="38"/>
    </row>
    <row r="677" spans="10:10">
      <c r="J677" s="38"/>
    </row>
    <row r="678" spans="10:10">
      <c r="J678" s="38"/>
    </row>
    <row r="679" spans="10:10">
      <c r="J679" s="38"/>
    </row>
    <row r="680" spans="10:10">
      <c r="J680" s="38"/>
    </row>
    <row r="681" spans="10:10">
      <c r="J681" s="38"/>
    </row>
    <row r="682" spans="10:10">
      <c r="J682" s="38"/>
    </row>
    <row r="683" spans="10:10">
      <c r="J683" s="38"/>
    </row>
    <row r="684" spans="10:10">
      <c r="J684" s="38"/>
    </row>
    <row r="685" spans="10:10">
      <c r="J685" s="38"/>
    </row>
    <row r="686" spans="10:10">
      <c r="J686" s="38"/>
    </row>
    <row r="687" spans="10:10">
      <c r="J687" s="38"/>
    </row>
    <row r="688" spans="10:10">
      <c r="J688" s="38"/>
    </row>
    <row r="689" spans="10:10">
      <c r="J689" s="38"/>
    </row>
    <row r="690" spans="10:10">
      <c r="J690" s="38"/>
    </row>
    <row r="691" spans="10:10">
      <c r="J691" s="38"/>
    </row>
    <row r="692" spans="10:10">
      <c r="J692" s="38"/>
    </row>
    <row r="693" spans="10:10">
      <c r="J693" s="38"/>
    </row>
    <row r="694" spans="10:10">
      <c r="J694" s="38"/>
    </row>
    <row r="695" spans="10:10">
      <c r="J695" s="38"/>
    </row>
    <row r="696" spans="10:10">
      <c r="J696" s="38"/>
    </row>
    <row r="697" spans="10:10">
      <c r="J697" s="38"/>
    </row>
    <row r="698" spans="10:10">
      <c r="J698" s="38"/>
    </row>
    <row r="699" spans="10:10">
      <c r="J699" s="38"/>
    </row>
    <row r="700" spans="10:10">
      <c r="J700" s="38"/>
    </row>
    <row r="701" spans="10:10">
      <c r="J701" s="38"/>
    </row>
    <row r="702" spans="10:10">
      <c r="J702" s="38"/>
    </row>
    <row r="703" spans="10:10">
      <c r="J703" s="38"/>
    </row>
    <row r="704" spans="10:10">
      <c r="J704" s="38"/>
    </row>
    <row r="705" spans="10:10">
      <c r="J705" s="38"/>
    </row>
    <row r="706" spans="10:10">
      <c r="J706" s="38"/>
    </row>
    <row r="707" spans="10:10">
      <c r="J707" s="38"/>
    </row>
    <row r="708" spans="10:10">
      <c r="J708" s="38"/>
    </row>
    <row r="709" spans="10:10">
      <c r="J709" s="38"/>
    </row>
    <row r="710" spans="10:10">
      <c r="J710" s="38"/>
    </row>
    <row r="711" spans="10:10">
      <c r="J711" s="38"/>
    </row>
    <row r="712" spans="10:10">
      <c r="J712" s="38"/>
    </row>
    <row r="713" spans="10:10">
      <c r="J713" s="38"/>
    </row>
    <row r="714" spans="10:10">
      <c r="J714" s="38"/>
    </row>
    <row r="715" spans="10:10">
      <c r="J715" s="38"/>
    </row>
    <row r="716" spans="10:10">
      <c r="J716" s="38"/>
    </row>
    <row r="717" spans="10:10">
      <c r="J717" s="38"/>
    </row>
    <row r="718" spans="10:10">
      <c r="J718" s="38"/>
    </row>
    <row r="719" spans="10:10">
      <c r="J719" s="38"/>
    </row>
    <row r="720" spans="10:10">
      <c r="J720" s="38"/>
    </row>
    <row r="721" spans="10:10">
      <c r="J721" s="38"/>
    </row>
    <row r="722" spans="10:10">
      <c r="J722" s="38"/>
    </row>
    <row r="723" spans="10:10">
      <c r="J723" s="38"/>
    </row>
    <row r="724" spans="10:10">
      <c r="J724" s="38"/>
    </row>
    <row r="725" spans="10:10">
      <c r="J725" s="38"/>
    </row>
    <row r="726" spans="10:10">
      <c r="J726" s="38"/>
    </row>
    <row r="727" spans="10:10">
      <c r="J727" s="38"/>
    </row>
    <row r="728" spans="10:10">
      <c r="J728" s="38"/>
    </row>
    <row r="729" spans="10:10">
      <c r="J729" s="38"/>
    </row>
    <row r="730" spans="10:10">
      <c r="J730" s="38"/>
    </row>
    <row r="731" spans="10:10">
      <c r="J731" s="38"/>
    </row>
    <row r="732" spans="10:10">
      <c r="J732" s="38"/>
    </row>
    <row r="733" spans="10:10">
      <c r="J733" s="38"/>
    </row>
    <row r="734" spans="10:10">
      <c r="J734" s="38"/>
    </row>
    <row r="735" spans="10:10">
      <c r="J735" s="38"/>
    </row>
    <row r="736" spans="10:10">
      <c r="J736" s="38"/>
    </row>
    <row r="737" spans="10:10">
      <c r="J737" s="38"/>
    </row>
    <row r="738" spans="10:10">
      <c r="J738" s="38"/>
    </row>
    <row r="739" spans="10:10">
      <c r="J739" s="38"/>
    </row>
    <row r="740" spans="10:10">
      <c r="J740" s="38"/>
    </row>
    <row r="741" spans="10:10">
      <c r="J741" s="38"/>
    </row>
    <row r="742" spans="10:10">
      <c r="J742" s="38"/>
    </row>
    <row r="743" spans="10:10">
      <c r="J743" s="38"/>
    </row>
    <row r="744" spans="10:10">
      <c r="J744" s="38"/>
    </row>
    <row r="745" spans="10:10">
      <c r="J745" s="38"/>
    </row>
    <row r="746" spans="10:10">
      <c r="J746" s="38"/>
    </row>
    <row r="747" spans="10:10">
      <c r="J747" s="38"/>
    </row>
    <row r="748" spans="10:10">
      <c r="J748" s="38"/>
    </row>
    <row r="749" spans="10:10">
      <c r="J749" s="38"/>
    </row>
    <row r="750" spans="10:10">
      <c r="J750" s="38"/>
    </row>
    <row r="751" spans="10:10">
      <c r="J751" s="38"/>
    </row>
    <row r="752" spans="10:10">
      <c r="J752" s="38"/>
    </row>
    <row r="753" spans="10:10">
      <c r="J753" s="38"/>
    </row>
    <row r="754" spans="10:10">
      <c r="J754" s="38"/>
    </row>
    <row r="755" spans="10:10">
      <c r="J755" s="38"/>
    </row>
    <row r="756" spans="10:10">
      <c r="J756" s="38"/>
    </row>
    <row r="757" spans="10:10">
      <c r="J757" s="38"/>
    </row>
    <row r="758" spans="10:10">
      <c r="J758" s="38"/>
    </row>
    <row r="759" spans="10:10">
      <c r="J759" s="38"/>
    </row>
    <row r="760" spans="10:10">
      <c r="J760" s="38"/>
    </row>
    <row r="761" spans="10:10">
      <c r="J761" s="38"/>
    </row>
    <row r="762" spans="10:10">
      <c r="J762" s="38"/>
    </row>
    <row r="763" spans="10:10">
      <c r="J763" s="38"/>
    </row>
    <row r="764" spans="10:10">
      <c r="J764" s="38"/>
    </row>
    <row r="765" spans="10:10">
      <c r="J765" s="38"/>
    </row>
    <row r="766" spans="10:10">
      <c r="J766" s="38"/>
    </row>
    <row r="767" spans="10:10">
      <c r="J767" s="38"/>
    </row>
    <row r="768" spans="10:10">
      <c r="J768" s="38"/>
    </row>
    <row r="769" spans="10:10">
      <c r="J769" s="38"/>
    </row>
    <row r="770" spans="10:10">
      <c r="J770" s="38"/>
    </row>
    <row r="771" spans="10:10">
      <c r="J771" s="38"/>
    </row>
    <row r="772" spans="10:10">
      <c r="J772" s="38"/>
    </row>
    <row r="773" spans="10:10">
      <c r="J773" s="38"/>
    </row>
    <row r="774" spans="10:10">
      <c r="J774" s="38"/>
    </row>
    <row r="775" spans="10:10">
      <c r="J775" s="38"/>
    </row>
    <row r="776" spans="10:10">
      <c r="J776" s="38"/>
    </row>
    <row r="777" spans="10:10">
      <c r="J777" s="38"/>
    </row>
    <row r="778" spans="10:10">
      <c r="J778" s="38"/>
    </row>
    <row r="779" spans="10:10">
      <c r="J779" s="38"/>
    </row>
    <row r="780" spans="10:10">
      <c r="J780" s="38"/>
    </row>
    <row r="781" spans="10:10">
      <c r="J781" s="38"/>
    </row>
    <row r="782" spans="10:10">
      <c r="J782" s="38"/>
    </row>
    <row r="783" spans="10:10">
      <c r="J783" s="38"/>
    </row>
    <row r="784" spans="10:10">
      <c r="J784" s="38"/>
    </row>
    <row r="785" spans="10:10">
      <c r="J785" s="38"/>
    </row>
    <row r="786" spans="10:10">
      <c r="J786" s="38"/>
    </row>
    <row r="787" spans="10:10">
      <c r="J787" s="38"/>
    </row>
    <row r="788" spans="10:10">
      <c r="J788" s="38"/>
    </row>
    <row r="789" spans="10:10">
      <c r="J789" s="38"/>
    </row>
    <row r="790" spans="10:10">
      <c r="J790" s="38"/>
    </row>
    <row r="791" spans="10:10">
      <c r="J791" s="38"/>
    </row>
    <row r="792" spans="10:10">
      <c r="J792" s="38"/>
    </row>
    <row r="793" spans="10:10">
      <c r="J793" s="38"/>
    </row>
    <row r="794" spans="10:10">
      <c r="J794" s="38"/>
    </row>
    <row r="795" spans="10:10">
      <c r="J795" s="38"/>
    </row>
    <row r="796" spans="10:10">
      <c r="J796" s="38"/>
    </row>
    <row r="797" spans="10:10">
      <c r="J797" s="38"/>
    </row>
    <row r="798" spans="10:10">
      <c r="J798" s="38"/>
    </row>
    <row r="799" spans="10:10">
      <c r="J799" s="38"/>
    </row>
    <row r="800" spans="10:10">
      <c r="J800" s="38"/>
    </row>
    <row r="801" spans="10:10">
      <c r="J801" s="38"/>
    </row>
    <row r="802" spans="10:10">
      <c r="J802" s="38"/>
    </row>
    <row r="803" spans="10:10">
      <c r="J803" s="38"/>
    </row>
    <row r="804" spans="10:10">
      <c r="J804" s="38"/>
    </row>
    <row r="805" spans="10:10">
      <c r="J805" s="38"/>
    </row>
    <row r="806" spans="10:10">
      <c r="J806" s="38"/>
    </row>
    <row r="807" spans="10:10">
      <c r="J807" s="38"/>
    </row>
    <row r="808" spans="10:10">
      <c r="J808" s="38"/>
    </row>
    <row r="809" spans="10:10">
      <c r="J809" s="38"/>
    </row>
    <row r="810" spans="10:10">
      <c r="J810" s="38"/>
    </row>
    <row r="811" spans="10:10">
      <c r="J811" s="38"/>
    </row>
    <row r="812" spans="10:10">
      <c r="J812" s="38"/>
    </row>
    <row r="813" spans="10:10">
      <c r="J813" s="38"/>
    </row>
    <row r="814" spans="10:10">
      <c r="J814" s="38"/>
    </row>
    <row r="815" spans="10:10">
      <c r="J815" s="38"/>
    </row>
    <row r="816" spans="10:10">
      <c r="J816" s="38"/>
    </row>
    <row r="817" spans="10:10">
      <c r="J817" s="38"/>
    </row>
    <row r="818" spans="10:10">
      <c r="J818" s="38"/>
    </row>
    <row r="819" spans="10:10">
      <c r="J819" s="38"/>
    </row>
    <row r="820" spans="10:10">
      <c r="J820" s="38"/>
    </row>
    <row r="821" spans="10:10">
      <c r="J821" s="38"/>
    </row>
    <row r="822" spans="10:10">
      <c r="J822" s="38"/>
    </row>
    <row r="823" spans="10:10">
      <c r="J823" s="38"/>
    </row>
    <row r="824" spans="10:10">
      <c r="J824" s="38"/>
    </row>
    <row r="825" spans="10:10">
      <c r="J825" s="38"/>
    </row>
    <row r="826" spans="10:10">
      <c r="J826" s="38"/>
    </row>
    <row r="827" spans="10:10">
      <c r="J827" s="38"/>
    </row>
    <row r="828" spans="10:10">
      <c r="J828" s="38"/>
    </row>
    <row r="829" spans="10:10">
      <c r="J829" s="38"/>
    </row>
    <row r="830" spans="10:10">
      <c r="J830" s="38"/>
    </row>
    <row r="831" spans="10:10">
      <c r="J831" s="38"/>
    </row>
    <row r="832" spans="10:10">
      <c r="J832" s="38"/>
    </row>
    <row r="833" spans="10:10">
      <c r="J833" s="38"/>
    </row>
    <row r="834" spans="10:10">
      <c r="J834" s="38"/>
    </row>
    <row r="835" spans="10:10">
      <c r="J835" s="38"/>
    </row>
    <row r="836" spans="10:10">
      <c r="J836" s="38"/>
    </row>
    <row r="837" spans="10:10">
      <c r="J837" s="38"/>
    </row>
    <row r="838" spans="10:10">
      <c r="J838" s="38"/>
    </row>
    <row r="839" spans="10:10">
      <c r="J839" s="38"/>
    </row>
    <row r="840" spans="10:10">
      <c r="J840" s="38"/>
    </row>
    <row r="841" spans="10:10">
      <c r="J841" s="38"/>
    </row>
    <row r="842" spans="10:10">
      <c r="J842" s="38"/>
    </row>
    <row r="843" spans="10:10">
      <c r="J843" s="38"/>
    </row>
    <row r="844" spans="10:10">
      <c r="J844" s="38"/>
    </row>
    <row r="845" spans="10:10">
      <c r="J845" s="38"/>
    </row>
    <row r="846" spans="10:10">
      <c r="J846" s="38"/>
    </row>
    <row r="847" spans="10:10">
      <c r="J847" s="38"/>
    </row>
    <row r="848" spans="10:10">
      <c r="J848" s="38"/>
    </row>
    <row r="849" spans="10:10">
      <c r="J849" s="38"/>
    </row>
    <row r="850" spans="10:10">
      <c r="J850" s="38"/>
    </row>
    <row r="851" spans="10:10">
      <c r="J851" s="38"/>
    </row>
    <row r="852" spans="10:10">
      <c r="J852" s="38"/>
    </row>
    <row r="853" spans="10:10">
      <c r="J853" s="38"/>
    </row>
    <row r="854" spans="10:10">
      <c r="J854" s="38"/>
    </row>
    <row r="855" spans="10:10">
      <c r="J855" s="38"/>
    </row>
    <row r="856" spans="10:10">
      <c r="J856" s="38"/>
    </row>
    <row r="857" spans="10:10">
      <c r="J857" s="38"/>
    </row>
    <row r="858" spans="10:10">
      <c r="J858" s="38"/>
    </row>
    <row r="859" spans="10:10">
      <c r="J859" s="38"/>
    </row>
    <row r="860" spans="10:10">
      <c r="J860" s="38"/>
    </row>
    <row r="861" spans="10:10">
      <c r="J861" s="38"/>
    </row>
    <row r="862" spans="10:10">
      <c r="J862" s="38"/>
    </row>
    <row r="863" spans="10:10">
      <c r="J863" s="38"/>
    </row>
    <row r="864" spans="10:10">
      <c r="J864" s="38"/>
    </row>
    <row r="865" spans="10:10">
      <c r="J865" s="38"/>
    </row>
    <row r="866" spans="10:10">
      <c r="J866" s="38"/>
    </row>
    <row r="867" spans="10:10">
      <c r="J867" s="38"/>
    </row>
    <row r="868" spans="10:10">
      <c r="J868" s="38"/>
    </row>
    <row r="869" spans="10:10">
      <c r="J869" s="38"/>
    </row>
    <row r="870" spans="10:10">
      <c r="J870" s="38"/>
    </row>
    <row r="871" spans="10:10">
      <c r="J871" s="38"/>
    </row>
    <row r="872" spans="10:10">
      <c r="J872" s="38"/>
    </row>
    <row r="873" spans="10:10">
      <c r="J873" s="38"/>
    </row>
    <row r="874" spans="10:10">
      <c r="J874" s="38"/>
    </row>
    <row r="875" spans="10:10">
      <c r="J875" s="38"/>
    </row>
    <row r="876" spans="10:10">
      <c r="J876" s="38"/>
    </row>
    <row r="877" spans="10:10">
      <c r="J877" s="38"/>
    </row>
    <row r="878" spans="10:10">
      <c r="J878" s="38"/>
    </row>
    <row r="879" spans="10:10">
      <c r="J879" s="38"/>
    </row>
    <row r="880" spans="10:10">
      <c r="J880" s="38"/>
    </row>
    <row r="881" spans="10:10">
      <c r="J881" s="38"/>
    </row>
    <row r="882" spans="10:10">
      <c r="J882" s="38"/>
    </row>
    <row r="883" spans="10:10">
      <c r="J883" s="38"/>
    </row>
    <row r="884" spans="10:10">
      <c r="J884" s="38"/>
    </row>
    <row r="885" spans="10:10">
      <c r="J885" s="38"/>
    </row>
    <row r="886" spans="10:10">
      <c r="J886" s="38"/>
    </row>
    <row r="887" spans="10:10">
      <c r="J887" s="38"/>
    </row>
    <row r="888" spans="10:10">
      <c r="J888" s="38"/>
    </row>
    <row r="889" spans="10:10">
      <c r="J889" s="38"/>
    </row>
    <row r="890" spans="10:10">
      <c r="J890" s="38"/>
    </row>
    <row r="891" spans="10:10">
      <c r="J891" s="38"/>
    </row>
    <row r="892" spans="10:10">
      <c r="J892" s="38"/>
    </row>
    <row r="893" spans="10:10">
      <c r="J893" s="38"/>
    </row>
    <row r="894" spans="10:10">
      <c r="J894" s="38"/>
    </row>
    <row r="895" spans="10:10">
      <c r="J895" s="38"/>
    </row>
    <row r="896" spans="10:10">
      <c r="J896" s="38"/>
    </row>
    <row r="897" spans="10:10">
      <c r="J897" s="38"/>
    </row>
    <row r="898" spans="10:10">
      <c r="J898" s="38"/>
    </row>
    <row r="899" spans="10:10">
      <c r="J899" s="38"/>
    </row>
    <row r="900" spans="10:10">
      <c r="J900" s="38"/>
    </row>
    <row r="901" spans="10:10">
      <c r="J901" s="38"/>
    </row>
    <row r="902" spans="10:10">
      <c r="J902" s="38"/>
    </row>
    <row r="903" spans="10:10">
      <c r="J903" s="38"/>
    </row>
    <row r="904" spans="10:10">
      <c r="J904" s="38"/>
    </row>
    <row r="905" spans="10:10">
      <c r="J905" s="38"/>
    </row>
    <row r="906" spans="10:10">
      <c r="J906" s="38"/>
    </row>
    <row r="907" spans="10:10">
      <c r="J907" s="38"/>
    </row>
    <row r="908" spans="10:10">
      <c r="J908" s="38"/>
    </row>
    <row r="909" spans="10:10">
      <c r="J909" s="38"/>
    </row>
    <row r="910" spans="10:10">
      <c r="J910" s="38"/>
    </row>
    <row r="911" spans="10:10">
      <c r="J911" s="38"/>
    </row>
    <row r="912" spans="10:10">
      <c r="J912" s="38"/>
    </row>
    <row r="913" spans="10:10">
      <c r="J913" s="38"/>
    </row>
    <row r="914" spans="10:10">
      <c r="J914" s="38"/>
    </row>
    <row r="915" spans="10:10">
      <c r="J915" s="38"/>
    </row>
    <row r="916" spans="10:10">
      <c r="J916" s="38"/>
    </row>
    <row r="917" spans="10:10">
      <c r="J917" s="38"/>
    </row>
    <row r="918" spans="10:10">
      <c r="J918" s="38"/>
    </row>
    <row r="919" spans="10:10">
      <c r="J919" s="38"/>
    </row>
    <row r="920" spans="10:10">
      <c r="J920" s="38"/>
    </row>
    <row r="921" spans="10:10">
      <c r="J921" s="38"/>
    </row>
    <row r="922" spans="10:10">
      <c r="J922" s="38"/>
    </row>
    <row r="923" spans="10:10">
      <c r="J923" s="38"/>
    </row>
    <row r="924" spans="10:10">
      <c r="J924" s="38"/>
    </row>
    <row r="925" spans="10:10">
      <c r="J925" s="38"/>
    </row>
    <row r="926" spans="10:10">
      <c r="J926" s="38"/>
    </row>
    <row r="927" spans="10:10">
      <c r="J927" s="38"/>
    </row>
    <row r="928" spans="10:10">
      <c r="J928" s="38"/>
    </row>
    <row r="929" spans="10:10">
      <c r="J929" s="38"/>
    </row>
    <row r="930" spans="10:10">
      <c r="J930" s="38"/>
    </row>
    <row r="931" spans="10:10">
      <c r="J931" s="38"/>
    </row>
    <row r="932" spans="10:10">
      <c r="J932" s="38"/>
    </row>
    <row r="933" spans="10:10">
      <c r="J933" s="38"/>
    </row>
    <row r="934" spans="10:10">
      <c r="J934" s="38"/>
    </row>
    <row r="935" spans="10:10">
      <c r="J935" s="38"/>
    </row>
    <row r="936" spans="10:10">
      <c r="J936" s="38"/>
    </row>
    <row r="937" spans="10:10">
      <c r="J937" s="38"/>
    </row>
    <row r="938" spans="10:10">
      <c r="J938" s="38"/>
    </row>
    <row r="939" spans="10:10">
      <c r="J939" s="38"/>
    </row>
    <row r="940" spans="10:10">
      <c r="J940" s="38"/>
    </row>
    <row r="941" spans="10:10">
      <c r="J941" s="38"/>
    </row>
    <row r="942" spans="10:10">
      <c r="J942" s="38"/>
    </row>
    <row r="943" spans="10:10">
      <c r="J943" s="38"/>
    </row>
    <row r="944" spans="10:10">
      <c r="J944" s="38"/>
    </row>
    <row r="945" spans="10:10">
      <c r="J945" s="38"/>
    </row>
    <row r="946" spans="10:10">
      <c r="J946" s="38"/>
    </row>
    <row r="947" spans="10:10">
      <c r="J947" s="38"/>
    </row>
    <row r="948" spans="10:10">
      <c r="J948" s="38"/>
    </row>
    <row r="949" spans="10:10">
      <c r="J949" s="38"/>
    </row>
    <row r="950" spans="10:10">
      <c r="J950" s="38"/>
    </row>
    <row r="951" spans="10:10">
      <c r="J951" s="38"/>
    </row>
    <row r="952" spans="10:10">
      <c r="J952" s="38"/>
    </row>
    <row r="953" spans="10:10">
      <c r="J953" s="38"/>
    </row>
    <row r="954" spans="10:10">
      <c r="J954" s="38"/>
    </row>
    <row r="955" spans="10:10">
      <c r="J955" s="38"/>
    </row>
    <row r="956" spans="10:10">
      <c r="J956" s="38"/>
    </row>
    <row r="957" spans="10:10">
      <c r="J957" s="38"/>
    </row>
    <row r="958" spans="10:10">
      <c r="J958" s="38"/>
    </row>
    <row r="959" spans="10:10">
      <c r="J959" s="38"/>
    </row>
    <row r="960" spans="10:10">
      <c r="J960" s="38"/>
    </row>
    <row r="961" spans="10:10">
      <c r="J961" s="38"/>
    </row>
    <row r="962" spans="10:10">
      <c r="J962" s="38"/>
    </row>
    <row r="963" spans="10:10">
      <c r="J963" s="38"/>
    </row>
    <row r="964" spans="10:10">
      <c r="J964" s="38"/>
    </row>
    <row r="965" spans="10:10">
      <c r="J965" s="38"/>
    </row>
    <row r="966" spans="10:10">
      <c r="J966" s="38"/>
    </row>
    <row r="967" spans="10:10">
      <c r="J967" s="38"/>
    </row>
    <row r="968" spans="10:10">
      <c r="J968" s="38"/>
    </row>
    <row r="969" spans="10:10">
      <c r="J969" s="38"/>
    </row>
    <row r="970" spans="10:10">
      <c r="J970" s="38"/>
    </row>
    <row r="971" spans="10:10">
      <c r="J971" s="38"/>
    </row>
    <row r="972" spans="10:10">
      <c r="J972" s="38"/>
    </row>
    <row r="973" spans="10:10">
      <c r="J973" s="38"/>
    </row>
    <row r="974" spans="10:10">
      <c r="J974" s="38"/>
    </row>
    <row r="975" spans="10:10">
      <c r="J975" s="38"/>
    </row>
    <row r="976" spans="10:10">
      <c r="J976" s="38"/>
    </row>
    <row r="977" spans="10:10">
      <c r="J977" s="38"/>
    </row>
    <row r="978" spans="10:10">
      <c r="J978" s="38"/>
    </row>
    <row r="979" spans="10:10">
      <c r="J979" s="38"/>
    </row>
    <row r="980" spans="10:10">
      <c r="J980" s="38"/>
    </row>
    <row r="981" spans="10:10">
      <c r="J981" s="38"/>
    </row>
    <row r="982" spans="10:10">
      <c r="J982" s="38"/>
    </row>
    <row r="983" spans="10:10">
      <c r="J983" s="38"/>
    </row>
    <row r="984" spans="10:10">
      <c r="J984" s="38"/>
    </row>
    <row r="985" spans="10:10">
      <c r="J985" s="38"/>
    </row>
    <row r="986" spans="10:10">
      <c r="J986" s="38"/>
    </row>
    <row r="987" spans="10:10">
      <c r="J987" s="38"/>
    </row>
    <row r="988" spans="10:10">
      <c r="J988" s="38"/>
    </row>
    <row r="989" spans="10:10">
      <c r="J989" s="38"/>
    </row>
    <row r="990" spans="10:10">
      <c r="J990" s="38"/>
    </row>
    <row r="991" spans="10:10">
      <c r="J991" s="38"/>
    </row>
    <row r="992" spans="10:10">
      <c r="J992" s="38"/>
    </row>
    <row r="993" spans="10:10">
      <c r="J993" s="38"/>
    </row>
    <row r="994" spans="10:10">
      <c r="J994" s="38"/>
    </row>
    <row r="995" spans="10:10">
      <c r="J995" s="38"/>
    </row>
    <row r="996" spans="10:10">
      <c r="J996" s="38"/>
    </row>
    <row r="997" spans="10:10">
      <c r="J997" s="38"/>
    </row>
    <row r="998" spans="10:10">
      <c r="J998" s="38"/>
    </row>
    <row r="999" spans="10:10">
      <c r="J999" s="38"/>
    </row>
    <row r="1000" spans="10:10">
      <c r="J1000" s="38"/>
    </row>
    <row r="1001" spans="10:10">
      <c r="J1001" s="3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998"/>
  <sheetViews>
    <sheetView topLeftCell="A85" workbookViewId="0">
      <selection activeCell="A2" sqref="A2:J103"/>
    </sheetView>
  </sheetViews>
  <sheetFormatPr defaultColWidth="14.42578125" defaultRowHeight="15" customHeight="1"/>
  <cols>
    <col min="4" max="4" width="16.85546875" customWidth="1"/>
  </cols>
  <sheetData>
    <row r="1" spans="1:10">
      <c r="A1" s="4" t="s">
        <v>10</v>
      </c>
      <c r="B1" s="4" t="s">
        <v>712</v>
      </c>
      <c r="C1" s="4" t="s">
        <v>713</v>
      </c>
      <c r="D1" s="4" t="s">
        <v>18</v>
      </c>
      <c r="E1" s="4" t="s">
        <v>16</v>
      </c>
      <c r="F1" s="4" t="s">
        <v>714</v>
      </c>
      <c r="G1" s="4" t="s">
        <v>26</v>
      </c>
      <c r="H1" s="4" t="s">
        <v>28</v>
      </c>
      <c r="I1" s="4" t="s">
        <v>715</v>
      </c>
      <c r="J1" s="4" t="s">
        <v>32</v>
      </c>
    </row>
    <row r="2" spans="1:10">
      <c r="A2" s="41">
        <v>45566</v>
      </c>
      <c r="B2" s="38" t="s">
        <v>1179</v>
      </c>
      <c r="C2" s="38" t="s">
        <v>725</v>
      </c>
      <c r="D2" s="39" t="s">
        <v>718</v>
      </c>
      <c r="E2" s="38" t="s">
        <v>515</v>
      </c>
      <c r="F2" s="38">
        <v>28300</v>
      </c>
      <c r="G2" s="38" t="s">
        <v>738</v>
      </c>
      <c r="H2" s="38" t="s">
        <v>721</v>
      </c>
      <c r="I2" s="38" t="s">
        <v>722</v>
      </c>
      <c r="J2" s="38" t="s">
        <v>1180</v>
      </c>
    </row>
    <row r="3" spans="1:10">
      <c r="A3" s="41">
        <v>45567</v>
      </c>
      <c r="B3" s="38" t="s">
        <v>1181</v>
      </c>
      <c r="C3" s="38" t="s">
        <v>769</v>
      </c>
      <c r="D3" s="39" t="s">
        <v>718</v>
      </c>
      <c r="E3" s="38" t="s">
        <v>1182</v>
      </c>
      <c r="F3" s="38">
        <v>43500</v>
      </c>
      <c r="G3" s="38" t="s">
        <v>738</v>
      </c>
      <c r="H3" s="38" t="s">
        <v>721</v>
      </c>
      <c r="I3" s="38" t="s">
        <v>722</v>
      </c>
      <c r="J3" s="38" t="s">
        <v>1183</v>
      </c>
    </row>
    <row r="4" spans="1:10">
      <c r="A4" s="41">
        <v>45569</v>
      </c>
      <c r="B4" s="38" t="s">
        <v>1184</v>
      </c>
      <c r="C4" s="38" t="s">
        <v>773</v>
      </c>
      <c r="D4" s="39" t="s">
        <v>718</v>
      </c>
      <c r="E4" s="38" t="s">
        <v>774</v>
      </c>
      <c r="F4" s="38">
        <v>91300</v>
      </c>
      <c r="G4" s="38" t="s">
        <v>760</v>
      </c>
      <c r="H4" s="38" t="s">
        <v>721</v>
      </c>
      <c r="I4" s="38" t="s">
        <v>722</v>
      </c>
      <c r="J4" s="38" t="s">
        <v>1185</v>
      </c>
    </row>
    <row r="5" spans="1:10">
      <c r="A5" s="41">
        <v>45569</v>
      </c>
      <c r="B5" s="38" t="s">
        <v>1079</v>
      </c>
      <c r="C5" s="38" t="s">
        <v>769</v>
      </c>
      <c r="D5" s="39" t="s">
        <v>718</v>
      </c>
      <c r="E5" s="38" t="s">
        <v>1186</v>
      </c>
      <c r="F5" s="38">
        <v>26500</v>
      </c>
      <c r="G5" s="40" t="s">
        <v>733</v>
      </c>
      <c r="H5" s="38" t="s">
        <v>721</v>
      </c>
      <c r="I5" s="38" t="s">
        <v>722</v>
      </c>
      <c r="J5" s="38" t="s">
        <v>1187</v>
      </c>
    </row>
    <row r="6" spans="1:10">
      <c r="A6" s="41">
        <v>45570</v>
      </c>
      <c r="B6" s="38" t="s">
        <v>1188</v>
      </c>
      <c r="C6" s="38" t="s">
        <v>736</v>
      </c>
      <c r="D6" s="39" t="s">
        <v>718</v>
      </c>
      <c r="E6" s="38" t="s">
        <v>1014</v>
      </c>
      <c r="F6" s="38">
        <v>5800</v>
      </c>
      <c r="G6" s="40" t="s">
        <v>733</v>
      </c>
      <c r="H6" s="38" t="s">
        <v>721</v>
      </c>
      <c r="I6" s="38" t="s">
        <v>722</v>
      </c>
      <c r="J6" s="38" t="s">
        <v>1189</v>
      </c>
    </row>
    <row r="7" spans="1:10">
      <c r="A7" s="41">
        <v>45571</v>
      </c>
      <c r="B7" s="38" t="s">
        <v>1190</v>
      </c>
      <c r="C7" s="38" t="s">
        <v>732</v>
      </c>
      <c r="D7" s="39" t="s">
        <v>718</v>
      </c>
      <c r="E7" s="38" t="s">
        <v>484</v>
      </c>
      <c r="F7" s="38">
        <v>35000</v>
      </c>
      <c r="G7" s="40" t="s">
        <v>733</v>
      </c>
      <c r="H7" s="38" t="s">
        <v>721</v>
      </c>
      <c r="I7" s="38" t="s">
        <v>722</v>
      </c>
      <c r="J7" s="38" t="s">
        <v>1191</v>
      </c>
    </row>
    <row r="8" spans="1:10">
      <c r="A8" s="41">
        <v>45571</v>
      </c>
      <c r="B8" s="38" t="s">
        <v>1192</v>
      </c>
      <c r="C8" s="38" t="s">
        <v>732</v>
      </c>
      <c r="D8" s="39" t="s">
        <v>718</v>
      </c>
      <c r="E8" s="38" t="s">
        <v>694</v>
      </c>
      <c r="F8" s="38">
        <v>22500</v>
      </c>
      <c r="G8" s="40" t="s">
        <v>733</v>
      </c>
      <c r="H8" s="38" t="s">
        <v>721</v>
      </c>
      <c r="I8" s="38" t="s">
        <v>722</v>
      </c>
      <c r="J8" s="38" t="s">
        <v>1193</v>
      </c>
    </row>
    <row r="9" spans="1:10">
      <c r="A9" s="41">
        <v>45571</v>
      </c>
      <c r="B9" s="38" t="s">
        <v>1194</v>
      </c>
      <c r="C9" s="38" t="s">
        <v>781</v>
      </c>
      <c r="D9" s="39" t="s">
        <v>718</v>
      </c>
      <c r="E9" s="38" t="s">
        <v>1195</v>
      </c>
      <c r="F9" s="38">
        <v>38400</v>
      </c>
      <c r="G9" s="38" t="s">
        <v>1006</v>
      </c>
      <c r="H9" s="38" t="s">
        <v>721</v>
      </c>
      <c r="I9" s="38" t="s">
        <v>722</v>
      </c>
      <c r="J9" s="38" t="s">
        <v>1196</v>
      </c>
    </row>
    <row r="10" spans="1:10">
      <c r="A10" s="41">
        <v>45571</v>
      </c>
      <c r="B10" s="38" t="s">
        <v>1197</v>
      </c>
      <c r="C10" s="38" t="s">
        <v>725</v>
      </c>
      <c r="D10" s="39" t="s">
        <v>718</v>
      </c>
      <c r="E10" s="38" t="s">
        <v>292</v>
      </c>
      <c r="F10" s="38">
        <v>30000</v>
      </c>
      <c r="G10" s="40" t="s">
        <v>733</v>
      </c>
      <c r="H10" s="38" t="s">
        <v>721</v>
      </c>
      <c r="I10" s="38" t="s">
        <v>722</v>
      </c>
      <c r="J10" s="38" t="s">
        <v>1198</v>
      </c>
    </row>
    <row r="11" spans="1:10">
      <c r="A11" s="41">
        <v>45572</v>
      </c>
      <c r="B11" s="38" t="s">
        <v>1199</v>
      </c>
      <c r="C11" s="38" t="s">
        <v>736</v>
      </c>
      <c r="D11" s="39" t="s">
        <v>718</v>
      </c>
      <c r="E11" s="38" t="s">
        <v>1014</v>
      </c>
      <c r="F11" s="38">
        <v>31000</v>
      </c>
      <c r="G11" s="40" t="s">
        <v>733</v>
      </c>
      <c r="H11" s="38" t="s">
        <v>721</v>
      </c>
      <c r="I11" s="38" t="s">
        <v>722</v>
      </c>
      <c r="J11" s="38" t="s">
        <v>1200</v>
      </c>
    </row>
    <row r="12" spans="1:10">
      <c r="A12" s="41">
        <v>45572</v>
      </c>
      <c r="B12" s="38" t="s">
        <v>1201</v>
      </c>
      <c r="C12" s="38" t="s">
        <v>736</v>
      </c>
      <c r="D12" s="39" t="s">
        <v>718</v>
      </c>
      <c r="E12" s="38" t="s">
        <v>224</v>
      </c>
      <c r="F12" s="38">
        <v>41000</v>
      </c>
      <c r="G12" s="40" t="s">
        <v>733</v>
      </c>
      <c r="H12" s="38" t="s">
        <v>721</v>
      </c>
      <c r="I12" s="38" t="s">
        <v>722</v>
      </c>
      <c r="J12" s="38" t="s">
        <v>1202</v>
      </c>
    </row>
    <row r="13" spans="1:10">
      <c r="A13" s="41">
        <v>45573</v>
      </c>
      <c r="B13" s="38" t="s">
        <v>1203</v>
      </c>
      <c r="C13" s="38" t="s">
        <v>773</v>
      </c>
      <c r="D13" s="39" t="s">
        <v>718</v>
      </c>
      <c r="E13" s="38" t="s">
        <v>774</v>
      </c>
      <c r="F13" s="38">
        <v>26500</v>
      </c>
      <c r="G13" s="38" t="s">
        <v>738</v>
      </c>
      <c r="H13" s="38" t="s">
        <v>721</v>
      </c>
      <c r="I13" s="38" t="s">
        <v>722</v>
      </c>
      <c r="J13" s="38" t="s">
        <v>1204</v>
      </c>
    </row>
    <row r="14" spans="1:10">
      <c r="A14" s="41">
        <v>45573</v>
      </c>
      <c r="B14" s="38" t="s">
        <v>1205</v>
      </c>
      <c r="C14" s="38" t="s">
        <v>725</v>
      </c>
      <c r="D14" s="39" t="s">
        <v>718</v>
      </c>
      <c r="E14" s="38" t="s">
        <v>1206</v>
      </c>
      <c r="F14" s="38">
        <v>81000</v>
      </c>
      <c r="G14" s="38" t="s">
        <v>738</v>
      </c>
      <c r="H14" s="38" t="s">
        <v>721</v>
      </c>
      <c r="I14" s="38" t="s">
        <v>722</v>
      </c>
      <c r="J14" s="38" t="s">
        <v>1207</v>
      </c>
    </row>
    <row r="15" spans="1:10">
      <c r="A15" s="41">
        <v>45573</v>
      </c>
      <c r="B15" s="38" t="s">
        <v>1208</v>
      </c>
      <c r="C15" s="38" t="s">
        <v>725</v>
      </c>
      <c r="D15" s="39" t="s">
        <v>718</v>
      </c>
      <c r="E15" s="38" t="s">
        <v>501</v>
      </c>
      <c r="F15" s="38">
        <v>31000</v>
      </c>
      <c r="G15" s="38" t="s">
        <v>738</v>
      </c>
      <c r="H15" s="38" t="s">
        <v>721</v>
      </c>
      <c r="I15" s="38" t="s">
        <v>722</v>
      </c>
      <c r="J15" s="38" t="s">
        <v>1209</v>
      </c>
    </row>
    <row r="16" spans="1:10">
      <c r="A16" s="41">
        <v>45573</v>
      </c>
      <c r="B16" s="38" t="s">
        <v>1210</v>
      </c>
      <c r="C16" s="38" t="s">
        <v>781</v>
      </c>
      <c r="D16" s="39" t="s">
        <v>718</v>
      </c>
      <c r="E16" s="38" t="s">
        <v>1211</v>
      </c>
      <c r="F16" s="38">
        <v>47000</v>
      </c>
      <c r="G16" s="38" t="s">
        <v>738</v>
      </c>
      <c r="H16" s="38" t="s">
        <v>721</v>
      </c>
      <c r="I16" s="38" t="s">
        <v>722</v>
      </c>
      <c r="J16" s="38" t="s">
        <v>1212</v>
      </c>
    </row>
    <row r="17" spans="1:10">
      <c r="A17" s="41">
        <v>45573</v>
      </c>
      <c r="B17" s="38" t="s">
        <v>1213</v>
      </c>
      <c r="C17" s="38" t="s">
        <v>755</v>
      </c>
      <c r="D17" s="39" t="s">
        <v>718</v>
      </c>
      <c r="E17" s="38" t="s">
        <v>1214</v>
      </c>
      <c r="F17" s="38">
        <v>193000</v>
      </c>
      <c r="G17" s="38" t="s">
        <v>738</v>
      </c>
      <c r="H17" s="38" t="s">
        <v>721</v>
      </c>
      <c r="I17" s="38" t="s">
        <v>722</v>
      </c>
      <c r="J17" s="38" t="s">
        <v>1215</v>
      </c>
    </row>
    <row r="18" spans="1:10">
      <c r="A18" s="41">
        <v>45573</v>
      </c>
      <c r="B18" s="38" t="s">
        <v>1216</v>
      </c>
      <c r="C18" s="38" t="s">
        <v>755</v>
      </c>
      <c r="D18" s="39" t="s">
        <v>718</v>
      </c>
      <c r="E18" s="38" t="s">
        <v>862</v>
      </c>
      <c r="F18" s="38">
        <v>23800</v>
      </c>
      <c r="G18" s="38" t="s">
        <v>738</v>
      </c>
      <c r="H18" s="38" t="s">
        <v>721</v>
      </c>
      <c r="I18" s="38" t="s">
        <v>722</v>
      </c>
      <c r="J18" s="38" t="s">
        <v>1217</v>
      </c>
    </row>
    <row r="19" spans="1:10">
      <c r="A19" s="41">
        <v>45573</v>
      </c>
      <c r="B19" s="38" t="s">
        <v>1218</v>
      </c>
      <c r="C19" s="38" t="s">
        <v>725</v>
      </c>
      <c r="D19" s="39" t="s">
        <v>718</v>
      </c>
      <c r="E19" s="38" t="s">
        <v>441</v>
      </c>
      <c r="F19" s="38">
        <v>15000</v>
      </c>
      <c r="G19" s="38" t="s">
        <v>738</v>
      </c>
      <c r="H19" s="38" t="s">
        <v>721</v>
      </c>
      <c r="I19" s="38" t="s">
        <v>722</v>
      </c>
      <c r="J19" s="38" t="s">
        <v>1219</v>
      </c>
    </row>
    <row r="20" spans="1:10">
      <c r="A20" s="41">
        <v>45573</v>
      </c>
      <c r="B20" s="38" t="s">
        <v>1220</v>
      </c>
      <c r="C20" s="38" t="s">
        <v>725</v>
      </c>
      <c r="D20" s="39" t="s">
        <v>718</v>
      </c>
      <c r="E20" s="38" t="s">
        <v>292</v>
      </c>
      <c r="F20" s="38">
        <v>29000</v>
      </c>
      <c r="G20" s="38" t="s">
        <v>738</v>
      </c>
      <c r="H20" s="38" t="s">
        <v>721</v>
      </c>
      <c r="I20" s="38" t="s">
        <v>722</v>
      </c>
      <c r="J20" s="38" t="s">
        <v>1221</v>
      </c>
    </row>
    <row r="21" spans="1:10">
      <c r="A21" s="41">
        <v>45573</v>
      </c>
      <c r="B21" s="38" t="s">
        <v>1222</v>
      </c>
      <c r="C21" s="38" t="s">
        <v>736</v>
      </c>
      <c r="D21" s="39" t="s">
        <v>718</v>
      </c>
      <c r="E21" s="38" t="s">
        <v>224</v>
      </c>
      <c r="F21" s="38">
        <v>46000</v>
      </c>
      <c r="G21" s="38" t="s">
        <v>738</v>
      </c>
      <c r="H21" s="38" t="s">
        <v>721</v>
      </c>
      <c r="I21" s="38" t="s">
        <v>722</v>
      </c>
      <c r="J21" s="38" t="s">
        <v>1223</v>
      </c>
    </row>
    <row r="22" spans="1:10">
      <c r="A22" s="41">
        <v>45574</v>
      </c>
      <c r="B22" s="38" t="s">
        <v>1224</v>
      </c>
      <c r="C22" s="38" t="s">
        <v>736</v>
      </c>
      <c r="D22" s="39" t="s">
        <v>718</v>
      </c>
      <c r="E22" s="38" t="s">
        <v>902</v>
      </c>
      <c r="F22" s="38">
        <v>37300</v>
      </c>
      <c r="G22" s="40" t="s">
        <v>733</v>
      </c>
      <c r="H22" s="38" t="s">
        <v>721</v>
      </c>
      <c r="I22" s="38" t="s">
        <v>722</v>
      </c>
      <c r="J22" s="38" t="s">
        <v>1225</v>
      </c>
    </row>
    <row r="23" spans="1:10">
      <c r="A23" s="42">
        <v>45575</v>
      </c>
      <c r="B23" s="38" t="s">
        <v>1226</v>
      </c>
      <c r="C23" s="38" t="s">
        <v>755</v>
      </c>
      <c r="D23" s="39" t="s">
        <v>718</v>
      </c>
      <c r="E23" s="38" t="s">
        <v>1227</v>
      </c>
      <c r="F23" s="38">
        <v>40000</v>
      </c>
      <c r="G23" s="40" t="s">
        <v>733</v>
      </c>
      <c r="H23" s="38" t="s">
        <v>721</v>
      </c>
      <c r="I23" s="38" t="s">
        <v>722</v>
      </c>
      <c r="J23" s="38" t="s">
        <v>1228</v>
      </c>
    </row>
    <row r="24" spans="1:10">
      <c r="A24" s="42">
        <v>45575</v>
      </c>
      <c r="B24" s="38" t="s">
        <v>1229</v>
      </c>
      <c r="C24" s="38" t="s">
        <v>781</v>
      </c>
      <c r="D24" s="39" t="s">
        <v>718</v>
      </c>
      <c r="E24" s="38" t="s">
        <v>1135</v>
      </c>
      <c r="F24" s="38">
        <v>39000</v>
      </c>
      <c r="G24" s="40" t="s">
        <v>733</v>
      </c>
      <c r="H24" s="38" t="s">
        <v>721</v>
      </c>
      <c r="I24" s="38" t="s">
        <v>722</v>
      </c>
      <c r="J24" s="38" t="s">
        <v>1230</v>
      </c>
    </row>
    <row r="25" spans="1:10">
      <c r="A25" s="42">
        <v>45576</v>
      </c>
      <c r="B25" s="38" t="s">
        <v>1231</v>
      </c>
      <c r="C25" s="38" t="s">
        <v>725</v>
      </c>
      <c r="D25" s="39" t="s">
        <v>718</v>
      </c>
      <c r="E25" s="38" t="s">
        <v>292</v>
      </c>
      <c r="F25" s="38">
        <v>53500</v>
      </c>
      <c r="G25" s="38" t="s">
        <v>720</v>
      </c>
      <c r="H25" s="38" t="s">
        <v>721</v>
      </c>
      <c r="I25" s="38" t="s">
        <v>722</v>
      </c>
      <c r="J25" s="38" t="s">
        <v>1232</v>
      </c>
    </row>
    <row r="26" spans="1:10">
      <c r="A26" s="42">
        <v>45576</v>
      </c>
      <c r="B26" s="38" t="s">
        <v>1233</v>
      </c>
      <c r="C26" s="38" t="s">
        <v>725</v>
      </c>
      <c r="D26" s="39" t="s">
        <v>718</v>
      </c>
      <c r="E26" s="38" t="s">
        <v>1234</v>
      </c>
      <c r="F26" s="38">
        <v>65500</v>
      </c>
      <c r="G26" s="40" t="s">
        <v>733</v>
      </c>
      <c r="H26" s="38" t="s">
        <v>721</v>
      </c>
      <c r="I26" s="38" t="s">
        <v>722</v>
      </c>
      <c r="J26" s="38" t="s">
        <v>1235</v>
      </c>
    </row>
    <row r="27" spans="1:10">
      <c r="A27" s="42">
        <v>45576</v>
      </c>
      <c r="B27" s="38" t="s">
        <v>1236</v>
      </c>
      <c r="C27" s="38" t="s">
        <v>743</v>
      </c>
      <c r="D27" s="39" t="s">
        <v>718</v>
      </c>
      <c r="E27" s="38" t="s">
        <v>1237</v>
      </c>
      <c r="F27" s="38">
        <v>27000</v>
      </c>
      <c r="G27" s="38" t="s">
        <v>720</v>
      </c>
      <c r="H27" s="38" t="s">
        <v>721</v>
      </c>
      <c r="I27" s="38" t="s">
        <v>722</v>
      </c>
      <c r="J27" s="38" t="s">
        <v>1238</v>
      </c>
    </row>
    <row r="28" spans="1:10">
      <c r="A28" s="42">
        <v>45576</v>
      </c>
      <c r="B28" s="38" t="s">
        <v>1239</v>
      </c>
      <c r="C28" s="38" t="s">
        <v>755</v>
      </c>
      <c r="D28" s="39" t="s">
        <v>718</v>
      </c>
      <c r="E28" s="38" t="s">
        <v>886</v>
      </c>
      <c r="F28" s="38">
        <v>25000</v>
      </c>
      <c r="G28" s="40" t="s">
        <v>733</v>
      </c>
      <c r="H28" s="38" t="s">
        <v>721</v>
      </c>
      <c r="I28" s="38" t="s">
        <v>722</v>
      </c>
      <c r="J28" s="38" t="s">
        <v>1240</v>
      </c>
    </row>
    <row r="29" spans="1:10">
      <c r="A29" s="42">
        <v>45577</v>
      </c>
      <c r="B29" s="38" t="s">
        <v>1241</v>
      </c>
      <c r="C29" s="38" t="s">
        <v>736</v>
      </c>
      <c r="D29" s="39" t="s">
        <v>718</v>
      </c>
      <c r="E29" s="38" t="s">
        <v>224</v>
      </c>
      <c r="F29" s="38">
        <v>47000</v>
      </c>
      <c r="G29" s="40" t="s">
        <v>733</v>
      </c>
      <c r="H29" s="38" t="s">
        <v>757</v>
      </c>
      <c r="I29" s="38" t="s">
        <v>722</v>
      </c>
      <c r="J29" s="38" t="s">
        <v>1242</v>
      </c>
    </row>
    <row r="30" spans="1:10">
      <c r="A30" s="42">
        <v>45577</v>
      </c>
      <c r="B30" s="38" t="s">
        <v>1243</v>
      </c>
      <c r="C30" s="38" t="s">
        <v>725</v>
      </c>
      <c r="D30" s="39" t="s">
        <v>718</v>
      </c>
      <c r="E30" s="38" t="s">
        <v>313</v>
      </c>
      <c r="F30" s="38">
        <v>28000</v>
      </c>
      <c r="G30" s="40" t="s">
        <v>733</v>
      </c>
      <c r="H30" s="38" t="s">
        <v>721</v>
      </c>
      <c r="I30" s="38" t="s">
        <v>722</v>
      </c>
      <c r="J30" s="38" t="s">
        <v>1244</v>
      </c>
    </row>
    <row r="31" spans="1:10">
      <c r="A31" s="42">
        <v>45577</v>
      </c>
      <c r="B31" s="38" t="s">
        <v>1245</v>
      </c>
      <c r="C31" s="38" t="s">
        <v>725</v>
      </c>
      <c r="D31" s="39" t="s">
        <v>718</v>
      </c>
      <c r="E31" s="38" t="s">
        <v>356</v>
      </c>
      <c r="F31" s="38">
        <v>10000</v>
      </c>
      <c r="G31" s="40" t="s">
        <v>733</v>
      </c>
      <c r="H31" s="38" t="s">
        <v>721</v>
      </c>
      <c r="I31" s="38" t="s">
        <v>722</v>
      </c>
      <c r="J31" s="38" t="s">
        <v>1246</v>
      </c>
    </row>
    <row r="32" spans="1:10">
      <c r="A32" s="42">
        <v>45577</v>
      </c>
      <c r="B32" s="38" t="s">
        <v>1247</v>
      </c>
      <c r="C32" s="38" t="s">
        <v>725</v>
      </c>
      <c r="D32" s="39" t="s">
        <v>718</v>
      </c>
      <c r="E32" s="38" t="s">
        <v>515</v>
      </c>
      <c r="F32" s="38">
        <v>28500</v>
      </c>
      <c r="G32" s="38" t="s">
        <v>738</v>
      </c>
      <c r="H32" s="38" t="s">
        <v>721</v>
      </c>
      <c r="I32" s="38" t="s">
        <v>722</v>
      </c>
      <c r="J32" s="38" t="s">
        <v>1248</v>
      </c>
    </row>
    <row r="33" spans="1:10">
      <c r="A33" s="42">
        <v>45578</v>
      </c>
      <c r="B33" s="38" t="s">
        <v>1249</v>
      </c>
      <c r="C33" s="38" t="s">
        <v>769</v>
      </c>
      <c r="D33" s="39" t="s">
        <v>718</v>
      </c>
      <c r="E33" s="38" t="s">
        <v>1250</v>
      </c>
      <c r="F33" s="38">
        <v>20600</v>
      </c>
      <c r="G33" s="38" t="s">
        <v>720</v>
      </c>
      <c r="H33" s="38" t="s">
        <v>721</v>
      </c>
      <c r="I33" s="38" t="s">
        <v>722</v>
      </c>
      <c r="J33" s="38" t="s">
        <v>1251</v>
      </c>
    </row>
    <row r="34" spans="1:10">
      <c r="A34" s="42">
        <v>45578</v>
      </c>
      <c r="B34" s="38" t="s">
        <v>1252</v>
      </c>
      <c r="C34" s="38" t="s">
        <v>743</v>
      </c>
      <c r="D34" s="39" t="s">
        <v>718</v>
      </c>
      <c r="E34" s="38" t="s">
        <v>684</v>
      </c>
      <c r="F34" s="38">
        <v>14000</v>
      </c>
      <c r="G34" s="40" t="s">
        <v>733</v>
      </c>
      <c r="H34" s="38" t="s">
        <v>721</v>
      </c>
      <c r="I34" s="38" t="s">
        <v>722</v>
      </c>
      <c r="J34" s="38" t="s">
        <v>1253</v>
      </c>
    </row>
    <row r="35" spans="1:10">
      <c r="A35" s="42">
        <v>45579</v>
      </c>
      <c r="B35" s="38" t="s">
        <v>1254</v>
      </c>
      <c r="C35" s="38" t="s">
        <v>725</v>
      </c>
      <c r="D35" s="39" t="s">
        <v>718</v>
      </c>
      <c r="E35" s="38" t="s">
        <v>292</v>
      </c>
      <c r="F35" s="38">
        <v>46000</v>
      </c>
      <c r="G35" s="40" t="s">
        <v>733</v>
      </c>
      <c r="H35" s="38" t="s">
        <v>721</v>
      </c>
      <c r="I35" s="38" t="s">
        <v>722</v>
      </c>
      <c r="J35" s="38" t="s">
        <v>1255</v>
      </c>
    </row>
    <row r="36" spans="1:10">
      <c r="A36" s="42">
        <v>45579</v>
      </c>
      <c r="B36" s="38" t="s">
        <v>1256</v>
      </c>
      <c r="C36" s="38" t="s">
        <v>736</v>
      </c>
      <c r="D36" s="39" t="s">
        <v>718</v>
      </c>
      <c r="E36" s="38" t="s">
        <v>902</v>
      </c>
      <c r="F36" s="38">
        <v>34000</v>
      </c>
      <c r="G36" s="38" t="s">
        <v>770</v>
      </c>
      <c r="H36" s="38" t="s">
        <v>721</v>
      </c>
      <c r="I36" s="38" t="s">
        <v>722</v>
      </c>
      <c r="J36" s="38" t="s">
        <v>1257</v>
      </c>
    </row>
    <row r="37" spans="1:10">
      <c r="A37" s="42">
        <v>45580</v>
      </c>
      <c r="B37" s="38" t="s">
        <v>1258</v>
      </c>
      <c r="C37" s="38" t="s">
        <v>725</v>
      </c>
      <c r="D37" s="39" t="s">
        <v>718</v>
      </c>
      <c r="E37" s="38" t="s">
        <v>800</v>
      </c>
      <c r="F37" s="38">
        <v>15000</v>
      </c>
      <c r="G37" s="40" t="s">
        <v>733</v>
      </c>
      <c r="H37" s="38" t="s">
        <v>721</v>
      </c>
      <c r="I37" s="38" t="s">
        <v>722</v>
      </c>
      <c r="J37" s="38" t="s">
        <v>1259</v>
      </c>
    </row>
    <row r="38" spans="1:10">
      <c r="A38" s="42">
        <v>45580</v>
      </c>
      <c r="B38" s="38" t="s">
        <v>1260</v>
      </c>
      <c r="C38" s="38" t="s">
        <v>736</v>
      </c>
      <c r="D38" s="39" t="s">
        <v>718</v>
      </c>
      <c r="E38" s="38" t="s">
        <v>224</v>
      </c>
      <c r="F38" s="38">
        <v>40000</v>
      </c>
      <c r="G38" s="38" t="s">
        <v>738</v>
      </c>
      <c r="H38" s="38" t="s">
        <v>721</v>
      </c>
      <c r="I38" s="38" t="s">
        <v>722</v>
      </c>
      <c r="J38" s="38" t="s">
        <v>1261</v>
      </c>
    </row>
    <row r="39" spans="1:10">
      <c r="A39" s="42">
        <v>45580</v>
      </c>
      <c r="B39" s="38" t="s">
        <v>1262</v>
      </c>
      <c r="C39" s="38" t="s">
        <v>725</v>
      </c>
      <c r="D39" s="39" t="s">
        <v>718</v>
      </c>
      <c r="E39" s="38" t="s">
        <v>609</v>
      </c>
      <c r="F39" s="38">
        <v>20600</v>
      </c>
      <c r="G39" s="40" t="s">
        <v>733</v>
      </c>
      <c r="H39" s="38" t="s">
        <v>721</v>
      </c>
      <c r="I39" s="38" t="s">
        <v>722</v>
      </c>
      <c r="J39" s="38" t="s">
        <v>1263</v>
      </c>
    </row>
    <row r="40" spans="1:10">
      <c r="A40" s="42">
        <v>45580</v>
      </c>
      <c r="B40" s="38" t="s">
        <v>1264</v>
      </c>
      <c r="C40" s="38" t="s">
        <v>725</v>
      </c>
      <c r="D40" s="39" t="s">
        <v>718</v>
      </c>
      <c r="E40" s="38" t="s">
        <v>501</v>
      </c>
      <c r="F40" s="38">
        <v>28000</v>
      </c>
      <c r="G40" s="38" t="s">
        <v>738</v>
      </c>
      <c r="H40" s="38" t="s">
        <v>721</v>
      </c>
      <c r="I40" s="38" t="s">
        <v>722</v>
      </c>
      <c r="J40" s="38" t="s">
        <v>1265</v>
      </c>
    </row>
    <row r="41" spans="1:10">
      <c r="A41" s="42">
        <v>45580</v>
      </c>
      <c r="B41" s="38" t="s">
        <v>1266</v>
      </c>
      <c r="C41" s="38" t="s">
        <v>725</v>
      </c>
      <c r="D41" s="39" t="s">
        <v>718</v>
      </c>
      <c r="E41" s="38" t="s">
        <v>292</v>
      </c>
      <c r="F41" s="38">
        <v>29500</v>
      </c>
      <c r="G41" s="40" t="s">
        <v>733</v>
      </c>
      <c r="H41" s="38" t="s">
        <v>721</v>
      </c>
      <c r="I41" s="38" t="s">
        <v>722</v>
      </c>
      <c r="J41" s="38" t="s">
        <v>1267</v>
      </c>
    </row>
    <row r="42" spans="1:10">
      <c r="A42" s="42">
        <v>45580</v>
      </c>
      <c r="B42" s="38" t="s">
        <v>1268</v>
      </c>
      <c r="C42" s="38" t="s">
        <v>725</v>
      </c>
      <c r="D42" s="39" t="s">
        <v>718</v>
      </c>
      <c r="E42" s="38" t="s">
        <v>292</v>
      </c>
      <c r="F42" s="38">
        <v>24500</v>
      </c>
      <c r="G42" s="38" t="s">
        <v>738</v>
      </c>
      <c r="H42" s="38" t="s">
        <v>721</v>
      </c>
      <c r="I42" s="38" t="s">
        <v>722</v>
      </c>
      <c r="J42" s="38" t="s">
        <v>1269</v>
      </c>
    </row>
    <row r="43" spans="1:10">
      <c r="A43" s="42">
        <v>45580</v>
      </c>
      <c r="B43" s="38" t="s">
        <v>1270</v>
      </c>
      <c r="C43" s="38" t="s">
        <v>769</v>
      </c>
      <c r="D43" s="39" t="s">
        <v>718</v>
      </c>
      <c r="E43" s="38" t="s">
        <v>1271</v>
      </c>
      <c r="F43" s="38">
        <v>150200</v>
      </c>
      <c r="G43" s="38" t="s">
        <v>738</v>
      </c>
      <c r="H43" s="38" t="s">
        <v>721</v>
      </c>
      <c r="I43" s="38" t="s">
        <v>722</v>
      </c>
      <c r="J43" s="38" t="s">
        <v>1272</v>
      </c>
    </row>
    <row r="44" spans="1:10">
      <c r="A44" s="42">
        <v>45580</v>
      </c>
      <c r="B44" s="38" t="s">
        <v>1273</v>
      </c>
      <c r="C44" s="38" t="s">
        <v>725</v>
      </c>
      <c r="D44" s="39" t="s">
        <v>718</v>
      </c>
      <c r="E44" s="38" t="s">
        <v>515</v>
      </c>
      <c r="F44" s="38">
        <v>150000</v>
      </c>
      <c r="G44" s="38" t="s">
        <v>738</v>
      </c>
      <c r="H44" s="38" t="s">
        <v>721</v>
      </c>
      <c r="I44" s="38" t="s">
        <v>722</v>
      </c>
      <c r="J44" s="38" t="s">
        <v>1274</v>
      </c>
    </row>
    <row r="45" spans="1:10">
      <c r="A45" s="42">
        <v>45580</v>
      </c>
      <c r="B45" s="38" t="s">
        <v>1275</v>
      </c>
      <c r="C45" s="38" t="s">
        <v>769</v>
      </c>
      <c r="D45" s="39" t="s">
        <v>718</v>
      </c>
      <c r="E45" s="38" t="s">
        <v>1276</v>
      </c>
      <c r="F45" s="38">
        <v>132000</v>
      </c>
      <c r="G45" s="38" t="s">
        <v>738</v>
      </c>
      <c r="H45" s="38" t="s">
        <v>721</v>
      </c>
      <c r="I45" s="38" t="s">
        <v>722</v>
      </c>
      <c r="J45" s="38" t="s">
        <v>1277</v>
      </c>
    </row>
    <row r="46" spans="1:10">
      <c r="A46" s="42">
        <v>45581</v>
      </c>
      <c r="B46" s="38" t="s">
        <v>1278</v>
      </c>
      <c r="C46" s="38" t="s">
        <v>725</v>
      </c>
      <c r="D46" s="39" t="s">
        <v>718</v>
      </c>
      <c r="E46" s="38" t="s">
        <v>292</v>
      </c>
      <c r="F46" s="38">
        <v>28500</v>
      </c>
      <c r="G46" s="38" t="s">
        <v>738</v>
      </c>
      <c r="H46" s="38" t="s">
        <v>721</v>
      </c>
      <c r="I46" s="38" t="s">
        <v>722</v>
      </c>
      <c r="J46" s="38" t="s">
        <v>1279</v>
      </c>
    </row>
    <row r="47" spans="1:10">
      <c r="A47" s="42">
        <v>45581</v>
      </c>
      <c r="B47" s="38" t="s">
        <v>1280</v>
      </c>
      <c r="C47" s="38" t="s">
        <v>725</v>
      </c>
      <c r="D47" s="39" t="s">
        <v>718</v>
      </c>
      <c r="E47" s="38" t="s">
        <v>441</v>
      </c>
      <c r="F47" s="38">
        <v>38500</v>
      </c>
      <c r="G47" s="40" t="s">
        <v>733</v>
      </c>
      <c r="H47" s="38" t="s">
        <v>721</v>
      </c>
      <c r="I47" s="38" t="s">
        <v>722</v>
      </c>
      <c r="J47" s="38" t="s">
        <v>1281</v>
      </c>
    </row>
    <row r="48" spans="1:10">
      <c r="A48" s="42">
        <v>45581</v>
      </c>
      <c r="B48" s="38" t="s">
        <v>1282</v>
      </c>
      <c r="C48" s="38" t="s">
        <v>736</v>
      </c>
      <c r="D48" s="39" t="s">
        <v>718</v>
      </c>
      <c r="E48" s="38" t="s">
        <v>1283</v>
      </c>
      <c r="F48" s="38">
        <v>12000</v>
      </c>
      <c r="G48" s="40" t="s">
        <v>733</v>
      </c>
      <c r="H48" s="38" t="s">
        <v>721</v>
      </c>
      <c r="I48" s="38" t="s">
        <v>722</v>
      </c>
      <c r="J48" s="38" t="s">
        <v>1284</v>
      </c>
    </row>
    <row r="49" spans="1:10">
      <c r="A49" s="42">
        <v>45581</v>
      </c>
      <c r="B49" s="38" t="s">
        <v>1285</v>
      </c>
      <c r="C49" s="38" t="s">
        <v>725</v>
      </c>
      <c r="D49" s="39" t="s">
        <v>718</v>
      </c>
      <c r="E49" s="38" t="s">
        <v>1234</v>
      </c>
      <c r="F49" s="38">
        <v>25000</v>
      </c>
      <c r="G49" s="40" t="s">
        <v>733</v>
      </c>
      <c r="H49" s="38" t="s">
        <v>721</v>
      </c>
      <c r="I49" s="38" t="s">
        <v>722</v>
      </c>
      <c r="J49" s="38" t="s">
        <v>1286</v>
      </c>
    </row>
    <row r="50" spans="1:10">
      <c r="A50" s="42">
        <v>45581</v>
      </c>
      <c r="B50" s="38" t="s">
        <v>1287</v>
      </c>
      <c r="C50" s="38" t="s">
        <v>781</v>
      </c>
      <c r="D50" s="39" t="s">
        <v>718</v>
      </c>
      <c r="E50" s="38" t="s">
        <v>1211</v>
      </c>
      <c r="F50" s="38">
        <v>13000</v>
      </c>
      <c r="G50" s="40" t="s">
        <v>733</v>
      </c>
      <c r="H50" s="38" t="s">
        <v>721</v>
      </c>
      <c r="I50" s="38" t="s">
        <v>722</v>
      </c>
      <c r="J50" s="38" t="s">
        <v>1288</v>
      </c>
    </row>
    <row r="51" spans="1:10">
      <c r="A51" s="42">
        <v>45581</v>
      </c>
      <c r="B51" s="38" t="s">
        <v>1289</v>
      </c>
      <c r="C51" s="38" t="s">
        <v>732</v>
      </c>
      <c r="D51" s="39" t="s">
        <v>718</v>
      </c>
      <c r="E51" s="38" t="s">
        <v>294</v>
      </c>
      <c r="F51" s="38">
        <v>44500</v>
      </c>
      <c r="G51" s="38" t="s">
        <v>738</v>
      </c>
      <c r="H51" s="38" t="s">
        <v>721</v>
      </c>
      <c r="I51" s="38" t="s">
        <v>722</v>
      </c>
      <c r="J51" s="38" t="s">
        <v>1290</v>
      </c>
    </row>
    <row r="52" spans="1:10">
      <c r="A52" s="42">
        <v>45581</v>
      </c>
      <c r="B52" s="38" t="s">
        <v>1291</v>
      </c>
      <c r="C52" s="38" t="s">
        <v>781</v>
      </c>
      <c r="D52" s="39" t="s">
        <v>718</v>
      </c>
      <c r="E52" s="38" t="s">
        <v>810</v>
      </c>
      <c r="F52" s="38">
        <v>22500</v>
      </c>
      <c r="G52" s="40" t="s">
        <v>733</v>
      </c>
      <c r="H52" s="38" t="s">
        <v>721</v>
      </c>
      <c r="I52" s="38" t="s">
        <v>722</v>
      </c>
      <c r="J52" s="38" t="s">
        <v>1292</v>
      </c>
    </row>
    <row r="53" spans="1:10">
      <c r="A53" s="42">
        <v>45581</v>
      </c>
      <c r="B53" s="38" t="s">
        <v>1293</v>
      </c>
      <c r="C53" s="38" t="s">
        <v>736</v>
      </c>
      <c r="D53" s="39" t="s">
        <v>718</v>
      </c>
      <c r="E53" s="38" t="s">
        <v>1283</v>
      </c>
      <c r="F53" s="38">
        <v>25000</v>
      </c>
      <c r="G53" s="40" t="s">
        <v>733</v>
      </c>
      <c r="H53" s="38" t="s">
        <v>721</v>
      </c>
      <c r="I53" s="38" t="s">
        <v>722</v>
      </c>
      <c r="J53" s="38" t="s">
        <v>1294</v>
      </c>
    </row>
    <row r="54" spans="1:10">
      <c r="A54" s="42">
        <v>45581</v>
      </c>
      <c r="B54" s="38" t="s">
        <v>1295</v>
      </c>
      <c r="C54" s="38" t="s">
        <v>725</v>
      </c>
      <c r="D54" s="39" t="s">
        <v>718</v>
      </c>
      <c r="E54" s="38" t="s">
        <v>726</v>
      </c>
      <c r="F54" s="38">
        <v>91300</v>
      </c>
      <c r="G54" s="40" t="s">
        <v>733</v>
      </c>
      <c r="H54" s="38" t="s">
        <v>721</v>
      </c>
      <c r="I54" s="38" t="s">
        <v>722</v>
      </c>
      <c r="J54" s="38" t="s">
        <v>1296</v>
      </c>
    </row>
    <row r="55" spans="1:10">
      <c r="A55" s="42">
        <v>45582</v>
      </c>
      <c r="B55" s="38" t="s">
        <v>1297</v>
      </c>
      <c r="C55" s="38" t="s">
        <v>725</v>
      </c>
      <c r="D55" s="39" t="s">
        <v>718</v>
      </c>
      <c r="E55" s="38" t="s">
        <v>292</v>
      </c>
      <c r="F55" s="38">
        <v>43500</v>
      </c>
      <c r="G55" s="38" t="s">
        <v>738</v>
      </c>
      <c r="H55" s="38" t="s">
        <v>721</v>
      </c>
      <c r="I55" s="38" t="s">
        <v>722</v>
      </c>
      <c r="J55" s="38" t="s">
        <v>1298</v>
      </c>
    </row>
    <row r="56" spans="1:10">
      <c r="A56" s="42">
        <v>45582</v>
      </c>
      <c r="B56" s="38" t="s">
        <v>1299</v>
      </c>
      <c r="C56" s="38" t="s">
        <v>725</v>
      </c>
      <c r="D56" s="39" t="s">
        <v>718</v>
      </c>
      <c r="E56" s="38" t="s">
        <v>800</v>
      </c>
      <c r="F56" s="38">
        <v>5800</v>
      </c>
      <c r="G56" s="38" t="s">
        <v>738</v>
      </c>
      <c r="H56" s="38" t="s">
        <v>721</v>
      </c>
      <c r="I56" s="38" t="s">
        <v>722</v>
      </c>
      <c r="J56" s="38" t="s">
        <v>1300</v>
      </c>
    </row>
    <row r="57" spans="1:10">
      <c r="A57" s="42">
        <v>45582</v>
      </c>
      <c r="B57" s="38" t="s">
        <v>1301</v>
      </c>
      <c r="C57" s="38" t="s">
        <v>725</v>
      </c>
      <c r="D57" s="39" t="s">
        <v>718</v>
      </c>
      <c r="E57" s="38" t="s">
        <v>292</v>
      </c>
      <c r="F57" s="38">
        <v>35000</v>
      </c>
      <c r="G57" s="40" t="s">
        <v>733</v>
      </c>
      <c r="H57" s="38" t="s">
        <v>721</v>
      </c>
      <c r="I57" s="38" t="s">
        <v>722</v>
      </c>
      <c r="J57" s="38" t="s">
        <v>1302</v>
      </c>
    </row>
    <row r="58" spans="1:10">
      <c r="A58" s="42">
        <v>45582</v>
      </c>
      <c r="B58" s="38" t="s">
        <v>1303</v>
      </c>
      <c r="C58" s="38" t="s">
        <v>725</v>
      </c>
      <c r="D58" s="39" t="s">
        <v>718</v>
      </c>
      <c r="E58" s="38" t="s">
        <v>292</v>
      </c>
      <c r="F58" s="38">
        <v>28500</v>
      </c>
      <c r="G58" s="38" t="s">
        <v>738</v>
      </c>
      <c r="H58" s="38" t="s">
        <v>721</v>
      </c>
      <c r="I58" s="38" t="s">
        <v>722</v>
      </c>
      <c r="J58" s="38" t="s">
        <v>1304</v>
      </c>
    </row>
    <row r="59" spans="1:10">
      <c r="A59" s="42">
        <v>45582</v>
      </c>
      <c r="B59" s="38" t="s">
        <v>1305</v>
      </c>
      <c r="C59" s="38" t="s">
        <v>736</v>
      </c>
      <c r="D59" s="39" t="s">
        <v>718</v>
      </c>
      <c r="E59" s="38" t="s">
        <v>750</v>
      </c>
      <c r="F59" s="38">
        <v>29000</v>
      </c>
      <c r="G59" s="38" t="s">
        <v>738</v>
      </c>
      <c r="H59" s="38" t="s">
        <v>721</v>
      </c>
      <c r="I59" s="38" t="s">
        <v>722</v>
      </c>
      <c r="J59" s="38" t="s">
        <v>1306</v>
      </c>
    </row>
    <row r="60" spans="1:10">
      <c r="A60" s="42">
        <v>45583</v>
      </c>
      <c r="B60" s="38" t="s">
        <v>1307</v>
      </c>
      <c r="C60" s="38" t="s">
        <v>725</v>
      </c>
      <c r="D60" s="39" t="s">
        <v>718</v>
      </c>
      <c r="E60" s="38" t="s">
        <v>609</v>
      </c>
      <c r="F60" s="38">
        <v>38500</v>
      </c>
      <c r="G60" s="38" t="s">
        <v>738</v>
      </c>
      <c r="H60" s="38" t="s">
        <v>721</v>
      </c>
      <c r="I60" s="38" t="s">
        <v>722</v>
      </c>
      <c r="J60" s="38" t="s">
        <v>1308</v>
      </c>
    </row>
    <row r="61" spans="1:10">
      <c r="A61" s="42">
        <v>45584</v>
      </c>
      <c r="B61" s="38" t="s">
        <v>1309</v>
      </c>
      <c r="C61" s="38" t="s">
        <v>725</v>
      </c>
      <c r="D61" s="39" t="s">
        <v>718</v>
      </c>
      <c r="E61" s="38" t="s">
        <v>501</v>
      </c>
      <c r="F61" s="38">
        <v>27100</v>
      </c>
      <c r="G61" s="38" t="s">
        <v>738</v>
      </c>
      <c r="H61" s="38" t="s">
        <v>721</v>
      </c>
      <c r="I61" s="38" t="s">
        <v>722</v>
      </c>
      <c r="J61" s="38" t="s">
        <v>1310</v>
      </c>
    </row>
    <row r="62" spans="1:10">
      <c r="A62" s="42">
        <v>45584</v>
      </c>
      <c r="B62" s="38" t="s">
        <v>1311</v>
      </c>
      <c r="C62" s="38" t="s">
        <v>725</v>
      </c>
      <c r="D62" s="39" t="s">
        <v>718</v>
      </c>
      <c r="E62" s="38" t="s">
        <v>990</v>
      </c>
      <c r="F62" s="38">
        <v>28000</v>
      </c>
      <c r="G62" s="38" t="s">
        <v>720</v>
      </c>
      <c r="H62" s="38" t="s">
        <v>721</v>
      </c>
      <c r="I62" s="38" t="s">
        <v>722</v>
      </c>
      <c r="J62" s="38" t="s">
        <v>1312</v>
      </c>
    </row>
    <row r="63" spans="1:10">
      <c r="A63" s="42">
        <v>45585</v>
      </c>
      <c r="B63" s="38" t="s">
        <v>1313</v>
      </c>
      <c r="C63" s="38" t="s">
        <v>725</v>
      </c>
      <c r="D63" s="39" t="s">
        <v>718</v>
      </c>
      <c r="E63" s="38" t="s">
        <v>515</v>
      </c>
      <c r="F63" s="38">
        <v>37000</v>
      </c>
      <c r="G63" s="40" t="s">
        <v>733</v>
      </c>
      <c r="H63" s="38" t="s">
        <v>721</v>
      </c>
      <c r="I63" s="38" t="s">
        <v>722</v>
      </c>
      <c r="J63" s="38" t="s">
        <v>1314</v>
      </c>
    </row>
    <row r="64" spans="1:10">
      <c r="A64" s="42">
        <v>45585</v>
      </c>
      <c r="B64" s="38" t="s">
        <v>1315</v>
      </c>
      <c r="C64" s="38" t="s">
        <v>736</v>
      </c>
      <c r="D64" s="39" t="s">
        <v>718</v>
      </c>
      <c r="E64" s="38" t="s">
        <v>846</v>
      </c>
      <c r="F64" s="38">
        <v>13000</v>
      </c>
      <c r="G64" s="38" t="s">
        <v>738</v>
      </c>
      <c r="H64" s="38" t="s">
        <v>721</v>
      </c>
      <c r="I64" s="38" t="s">
        <v>722</v>
      </c>
      <c r="J64" s="38" t="s">
        <v>1316</v>
      </c>
    </row>
    <row r="65" spans="1:10">
      <c r="A65" s="42">
        <v>45585</v>
      </c>
      <c r="B65" s="38" t="s">
        <v>1317</v>
      </c>
      <c r="C65" s="38" t="s">
        <v>736</v>
      </c>
      <c r="D65" s="39" t="s">
        <v>718</v>
      </c>
      <c r="E65" s="38" t="s">
        <v>793</v>
      </c>
      <c r="F65" s="38">
        <v>35000</v>
      </c>
      <c r="G65" s="40" t="s">
        <v>733</v>
      </c>
      <c r="H65" s="38" t="s">
        <v>721</v>
      </c>
      <c r="I65" s="38" t="s">
        <v>722</v>
      </c>
      <c r="J65" s="38" t="s">
        <v>1318</v>
      </c>
    </row>
    <row r="66" spans="1:10">
      <c r="A66" s="42">
        <v>45585</v>
      </c>
      <c r="B66" s="38" t="s">
        <v>1319</v>
      </c>
      <c r="C66" s="38" t="s">
        <v>736</v>
      </c>
      <c r="D66" s="39" t="s">
        <v>718</v>
      </c>
      <c r="E66" s="38" t="s">
        <v>750</v>
      </c>
      <c r="F66" s="38">
        <v>22000</v>
      </c>
      <c r="G66" s="38" t="s">
        <v>738</v>
      </c>
      <c r="H66" s="38" t="s">
        <v>721</v>
      </c>
      <c r="I66" s="38" t="s">
        <v>722</v>
      </c>
      <c r="J66" s="38" t="s">
        <v>1320</v>
      </c>
    </row>
    <row r="67" spans="1:10">
      <c r="A67" s="42">
        <v>45585</v>
      </c>
      <c r="B67" s="38" t="s">
        <v>1321</v>
      </c>
      <c r="C67" s="38" t="s">
        <v>736</v>
      </c>
      <c r="D67" s="39" t="s">
        <v>718</v>
      </c>
      <c r="E67" s="38" t="s">
        <v>1322</v>
      </c>
      <c r="F67" s="38">
        <v>41000</v>
      </c>
      <c r="G67" s="38" t="s">
        <v>720</v>
      </c>
      <c r="H67" s="38" t="s">
        <v>721</v>
      </c>
      <c r="I67" s="38" t="s">
        <v>722</v>
      </c>
      <c r="J67" s="38" t="s">
        <v>1323</v>
      </c>
    </row>
    <row r="68" spans="1:10">
      <c r="A68" s="42">
        <v>45585</v>
      </c>
      <c r="B68" s="38" t="s">
        <v>1324</v>
      </c>
      <c r="C68" s="38" t="s">
        <v>736</v>
      </c>
      <c r="D68" s="39" t="s">
        <v>718</v>
      </c>
      <c r="E68" s="38" t="s">
        <v>224</v>
      </c>
      <c r="F68" s="38">
        <v>15000</v>
      </c>
      <c r="G68" s="38" t="s">
        <v>770</v>
      </c>
      <c r="H68" s="38" t="s">
        <v>721</v>
      </c>
      <c r="I68" s="38" t="s">
        <v>722</v>
      </c>
      <c r="J68" s="38" t="s">
        <v>1325</v>
      </c>
    </row>
    <row r="69" spans="1:10">
      <c r="A69" s="42">
        <v>45585</v>
      </c>
      <c r="B69" s="38" t="s">
        <v>1326</v>
      </c>
      <c r="C69" s="38" t="s">
        <v>725</v>
      </c>
      <c r="D69" s="39" t="s">
        <v>718</v>
      </c>
      <c r="E69" s="38" t="s">
        <v>292</v>
      </c>
      <c r="F69" s="38">
        <v>20600</v>
      </c>
      <c r="G69" s="40" t="s">
        <v>733</v>
      </c>
      <c r="H69" s="38" t="s">
        <v>721</v>
      </c>
      <c r="I69" s="38" t="s">
        <v>722</v>
      </c>
      <c r="J69" s="38" t="s">
        <v>1327</v>
      </c>
    </row>
    <row r="70" spans="1:10">
      <c r="A70" s="42">
        <v>45585</v>
      </c>
      <c r="B70" s="38" t="s">
        <v>1328</v>
      </c>
      <c r="C70" s="38" t="s">
        <v>725</v>
      </c>
      <c r="D70" s="39" t="s">
        <v>718</v>
      </c>
      <c r="E70" s="38" t="s">
        <v>441</v>
      </c>
      <c r="F70" s="38">
        <v>193000</v>
      </c>
      <c r="G70" s="38" t="s">
        <v>720</v>
      </c>
      <c r="H70" s="38" t="s">
        <v>721</v>
      </c>
      <c r="I70" s="38" t="s">
        <v>722</v>
      </c>
      <c r="J70" s="38" t="s">
        <v>1329</v>
      </c>
    </row>
    <row r="71" spans="1:10">
      <c r="A71" s="42">
        <v>45585</v>
      </c>
      <c r="B71" s="38" t="s">
        <v>1330</v>
      </c>
      <c r="C71" s="38" t="s">
        <v>769</v>
      </c>
      <c r="D71" s="39" t="s">
        <v>718</v>
      </c>
      <c r="E71" s="38" t="s">
        <v>819</v>
      </c>
      <c r="F71" s="38">
        <v>38300</v>
      </c>
      <c r="G71" s="40" t="s">
        <v>733</v>
      </c>
      <c r="H71" s="38" t="s">
        <v>721</v>
      </c>
      <c r="I71" s="38" t="s">
        <v>722</v>
      </c>
      <c r="J71" s="38" t="s">
        <v>1331</v>
      </c>
    </row>
    <row r="72" spans="1:10">
      <c r="A72" s="42">
        <v>45586</v>
      </c>
      <c r="B72" s="38" t="s">
        <v>1332</v>
      </c>
      <c r="C72" s="38" t="s">
        <v>732</v>
      </c>
      <c r="D72" s="39" t="s">
        <v>718</v>
      </c>
      <c r="E72" s="38" t="s">
        <v>694</v>
      </c>
      <c r="F72" s="38">
        <v>70000</v>
      </c>
      <c r="G72" s="38" t="s">
        <v>738</v>
      </c>
      <c r="H72" s="38" t="s">
        <v>721</v>
      </c>
      <c r="I72" s="38" t="s">
        <v>722</v>
      </c>
      <c r="J72" s="38" t="s">
        <v>1333</v>
      </c>
    </row>
    <row r="73" spans="1:10">
      <c r="A73" s="42">
        <v>45587</v>
      </c>
      <c r="B73" s="38" t="s">
        <v>1334</v>
      </c>
      <c r="C73" s="38" t="s">
        <v>736</v>
      </c>
      <c r="D73" s="39" t="s">
        <v>718</v>
      </c>
      <c r="E73" s="38" t="s">
        <v>813</v>
      </c>
      <c r="F73" s="38">
        <v>46500</v>
      </c>
      <c r="G73" s="38" t="s">
        <v>738</v>
      </c>
      <c r="H73" s="38" t="s">
        <v>721</v>
      </c>
      <c r="I73" s="38" t="s">
        <v>722</v>
      </c>
      <c r="J73" s="38" t="s">
        <v>1335</v>
      </c>
    </row>
    <row r="74" spans="1:10">
      <c r="A74" s="42">
        <v>45587</v>
      </c>
      <c r="B74" s="38" t="s">
        <v>1336</v>
      </c>
      <c r="C74" s="38" t="s">
        <v>725</v>
      </c>
      <c r="D74" s="39" t="s">
        <v>718</v>
      </c>
      <c r="E74" s="38" t="s">
        <v>441</v>
      </c>
      <c r="F74" s="38">
        <v>150000</v>
      </c>
      <c r="G74" s="38" t="s">
        <v>738</v>
      </c>
      <c r="H74" s="38" t="s">
        <v>721</v>
      </c>
      <c r="I74" s="38" t="s">
        <v>722</v>
      </c>
      <c r="J74" s="38" t="s">
        <v>1337</v>
      </c>
    </row>
    <row r="75" spans="1:10">
      <c r="A75" s="42">
        <v>45588</v>
      </c>
      <c r="B75" s="38" t="s">
        <v>1338</v>
      </c>
      <c r="C75" s="38" t="s">
        <v>736</v>
      </c>
      <c r="D75" s="39" t="s">
        <v>718</v>
      </c>
      <c r="E75" s="38" t="s">
        <v>1339</v>
      </c>
      <c r="F75" s="38">
        <v>35000</v>
      </c>
      <c r="G75" s="38" t="s">
        <v>738</v>
      </c>
      <c r="H75" s="38" t="s">
        <v>721</v>
      </c>
      <c r="I75" s="38" t="s">
        <v>722</v>
      </c>
      <c r="J75" s="38" t="s">
        <v>1340</v>
      </c>
    </row>
    <row r="76" spans="1:10">
      <c r="A76" s="42">
        <v>45589</v>
      </c>
      <c r="B76" s="38" t="s">
        <v>1341</v>
      </c>
      <c r="C76" s="38" t="s">
        <v>725</v>
      </c>
      <c r="D76" s="39" t="s">
        <v>718</v>
      </c>
      <c r="E76" s="38" t="s">
        <v>883</v>
      </c>
      <c r="F76" s="38">
        <v>28300</v>
      </c>
      <c r="G76" s="38" t="s">
        <v>738</v>
      </c>
      <c r="H76" s="38" t="s">
        <v>721</v>
      </c>
      <c r="I76" s="38" t="s">
        <v>722</v>
      </c>
      <c r="J76" s="38" t="s">
        <v>1342</v>
      </c>
    </row>
    <row r="77" spans="1:10">
      <c r="A77" s="42">
        <v>45589</v>
      </c>
      <c r="B77" s="38" t="s">
        <v>1343</v>
      </c>
      <c r="C77" s="38" t="s">
        <v>725</v>
      </c>
      <c r="D77" s="39" t="s">
        <v>718</v>
      </c>
      <c r="E77" s="38" t="s">
        <v>501</v>
      </c>
      <c r="F77" s="38">
        <v>15000</v>
      </c>
      <c r="G77" s="38" t="s">
        <v>738</v>
      </c>
      <c r="H77" s="38" t="s">
        <v>721</v>
      </c>
      <c r="I77" s="38" t="s">
        <v>722</v>
      </c>
      <c r="J77" s="38" t="s">
        <v>1344</v>
      </c>
    </row>
    <row r="78" spans="1:10">
      <c r="A78" s="42">
        <v>45589</v>
      </c>
      <c r="B78" s="38" t="s">
        <v>1345</v>
      </c>
      <c r="C78" s="38" t="s">
        <v>736</v>
      </c>
      <c r="D78" s="39" t="s">
        <v>718</v>
      </c>
      <c r="E78" s="38" t="s">
        <v>1339</v>
      </c>
      <c r="F78" s="38">
        <v>5800</v>
      </c>
      <c r="G78" s="38" t="s">
        <v>738</v>
      </c>
      <c r="H78" s="38" t="s">
        <v>757</v>
      </c>
      <c r="I78" s="38" t="s">
        <v>722</v>
      </c>
      <c r="J78" s="38" t="s">
        <v>1346</v>
      </c>
    </row>
    <row r="79" spans="1:10">
      <c r="A79" s="42">
        <v>45589</v>
      </c>
      <c r="B79" s="38" t="s">
        <v>1347</v>
      </c>
      <c r="C79" s="38" t="s">
        <v>755</v>
      </c>
      <c r="D79" s="39" t="s">
        <v>718</v>
      </c>
      <c r="E79" s="38" t="s">
        <v>940</v>
      </c>
      <c r="F79" s="38">
        <v>29500</v>
      </c>
      <c r="G79" s="38" t="s">
        <v>738</v>
      </c>
      <c r="H79" s="38" t="s">
        <v>721</v>
      </c>
      <c r="I79" s="38" t="s">
        <v>722</v>
      </c>
      <c r="J79" s="38" t="s">
        <v>1348</v>
      </c>
    </row>
    <row r="80" spans="1:10">
      <c r="A80" s="42">
        <v>45589</v>
      </c>
      <c r="B80" s="38" t="s">
        <v>1349</v>
      </c>
      <c r="C80" s="38" t="s">
        <v>725</v>
      </c>
      <c r="D80" s="39" t="s">
        <v>718</v>
      </c>
      <c r="E80" s="38" t="s">
        <v>515</v>
      </c>
      <c r="F80" s="38">
        <v>42500</v>
      </c>
      <c r="G80" s="40" t="s">
        <v>733</v>
      </c>
      <c r="H80" s="38" t="s">
        <v>721</v>
      </c>
      <c r="I80" s="38" t="s">
        <v>722</v>
      </c>
      <c r="J80" s="38" t="s">
        <v>1350</v>
      </c>
    </row>
    <row r="81" spans="1:10">
      <c r="A81" s="42">
        <v>45589</v>
      </c>
      <c r="B81" s="38" t="s">
        <v>1351</v>
      </c>
      <c r="C81" s="38" t="s">
        <v>736</v>
      </c>
      <c r="D81" s="39" t="s">
        <v>718</v>
      </c>
      <c r="E81" s="38" t="s">
        <v>1352</v>
      </c>
      <c r="F81" s="38">
        <v>52000</v>
      </c>
      <c r="G81" s="38" t="s">
        <v>738</v>
      </c>
      <c r="H81" s="38" t="s">
        <v>721</v>
      </c>
      <c r="I81" s="38" t="s">
        <v>722</v>
      </c>
      <c r="J81" s="38" t="s">
        <v>1353</v>
      </c>
    </row>
    <row r="82" spans="1:10">
      <c r="A82" s="42">
        <v>45589</v>
      </c>
      <c r="B82" s="38" t="s">
        <v>1354</v>
      </c>
      <c r="C82" s="38" t="s">
        <v>725</v>
      </c>
      <c r="D82" s="39" t="s">
        <v>718</v>
      </c>
      <c r="E82" s="38" t="s">
        <v>356</v>
      </c>
      <c r="F82" s="38">
        <v>39000</v>
      </c>
      <c r="G82" s="40" t="s">
        <v>733</v>
      </c>
      <c r="H82" s="38" t="s">
        <v>721</v>
      </c>
      <c r="I82" s="38" t="s">
        <v>722</v>
      </c>
      <c r="J82" s="38" t="s">
        <v>1355</v>
      </c>
    </row>
    <row r="83" spans="1:10">
      <c r="A83" s="42">
        <v>45590</v>
      </c>
      <c r="B83" s="38" t="s">
        <v>1356</v>
      </c>
      <c r="C83" s="38" t="s">
        <v>725</v>
      </c>
      <c r="D83" s="39" t="s">
        <v>718</v>
      </c>
      <c r="E83" s="38" t="s">
        <v>292</v>
      </c>
      <c r="F83" s="38">
        <v>27000</v>
      </c>
      <c r="G83" s="38" t="s">
        <v>738</v>
      </c>
      <c r="H83" s="38" t="s">
        <v>721</v>
      </c>
      <c r="I83" s="38" t="s">
        <v>722</v>
      </c>
      <c r="J83" s="38" t="s">
        <v>1357</v>
      </c>
    </row>
    <row r="84" spans="1:10">
      <c r="A84" s="42">
        <v>45590</v>
      </c>
      <c r="B84" s="38" t="s">
        <v>1358</v>
      </c>
      <c r="C84" s="38" t="s">
        <v>725</v>
      </c>
      <c r="D84" s="39" t="s">
        <v>718</v>
      </c>
      <c r="E84" s="38" t="s">
        <v>609</v>
      </c>
      <c r="F84" s="38">
        <v>38500</v>
      </c>
      <c r="G84" s="38" t="s">
        <v>738</v>
      </c>
      <c r="H84" s="38" t="s">
        <v>721</v>
      </c>
      <c r="I84" s="38" t="s">
        <v>722</v>
      </c>
      <c r="J84" s="38" t="s">
        <v>1359</v>
      </c>
    </row>
    <row r="85" spans="1:10">
      <c r="A85" s="42">
        <v>45590</v>
      </c>
      <c r="B85" s="38" t="s">
        <v>1360</v>
      </c>
      <c r="C85" s="38" t="s">
        <v>769</v>
      </c>
      <c r="D85" s="39" t="s">
        <v>718</v>
      </c>
      <c r="E85" s="38" t="s">
        <v>891</v>
      </c>
      <c r="F85" s="38">
        <v>37300</v>
      </c>
      <c r="G85" s="38" t="s">
        <v>738</v>
      </c>
      <c r="H85" s="38" t="s">
        <v>721</v>
      </c>
      <c r="I85" s="38" t="s">
        <v>722</v>
      </c>
      <c r="J85" s="38" t="s">
        <v>1361</v>
      </c>
    </row>
    <row r="86" spans="1:10">
      <c r="A86" s="42">
        <v>45590</v>
      </c>
      <c r="B86" s="38" t="s">
        <v>1362</v>
      </c>
      <c r="C86" s="38" t="s">
        <v>725</v>
      </c>
      <c r="D86" s="39" t="s">
        <v>718</v>
      </c>
      <c r="E86" s="38" t="s">
        <v>990</v>
      </c>
      <c r="F86" s="38">
        <v>15000</v>
      </c>
      <c r="G86" s="38" t="s">
        <v>738</v>
      </c>
      <c r="H86" s="38" t="s">
        <v>721</v>
      </c>
      <c r="I86" s="38" t="s">
        <v>722</v>
      </c>
      <c r="J86" s="38" t="s">
        <v>1363</v>
      </c>
    </row>
    <row r="87" spans="1:10">
      <c r="A87" s="42">
        <v>45590</v>
      </c>
      <c r="B87" s="38" t="s">
        <v>1364</v>
      </c>
      <c r="C87" s="38" t="s">
        <v>732</v>
      </c>
      <c r="D87" s="39" t="s">
        <v>718</v>
      </c>
      <c r="E87" s="38" t="s">
        <v>1365</v>
      </c>
      <c r="F87" s="38">
        <v>193000</v>
      </c>
      <c r="G87" s="38" t="s">
        <v>738</v>
      </c>
      <c r="H87" s="38" t="s">
        <v>721</v>
      </c>
      <c r="I87" s="38" t="s">
        <v>722</v>
      </c>
      <c r="J87" s="38" t="s">
        <v>1366</v>
      </c>
    </row>
    <row r="88" spans="1:10">
      <c r="A88" s="42">
        <v>45590</v>
      </c>
      <c r="B88" s="38" t="s">
        <v>1367</v>
      </c>
      <c r="C88" s="38" t="s">
        <v>743</v>
      </c>
      <c r="D88" s="39" t="s">
        <v>718</v>
      </c>
      <c r="E88" s="38" t="s">
        <v>684</v>
      </c>
      <c r="F88" s="38">
        <v>53500</v>
      </c>
      <c r="G88" s="38" t="s">
        <v>738</v>
      </c>
      <c r="H88" s="38" t="s">
        <v>721</v>
      </c>
      <c r="I88" s="38" t="s">
        <v>722</v>
      </c>
      <c r="J88" s="38" t="s">
        <v>1368</v>
      </c>
    </row>
    <row r="89" spans="1:10">
      <c r="A89" s="42">
        <v>45590</v>
      </c>
      <c r="B89" s="38" t="s">
        <v>1369</v>
      </c>
      <c r="C89" s="38" t="s">
        <v>755</v>
      </c>
      <c r="D89" s="39" t="s">
        <v>718</v>
      </c>
      <c r="E89" s="38" t="s">
        <v>943</v>
      </c>
      <c r="F89" s="38">
        <v>100000</v>
      </c>
      <c r="G89" s="38" t="s">
        <v>738</v>
      </c>
      <c r="H89" s="38" t="s">
        <v>721</v>
      </c>
      <c r="I89" s="38" t="s">
        <v>722</v>
      </c>
      <c r="J89" s="38" t="s">
        <v>1370</v>
      </c>
    </row>
    <row r="90" spans="1:10">
      <c r="A90" s="42">
        <v>45590</v>
      </c>
      <c r="B90" s="38" t="s">
        <v>1371</v>
      </c>
      <c r="C90" s="38" t="s">
        <v>725</v>
      </c>
      <c r="D90" s="39" t="s">
        <v>718</v>
      </c>
      <c r="E90" s="38" t="s">
        <v>441</v>
      </c>
      <c r="F90" s="38">
        <v>34000</v>
      </c>
      <c r="G90" s="38" t="s">
        <v>738</v>
      </c>
      <c r="H90" s="38" t="s">
        <v>721</v>
      </c>
      <c r="I90" s="38" t="s">
        <v>722</v>
      </c>
      <c r="J90" s="38" t="s">
        <v>1372</v>
      </c>
    </row>
    <row r="91" spans="1:10">
      <c r="A91" s="42">
        <v>45590</v>
      </c>
      <c r="B91" s="38" t="s">
        <v>1373</v>
      </c>
      <c r="C91" s="38" t="s">
        <v>725</v>
      </c>
      <c r="D91" s="39" t="s">
        <v>718</v>
      </c>
      <c r="E91" s="38" t="s">
        <v>292</v>
      </c>
      <c r="F91" s="38">
        <v>81000</v>
      </c>
      <c r="G91" s="38" t="s">
        <v>738</v>
      </c>
      <c r="H91" s="38" t="s">
        <v>721</v>
      </c>
      <c r="I91" s="38" t="s">
        <v>722</v>
      </c>
      <c r="J91" s="38" t="s">
        <v>1374</v>
      </c>
    </row>
    <row r="92" spans="1:10">
      <c r="A92" s="42">
        <v>45590</v>
      </c>
      <c r="B92" s="38" t="s">
        <v>1375</v>
      </c>
      <c r="C92" s="38" t="s">
        <v>725</v>
      </c>
      <c r="D92" s="39" t="s">
        <v>718</v>
      </c>
      <c r="E92" s="38" t="s">
        <v>292</v>
      </c>
      <c r="F92" s="38">
        <v>20000</v>
      </c>
      <c r="G92" s="40" t="s">
        <v>733</v>
      </c>
      <c r="H92" s="38" t="s">
        <v>721</v>
      </c>
      <c r="I92" s="38" t="s">
        <v>722</v>
      </c>
      <c r="J92" s="38" t="s">
        <v>1376</v>
      </c>
    </row>
    <row r="93" spans="1:10">
      <c r="A93" s="42">
        <v>45590</v>
      </c>
      <c r="B93" s="38" t="s">
        <v>1377</v>
      </c>
      <c r="C93" s="38" t="s">
        <v>736</v>
      </c>
      <c r="D93" s="39" t="s">
        <v>718</v>
      </c>
      <c r="E93" s="38" t="s">
        <v>224</v>
      </c>
      <c r="F93" s="38">
        <v>23800</v>
      </c>
      <c r="G93" s="38" t="s">
        <v>738</v>
      </c>
      <c r="H93" s="38" t="s">
        <v>721</v>
      </c>
      <c r="I93" s="38" t="s">
        <v>722</v>
      </c>
      <c r="J93" s="38" t="s">
        <v>1378</v>
      </c>
    </row>
    <row r="94" spans="1:10">
      <c r="A94" s="42">
        <v>45590</v>
      </c>
      <c r="B94" s="38" t="s">
        <v>1379</v>
      </c>
      <c r="C94" s="38" t="s">
        <v>769</v>
      </c>
      <c r="D94" s="39" t="s">
        <v>718</v>
      </c>
      <c r="E94" s="38" t="s">
        <v>1380</v>
      </c>
      <c r="F94" s="38">
        <v>20600</v>
      </c>
      <c r="G94" s="38" t="s">
        <v>738</v>
      </c>
      <c r="H94" s="38" t="s">
        <v>721</v>
      </c>
      <c r="I94" s="38" t="s">
        <v>722</v>
      </c>
      <c r="J94" s="38" t="s">
        <v>1381</v>
      </c>
    </row>
    <row r="95" spans="1:10">
      <c r="A95" s="42">
        <v>45590</v>
      </c>
      <c r="B95" s="38" t="s">
        <v>1382</v>
      </c>
      <c r="C95" s="38" t="s">
        <v>725</v>
      </c>
      <c r="D95" s="39" t="s">
        <v>718</v>
      </c>
      <c r="E95" s="38" t="s">
        <v>800</v>
      </c>
      <c r="F95" s="38">
        <v>65500</v>
      </c>
      <c r="G95" s="38" t="s">
        <v>738</v>
      </c>
      <c r="H95" s="38" t="s">
        <v>721</v>
      </c>
      <c r="I95" s="38" t="s">
        <v>722</v>
      </c>
      <c r="J95" s="38" t="s">
        <v>1383</v>
      </c>
    </row>
    <row r="96" spans="1:10">
      <c r="A96" s="42">
        <v>45591</v>
      </c>
      <c r="B96" s="38" t="s">
        <v>1384</v>
      </c>
      <c r="C96" s="38" t="s">
        <v>732</v>
      </c>
      <c r="D96" s="39" t="s">
        <v>718</v>
      </c>
      <c r="E96" s="38" t="s">
        <v>694</v>
      </c>
      <c r="F96" s="38">
        <v>20600</v>
      </c>
      <c r="G96" s="38" t="s">
        <v>720</v>
      </c>
      <c r="H96" s="38" t="s">
        <v>721</v>
      </c>
      <c r="I96" s="38" t="s">
        <v>722</v>
      </c>
      <c r="J96" s="38" t="s">
        <v>1385</v>
      </c>
    </row>
    <row r="97" spans="1:10">
      <c r="A97" s="42">
        <v>45591</v>
      </c>
      <c r="B97" s="38" t="s">
        <v>1386</v>
      </c>
      <c r="C97" s="38" t="s">
        <v>732</v>
      </c>
      <c r="D97" s="39" t="s">
        <v>718</v>
      </c>
      <c r="E97" s="38" t="s">
        <v>526</v>
      </c>
      <c r="F97" s="38">
        <v>15000</v>
      </c>
      <c r="G97" s="38" t="s">
        <v>738</v>
      </c>
      <c r="H97" s="38" t="s">
        <v>721</v>
      </c>
      <c r="I97" s="38" t="s">
        <v>722</v>
      </c>
      <c r="J97" s="38" t="s">
        <v>1387</v>
      </c>
    </row>
    <row r="98" spans="1:10">
      <c r="A98" s="42">
        <v>45592</v>
      </c>
      <c r="B98" s="38" t="s">
        <v>1388</v>
      </c>
      <c r="C98" s="38" t="s">
        <v>769</v>
      </c>
      <c r="D98" s="39" t="s">
        <v>718</v>
      </c>
      <c r="E98" s="38" t="s">
        <v>1389</v>
      </c>
      <c r="F98" s="38">
        <v>51000</v>
      </c>
      <c r="G98" s="38" t="s">
        <v>1006</v>
      </c>
      <c r="H98" s="38" t="s">
        <v>721</v>
      </c>
      <c r="I98" s="38" t="s">
        <v>722</v>
      </c>
      <c r="J98" s="38" t="s">
        <v>1390</v>
      </c>
    </row>
    <row r="99" spans="1:10">
      <c r="A99" s="42">
        <v>45592</v>
      </c>
      <c r="B99" s="38" t="s">
        <v>1391</v>
      </c>
      <c r="C99" s="38" t="s">
        <v>773</v>
      </c>
      <c r="D99" s="39" t="s">
        <v>718</v>
      </c>
      <c r="E99" s="38" t="s">
        <v>1392</v>
      </c>
      <c r="F99" s="38">
        <v>78500</v>
      </c>
      <c r="G99" s="40" t="s">
        <v>733</v>
      </c>
      <c r="H99" s="38" t="s">
        <v>757</v>
      </c>
      <c r="I99" s="38" t="s">
        <v>722</v>
      </c>
      <c r="J99" s="38" t="s">
        <v>1393</v>
      </c>
    </row>
    <row r="100" spans="1:10">
      <c r="A100" s="42">
        <v>45594</v>
      </c>
      <c r="B100" s="38" t="s">
        <v>1394</v>
      </c>
      <c r="C100" s="38" t="s">
        <v>725</v>
      </c>
      <c r="D100" s="39" t="s">
        <v>718</v>
      </c>
      <c r="E100" s="38" t="s">
        <v>800</v>
      </c>
      <c r="F100" s="38">
        <v>16000</v>
      </c>
      <c r="G100" s="40" t="s">
        <v>733</v>
      </c>
      <c r="H100" s="38" t="s">
        <v>721</v>
      </c>
      <c r="I100" s="38" t="s">
        <v>722</v>
      </c>
      <c r="J100" s="38" t="s">
        <v>1395</v>
      </c>
    </row>
    <row r="101" spans="1:10">
      <c r="A101" s="42">
        <v>45595</v>
      </c>
      <c r="B101" s="38" t="s">
        <v>1396</v>
      </c>
      <c r="C101" s="38" t="s">
        <v>732</v>
      </c>
      <c r="D101" s="39" t="s">
        <v>718</v>
      </c>
      <c r="E101" s="38" t="s">
        <v>694</v>
      </c>
      <c r="F101" s="38">
        <v>70000</v>
      </c>
      <c r="G101" s="40" t="s">
        <v>733</v>
      </c>
      <c r="H101" s="38" t="s">
        <v>757</v>
      </c>
      <c r="I101" s="38" t="s">
        <v>722</v>
      </c>
      <c r="J101" s="38" t="s">
        <v>1397</v>
      </c>
    </row>
    <row r="102" spans="1:10">
      <c r="A102" s="42">
        <v>45595</v>
      </c>
      <c r="B102" s="38" t="s">
        <v>1398</v>
      </c>
      <c r="C102" s="38" t="s">
        <v>781</v>
      </c>
      <c r="D102" s="39" t="s">
        <v>718</v>
      </c>
      <c r="E102" s="38" t="s">
        <v>1399</v>
      </c>
      <c r="F102" s="38">
        <v>22000</v>
      </c>
      <c r="G102" s="40" t="s">
        <v>733</v>
      </c>
      <c r="H102" s="38" t="s">
        <v>721</v>
      </c>
      <c r="I102" s="38" t="s">
        <v>722</v>
      </c>
      <c r="J102" s="38" t="s">
        <v>1400</v>
      </c>
    </row>
    <row r="103" spans="1:10">
      <c r="A103" s="42">
        <v>45596</v>
      </c>
      <c r="B103" s="38" t="s">
        <v>1401</v>
      </c>
      <c r="C103" s="38" t="s">
        <v>773</v>
      </c>
      <c r="D103" s="39" t="s">
        <v>718</v>
      </c>
      <c r="E103" s="38" t="s">
        <v>1392</v>
      </c>
      <c r="F103" s="38">
        <v>39000</v>
      </c>
      <c r="G103" s="38" t="s">
        <v>770</v>
      </c>
      <c r="H103" s="38" t="s">
        <v>721</v>
      </c>
      <c r="I103" s="38" t="s">
        <v>722</v>
      </c>
      <c r="J103" s="38" t="s">
        <v>1402</v>
      </c>
    </row>
    <row r="104" spans="1:10">
      <c r="J104" s="38"/>
    </row>
    <row r="105" spans="1:10">
      <c r="J105" s="38"/>
    </row>
    <row r="106" spans="1:10">
      <c r="J106" s="38"/>
    </row>
    <row r="107" spans="1:10">
      <c r="J107" s="38"/>
    </row>
    <row r="108" spans="1:10">
      <c r="J108" s="38"/>
    </row>
    <row r="109" spans="1:10">
      <c r="J109" s="38"/>
    </row>
    <row r="110" spans="1:10">
      <c r="J110" s="38"/>
    </row>
    <row r="111" spans="1:10">
      <c r="J111" s="38"/>
    </row>
    <row r="112" spans="1:10">
      <c r="J112" s="38"/>
    </row>
    <row r="113" spans="10:10">
      <c r="J113" s="38"/>
    </row>
    <row r="114" spans="10:10">
      <c r="J114" s="38"/>
    </row>
    <row r="115" spans="10:10">
      <c r="J115" s="38"/>
    </row>
    <row r="116" spans="10:10">
      <c r="J116" s="38"/>
    </row>
    <row r="117" spans="10:10">
      <c r="J117" s="38"/>
    </row>
    <row r="118" spans="10:10">
      <c r="J118" s="38"/>
    </row>
    <row r="119" spans="10:10">
      <c r="J119" s="38"/>
    </row>
    <row r="120" spans="10:10">
      <c r="J120" s="38"/>
    </row>
    <row r="121" spans="10:10">
      <c r="J121" s="38"/>
    </row>
    <row r="122" spans="10:10">
      <c r="J122" s="38"/>
    </row>
    <row r="123" spans="10:10">
      <c r="J123" s="38"/>
    </row>
    <row r="124" spans="10:10">
      <c r="J124" s="38"/>
    </row>
    <row r="125" spans="10:10">
      <c r="J125" s="38"/>
    </row>
    <row r="126" spans="10:10">
      <c r="J126" s="38"/>
    </row>
    <row r="127" spans="10:10">
      <c r="J127" s="38"/>
    </row>
    <row r="128" spans="10:10">
      <c r="J128" s="38"/>
    </row>
    <row r="129" spans="10:10">
      <c r="J129" s="38"/>
    </row>
    <row r="130" spans="10:10">
      <c r="J130" s="38"/>
    </row>
    <row r="131" spans="10:10">
      <c r="J131" s="38"/>
    </row>
    <row r="132" spans="10:10">
      <c r="J132" s="38"/>
    </row>
    <row r="133" spans="10:10">
      <c r="J133" s="38"/>
    </row>
    <row r="134" spans="10:10">
      <c r="J134" s="38"/>
    </row>
    <row r="135" spans="10:10">
      <c r="J135" s="38"/>
    </row>
    <row r="136" spans="10:10">
      <c r="J136" s="38"/>
    </row>
    <row r="137" spans="10:10">
      <c r="J137" s="38"/>
    </row>
    <row r="138" spans="10:10">
      <c r="J138" s="38"/>
    </row>
    <row r="139" spans="10:10">
      <c r="J139" s="38"/>
    </row>
    <row r="140" spans="10:10">
      <c r="J140" s="38"/>
    </row>
    <row r="141" spans="10:10">
      <c r="J141" s="38"/>
    </row>
    <row r="142" spans="10:10">
      <c r="J142" s="38"/>
    </row>
    <row r="143" spans="10:10">
      <c r="J143" s="38"/>
    </row>
    <row r="144" spans="10:10">
      <c r="J144" s="38"/>
    </row>
    <row r="145" spans="10:10">
      <c r="J145" s="38"/>
    </row>
    <row r="146" spans="10:10">
      <c r="J146" s="38"/>
    </row>
    <row r="147" spans="10:10">
      <c r="J147" s="38"/>
    </row>
    <row r="148" spans="10:10">
      <c r="J148" s="38"/>
    </row>
    <row r="149" spans="10:10">
      <c r="J149" s="38"/>
    </row>
    <row r="150" spans="10:10">
      <c r="J150" s="38"/>
    </row>
    <row r="151" spans="10:10">
      <c r="J151" s="38"/>
    </row>
    <row r="152" spans="10:10">
      <c r="J152" s="38"/>
    </row>
    <row r="153" spans="10:10">
      <c r="J153" s="38"/>
    </row>
    <row r="154" spans="10:10">
      <c r="J154" s="38"/>
    </row>
    <row r="155" spans="10:10">
      <c r="J155" s="38"/>
    </row>
    <row r="156" spans="10:10">
      <c r="J156" s="38"/>
    </row>
    <row r="157" spans="10:10">
      <c r="J157" s="38"/>
    </row>
    <row r="158" spans="10:10">
      <c r="J158" s="38"/>
    </row>
    <row r="159" spans="10:10">
      <c r="J159" s="38"/>
    </row>
    <row r="160" spans="10:10">
      <c r="J160" s="38"/>
    </row>
    <row r="161" spans="10:10">
      <c r="J161" s="38"/>
    </row>
    <row r="162" spans="10:10">
      <c r="J162" s="38"/>
    </row>
    <row r="163" spans="10:10">
      <c r="J163" s="38"/>
    </row>
    <row r="164" spans="10:10">
      <c r="J164" s="38"/>
    </row>
    <row r="165" spans="10:10">
      <c r="J165" s="38"/>
    </row>
    <row r="166" spans="10:10">
      <c r="J166" s="38"/>
    </row>
    <row r="167" spans="10:10">
      <c r="J167" s="38"/>
    </row>
    <row r="168" spans="10:10">
      <c r="J168" s="38"/>
    </row>
    <row r="169" spans="10:10">
      <c r="J169" s="38"/>
    </row>
    <row r="170" spans="10:10">
      <c r="J170" s="38"/>
    </row>
    <row r="171" spans="10:10">
      <c r="J171" s="38"/>
    </row>
    <row r="172" spans="10:10">
      <c r="J172" s="38"/>
    </row>
    <row r="173" spans="10:10">
      <c r="J173" s="38"/>
    </row>
    <row r="174" spans="10:10">
      <c r="J174" s="38"/>
    </row>
    <row r="175" spans="10:10">
      <c r="J175" s="38"/>
    </row>
    <row r="176" spans="10:10">
      <c r="J176" s="38"/>
    </row>
    <row r="177" spans="10:10">
      <c r="J177" s="38"/>
    </row>
    <row r="178" spans="10:10">
      <c r="J178" s="38"/>
    </row>
    <row r="179" spans="10:10">
      <c r="J179" s="38"/>
    </row>
    <row r="180" spans="10:10">
      <c r="J180" s="38"/>
    </row>
    <row r="181" spans="10:10">
      <c r="J181" s="38"/>
    </row>
    <row r="182" spans="10:10">
      <c r="J182" s="38"/>
    </row>
    <row r="183" spans="10:10">
      <c r="J183" s="38"/>
    </row>
    <row r="184" spans="10:10">
      <c r="J184" s="38"/>
    </row>
    <row r="185" spans="10:10">
      <c r="J185" s="38"/>
    </row>
    <row r="186" spans="10:10">
      <c r="J186" s="38"/>
    </row>
    <row r="187" spans="10:10">
      <c r="J187" s="38"/>
    </row>
    <row r="188" spans="10:10">
      <c r="J188" s="38"/>
    </row>
    <row r="189" spans="10:10">
      <c r="J189" s="38"/>
    </row>
    <row r="190" spans="10:10">
      <c r="J190" s="38"/>
    </row>
    <row r="191" spans="10:10">
      <c r="J191" s="38"/>
    </row>
    <row r="192" spans="10:10">
      <c r="J192" s="38"/>
    </row>
    <row r="193" spans="10:10">
      <c r="J193" s="38"/>
    </row>
    <row r="194" spans="10:10">
      <c r="J194" s="38"/>
    </row>
    <row r="195" spans="10:10">
      <c r="J195" s="38"/>
    </row>
    <row r="196" spans="10:10">
      <c r="J196" s="38"/>
    </row>
    <row r="197" spans="10:10">
      <c r="J197" s="38"/>
    </row>
    <row r="198" spans="10:10">
      <c r="J198" s="38"/>
    </row>
    <row r="199" spans="10:10">
      <c r="J199" s="38"/>
    </row>
    <row r="200" spans="10:10">
      <c r="J200" s="38"/>
    </row>
    <row r="201" spans="10:10">
      <c r="J201" s="38"/>
    </row>
    <row r="202" spans="10:10">
      <c r="J202" s="38"/>
    </row>
    <row r="203" spans="10:10">
      <c r="J203" s="38"/>
    </row>
    <row r="204" spans="10:10">
      <c r="J204" s="38"/>
    </row>
    <row r="205" spans="10:10">
      <c r="J205" s="38"/>
    </row>
    <row r="206" spans="10:10">
      <c r="J206" s="38"/>
    </row>
    <row r="207" spans="10:10">
      <c r="J207" s="38"/>
    </row>
    <row r="208" spans="10:10">
      <c r="J208" s="38"/>
    </row>
    <row r="209" spans="10:10">
      <c r="J209" s="38"/>
    </row>
    <row r="210" spans="10:10">
      <c r="J210" s="38"/>
    </row>
    <row r="211" spans="10:10">
      <c r="J211" s="38"/>
    </row>
    <row r="212" spans="10:10">
      <c r="J212" s="38"/>
    </row>
    <row r="213" spans="10:10">
      <c r="J213" s="38"/>
    </row>
    <row r="214" spans="10:10">
      <c r="J214" s="38"/>
    </row>
    <row r="215" spans="10:10">
      <c r="J215" s="38"/>
    </row>
    <row r="216" spans="10:10">
      <c r="J216" s="38"/>
    </row>
    <row r="217" spans="10:10">
      <c r="J217" s="38"/>
    </row>
    <row r="218" spans="10:10">
      <c r="J218" s="38"/>
    </row>
    <row r="219" spans="10:10">
      <c r="J219" s="38"/>
    </row>
    <row r="220" spans="10:10">
      <c r="J220" s="38"/>
    </row>
    <row r="221" spans="10:10">
      <c r="J221" s="38"/>
    </row>
    <row r="222" spans="10:10">
      <c r="J222" s="38"/>
    </row>
    <row r="223" spans="10:10">
      <c r="J223" s="38"/>
    </row>
    <row r="224" spans="10:10">
      <c r="J224" s="38"/>
    </row>
    <row r="225" spans="10:10">
      <c r="J225" s="38"/>
    </row>
    <row r="226" spans="10:10">
      <c r="J226" s="38"/>
    </row>
    <row r="227" spans="10:10">
      <c r="J227" s="38"/>
    </row>
    <row r="228" spans="10:10">
      <c r="J228" s="38"/>
    </row>
    <row r="229" spans="10:10">
      <c r="J229" s="38"/>
    </row>
    <row r="230" spans="10:10">
      <c r="J230" s="38"/>
    </row>
    <row r="231" spans="10:10">
      <c r="J231" s="38"/>
    </row>
    <row r="232" spans="10:10">
      <c r="J232" s="38"/>
    </row>
    <row r="233" spans="10:10">
      <c r="J233" s="38"/>
    </row>
    <row r="234" spans="10:10">
      <c r="J234" s="38"/>
    </row>
    <row r="235" spans="10:10">
      <c r="J235" s="38"/>
    </row>
    <row r="236" spans="10:10">
      <c r="J236" s="38"/>
    </row>
    <row r="237" spans="10:10">
      <c r="J237" s="38"/>
    </row>
    <row r="238" spans="10:10">
      <c r="J238" s="38"/>
    </row>
    <row r="239" spans="10:10">
      <c r="J239" s="38"/>
    </row>
    <row r="240" spans="10:10">
      <c r="J240" s="38"/>
    </row>
    <row r="241" spans="10:10">
      <c r="J241" s="38"/>
    </row>
    <row r="242" spans="10:10">
      <c r="J242" s="38"/>
    </row>
    <row r="243" spans="10:10">
      <c r="J243" s="38"/>
    </row>
    <row r="244" spans="10:10">
      <c r="J244" s="38"/>
    </row>
    <row r="245" spans="10:10">
      <c r="J245" s="38"/>
    </row>
    <row r="246" spans="10:10">
      <c r="J246" s="38"/>
    </row>
    <row r="247" spans="10:10">
      <c r="J247" s="38"/>
    </row>
    <row r="248" spans="10:10">
      <c r="J248" s="38"/>
    </row>
    <row r="249" spans="10:10">
      <c r="J249" s="38"/>
    </row>
    <row r="250" spans="10:10">
      <c r="J250" s="38"/>
    </row>
    <row r="251" spans="10:10">
      <c r="J251" s="38"/>
    </row>
    <row r="252" spans="10:10">
      <c r="J252" s="38"/>
    </row>
    <row r="253" spans="10:10">
      <c r="J253" s="38"/>
    </row>
    <row r="254" spans="10:10">
      <c r="J254" s="38"/>
    </row>
    <row r="255" spans="10:10">
      <c r="J255" s="38"/>
    </row>
    <row r="256" spans="10:10">
      <c r="J256" s="38"/>
    </row>
    <row r="257" spans="10:10">
      <c r="J257" s="38"/>
    </row>
    <row r="258" spans="10:10">
      <c r="J258" s="38"/>
    </row>
    <row r="259" spans="10:10">
      <c r="J259" s="38"/>
    </row>
    <row r="260" spans="10:10">
      <c r="J260" s="38"/>
    </row>
    <row r="261" spans="10:10">
      <c r="J261" s="38"/>
    </row>
    <row r="262" spans="10:10">
      <c r="J262" s="38"/>
    </row>
    <row r="263" spans="10:10">
      <c r="J263" s="38"/>
    </row>
    <row r="264" spans="10:10">
      <c r="J264" s="38"/>
    </row>
    <row r="265" spans="10:10">
      <c r="J265" s="38"/>
    </row>
    <row r="266" spans="10:10">
      <c r="J266" s="38"/>
    </row>
    <row r="267" spans="10:10">
      <c r="J267" s="38"/>
    </row>
    <row r="268" spans="10:10">
      <c r="J268" s="38"/>
    </row>
    <row r="269" spans="10:10">
      <c r="J269" s="38"/>
    </row>
    <row r="270" spans="10:10">
      <c r="J270" s="38"/>
    </row>
    <row r="271" spans="10:10">
      <c r="J271" s="38"/>
    </row>
    <row r="272" spans="10:10">
      <c r="J272" s="38"/>
    </row>
    <row r="273" spans="10:10">
      <c r="J273" s="38"/>
    </row>
    <row r="274" spans="10:10">
      <c r="J274" s="38"/>
    </row>
    <row r="275" spans="10:10">
      <c r="J275" s="38"/>
    </row>
    <row r="276" spans="10:10">
      <c r="J276" s="38"/>
    </row>
    <row r="277" spans="10:10">
      <c r="J277" s="38"/>
    </row>
    <row r="278" spans="10:10">
      <c r="J278" s="38"/>
    </row>
    <row r="279" spans="10:10">
      <c r="J279" s="38"/>
    </row>
    <row r="280" spans="10:10">
      <c r="J280" s="38"/>
    </row>
    <row r="281" spans="10:10">
      <c r="J281" s="38"/>
    </row>
    <row r="282" spans="10:10">
      <c r="J282" s="38"/>
    </row>
    <row r="283" spans="10:10">
      <c r="J283" s="38"/>
    </row>
    <row r="284" spans="10:10">
      <c r="J284" s="38"/>
    </row>
    <row r="285" spans="10:10">
      <c r="J285" s="38"/>
    </row>
    <row r="286" spans="10:10">
      <c r="J286" s="38"/>
    </row>
    <row r="287" spans="10:10">
      <c r="J287" s="38"/>
    </row>
    <row r="288" spans="10:10">
      <c r="J288" s="38"/>
    </row>
    <row r="289" spans="10:10">
      <c r="J289" s="38"/>
    </row>
    <row r="290" spans="10:10">
      <c r="J290" s="38"/>
    </row>
    <row r="291" spans="10:10">
      <c r="J291" s="38"/>
    </row>
    <row r="292" spans="10:10">
      <c r="J292" s="38"/>
    </row>
    <row r="293" spans="10:10">
      <c r="J293" s="38"/>
    </row>
    <row r="294" spans="10:10">
      <c r="J294" s="38"/>
    </row>
    <row r="295" spans="10:10">
      <c r="J295" s="38"/>
    </row>
    <row r="296" spans="10:10">
      <c r="J296" s="38"/>
    </row>
    <row r="297" spans="10:10">
      <c r="J297" s="38"/>
    </row>
    <row r="298" spans="10:10">
      <c r="J298" s="38"/>
    </row>
    <row r="299" spans="10:10">
      <c r="J299" s="38"/>
    </row>
    <row r="300" spans="10:10">
      <c r="J300" s="38"/>
    </row>
    <row r="301" spans="10:10">
      <c r="J301" s="38"/>
    </row>
    <row r="302" spans="10:10">
      <c r="J302" s="38"/>
    </row>
    <row r="303" spans="10:10">
      <c r="J303" s="38"/>
    </row>
    <row r="304" spans="10:10">
      <c r="J304" s="38"/>
    </row>
    <row r="305" spans="10:10">
      <c r="J305" s="38"/>
    </row>
    <row r="306" spans="10:10">
      <c r="J306" s="38"/>
    </row>
    <row r="307" spans="10:10">
      <c r="J307" s="38"/>
    </row>
    <row r="308" spans="10:10">
      <c r="J308" s="38"/>
    </row>
    <row r="309" spans="10:10">
      <c r="J309" s="38"/>
    </row>
    <row r="310" spans="10:10">
      <c r="J310" s="38"/>
    </row>
    <row r="311" spans="10:10">
      <c r="J311" s="38"/>
    </row>
    <row r="312" spans="10:10">
      <c r="J312" s="38"/>
    </row>
    <row r="313" spans="10:10">
      <c r="J313" s="38"/>
    </row>
    <row r="314" spans="10:10">
      <c r="J314" s="38"/>
    </row>
    <row r="315" spans="10:10">
      <c r="J315" s="38"/>
    </row>
    <row r="316" spans="10:10">
      <c r="J316" s="38"/>
    </row>
    <row r="317" spans="10:10">
      <c r="J317" s="38"/>
    </row>
    <row r="318" spans="10:10">
      <c r="J318" s="38"/>
    </row>
    <row r="319" spans="10:10">
      <c r="J319" s="38"/>
    </row>
    <row r="320" spans="10:10">
      <c r="J320" s="38"/>
    </row>
    <row r="321" spans="10:10">
      <c r="J321" s="38"/>
    </row>
    <row r="322" spans="10:10">
      <c r="J322" s="38"/>
    </row>
    <row r="323" spans="10:10">
      <c r="J323" s="38"/>
    </row>
    <row r="324" spans="10:10">
      <c r="J324" s="38"/>
    </row>
    <row r="325" spans="10:10">
      <c r="J325" s="38"/>
    </row>
    <row r="326" spans="10:10">
      <c r="J326" s="38"/>
    </row>
    <row r="327" spans="10:10">
      <c r="J327" s="38"/>
    </row>
    <row r="328" spans="10:10">
      <c r="J328" s="38"/>
    </row>
    <row r="329" spans="10:10">
      <c r="J329" s="38"/>
    </row>
    <row r="330" spans="10:10">
      <c r="J330" s="38"/>
    </row>
    <row r="331" spans="10:10">
      <c r="J331" s="38"/>
    </row>
    <row r="332" spans="10:10">
      <c r="J332" s="38"/>
    </row>
    <row r="333" spans="10:10">
      <c r="J333" s="38"/>
    </row>
    <row r="334" spans="10:10">
      <c r="J334" s="38"/>
    </row>
    <row r="335" spans="10:10">
      <c r="J335" s="38"/>
    </row>
    <row r="336" spans="10:10">
      <c r="J336" s="38"/>
    </row>
    <row r="337" spans="10:10">
      <c r="J337" s="38"/>
    </row>
    <row r="338" spans="10:10">
      <c r="J338" s="38"/>
    </row>
    <row r="339" spans="10:10">
      <c r="J339" s="38"/>
    </row>
    <row r="340" spans="10:10">
      <c r="J340" s="38"/>
    </row>
    <row r="341" spans="10:10">
      <c r="J341" s="38"/>
    </row>
    <row r="342" spans="10:10">
      <c r="J342" s="38"/>
    </row>
    <row r="343" spans="10:10">
      <c r="J343" s="38"/>
    </row>
    <row r="344" spans="10:10">
      <c r="J344" s="38"/>
    </row>
    <row r="345" spans="10:10">
      <c r="J345" s="38"/>
    </row>
    <row r="346" spans="10:10">
      <c r="J346" s="38"/>
    </row>
    <row r="347" spans="10:10">
      <c r="J347" s="38"/>
    </row>
    <row r="348" spans="10:10">
      <c r="J348" s="38"/>
    </row>
    <row r="349" spans="10:10">
      <c r="J349" s="38"/>
    </row>
    <row r="350" spans="10:10">
      <c r="J350" s="38"/>
    </row>
    <row r="351" spans="10:10">
      <c r="J351" s="38"/>
    </row>
    <row r="352" spans="10:10">
      <c r="J352" s="38"/>
    </row>
    <row r="353" spans="10:10">
      <c r="J353" s="38"/>
    </row>
    <row r="354" spans="10:10">
      <c r="J354" s="38"/>
    </row>
    <row r="355" spans="10:10">
      <c r="J355" s="38"/>
    </row>
    <row r="356" spans="10:10">
      <c r="J356" s="38"/>
    </row>
    <row r="357" spans="10:10">
      <c r="J357" s="38"/>
    </row>
    <row r="358" spans="10:10">
      <c r="J358" s="38"/>
    </row>
    <row r="359" spans="10:10">
      <c r="J359" s="38"/>
    </row>
    <row r="360" spans="10:10">
      <c r="J360" s="38"/>
    </row>
    <row r="361" spans="10:10">
      <c r="J361" s="38"/>
    </row>
    <row r="362" spans="10:10">
      <c r="J362" s="38"/>
    </row>
    <row r="363" spans="10:10">
      <c r="J363" s="38"/>
    </row>
    <row r="364" spans="10:10">
      <c r="J364" s="38"/>
    </row>
    <row r="365" spans="10:10">
      <c r="J365" s="38"/>
    </row>
    <row r="366" spans="10:10">
      <c r="J366" s="38"/>
    </row>
    <row r="367" spans="10:10">
      <c r="J367" s="38"/>
    </row>
    <row r="368" spans="10:10">
      <c r="J368" s="38"/>
    </row>
    <row r="369" spans="10:10">
      <c r="J369" s="38"/>
    </row>
    <row r="370" spans="10:10">
      <c r="J370" s="38"/>
    </row>
    <row r="371" spans="10:10">
      <c r="J371" s="38"/>
    </row>
    <row r="372" spans="10:10">
      <c r="J372" s="38"/>
    </row>
    <row r="373" spans="10:10">
      <c r="J373" s="38"/>
    </row>
    <row r="374" spans="10:10">
      <c r="J374" s="38"/>
    </row>
    <row r="375" spans="10:10">
      <c r="J375" s="38"/>
    </row>
    <row r="376" spans="10:10">
      <c r="J376" s="38"/>
    </row>
    <row r="377" spans="10:10">
      <c r="J377" s="38"/>
    </row>
    <row r="378" spans="10:10">
      <c r="J378" s="38"/>
    </row>
    <row r="379" spans="10:10">
      <c r="J379" s="38"/>
    </row>
    <row r="380" spans="10:10">
      <c r="J380" s="38"/>
    </row>
    <row r="381" spans="10:10">
      <c r="J381" s="38"/>
    </row>
    <row r="382" spans="10:10">
      <c r="J382" s="38"/>
    </row>
    <row r="383" spans="10:10">
      <c r="J383" s="38"/>
    </row>
    <row r="384" spans="10:10">
      <c r="J384" s="38"/>
    </row>
    <row r="385" spans="10:10">
      <c r="J385" s="38"/>
    </row>
    <row r="386" spans="10:10">
      <c r="J386" s="38"/>
    </row>
    <row r="387" spans="10:10">
      <c r="J387" s="38"/>
    </row>
    <row r="388" spans="10:10">
      <c r="J388" s="38"/>
    </row>
    <row r="389" spans="10:10">
      <c r="J389" s="38"/>
    </row>
    <row r="390" spans="10:10">
      <c r="J390" s="38"/>
    </row>
    <row r="391" spans="10:10">
      <c r="J391" s="38"/>
    </row>
    <row r="392" spans="10:10">
      <c r="J392" s="38"/>
    </row>
    <row r="393" spans="10:10">
      <c r="J393" s="38"/>
    </row>
    <row r="394" spans="10:10">
      <c r="J394" s="38"/>
    </row>
    <row r="395" spans="10:10">
      <c r="J395" s="38"/>
    </row>
    <row r="396" spans="10:10">
      <c r="J396" s="38"/>
    </row>
    <row r="397" spans="10:10">
      <c r="J397" s="38"/>
    </row>
    <row r="398" spans="10:10">
      <c r="J398" s="38"/>
    </row>
    <row r="399" spans="10:10">
      <c r="J399" s="38"/>
    </row>
    <row r="400" spans="10:10">
      <c r="J400" s="38"/>
    </row>
    <row r="401" spans="10:10">
      <c r="J401" s="38"/>
    </row>
    <row r="402" spans="10:10">
      <c r="J402" s="38"/>
    </row>
    <row r="403" spans="10:10">
      <c r="J403" s="38"/>
    </row>
    <row r="404" spans="10:10">
      <c r="J404" s="38"/>
    </row>
    <row r="405" spans="10:10">
      <c r="J405" s="38"/>
    </row>
    <row r="406" spans="10:10">
      <c r="J406" s="38"/>
    </row>
    <row r="407" spans="10:10">
      <c r="J407" s="38"/>
    </row>
    <row r="408" spans="10:10">
      <c r="J408" s="38"/>
    </row>
    <row r="409" spans="10:10">
      <c r="J409" s="38"/>
    </row>
    <row r="410" spans="10:10">
      <c r="J410" s="38"/>
    </row>
    <row r="411" spans="10:10">
      <c r="J411" s="38"/>
    </row>
    <row r="412" spans="10:10">
      <c r="J412" s="38"/>
    </row>
    <row r="413" spans="10:10">
      <c r="J413" s="38"/>
    </row>
    <row r="414" spans="10:10">
      <c r="J414" s="38"/>
    </row>
    <row r="415" spans="10:10">
      <c r="J415" s="38"/>
    </row>
    <row r="416" spans="10:10">
      <c r="J416" s="38"/>
    </row>
    <row r="417" spans="10:10">
      <c r="J417" s="38"/>
    </row>
    <row r="418" spans="10:10">
      <c r="J418" s="38"/>
    </row>
    <row r="419" spans="10:10">
      <c r="J419" s="38"/>
    </row>
    <row r="420" spans="10:10">
      <c r="J420" s="38"/>
    </row>
    <row r="421" spans="10:10">
      <c r="J421" s="38"/>
    </row>
    <row r="422" spans="10:10">
      <c r="J422" s="38"/>
    </row>
    <row r="423" spans="10:10">
      <c r="J423" s="38"/>
    </row>
    <row r="424" spans="10:10">
      <c r="J424" s="38"/>
    </row>
    <row r="425" spans="10:10">
      <c r="J425" s="38"/>
    </row>
    <row r="426" spans="10:10">
      <c r="J426" s="38"/>
    </row>
    <row r="427" spans="10:10">
      <c r="J427" s="38"/>
    </row>
    <row r="428" spans="10:10">
      <c r="J428" s="38"/>
    </row>
    <row r="429" spans="10:10">
      <c r="J429" s="38"/>
    </row>
    <row r="430" spans="10:10">
      <c r="J430" s="38"/>
    </row>
    <row r="431" spans="10:10">
      <c r="J431" s="38"/>
    </row>
    <row r="432" spans="10:10">
      <c r="J432" s="38"/>
    </row>
    <row r="433" spans="10:10">
      <c r="J433" s="38"/>
    </row>
    <row r="434" spans="10:10">
      <c r="J434" s="38"/>
    </row>
    <row r="435" spans="10:10">
      <c r="J435" s="38"/>
    </row>
    <row r="436" spans="10:10">
      <c r="J436" s="38"/>
    </row>
    <row r="437" spans="10:10">
      <c r="J437" s="38"/>
    </row>
    <row r="438" spans="10:10">
      <c r="J438" s="38"/>
    </row>
    <row r="439" spans="10:10">
      <c r="J439" s="38"/>
    </row>
    <row r="440" spans="10:10">
      <c r="J440" s="38"/>
    </row>
    <row r="441" spans="10:10">
      <c r="J441" s="38"/>
    </row>
    <row r="442" spans="10:10">
      <c r="J442" s="38"/>
    </row>
    <row r="443" spans="10:10">
      <c r="J443" s="38"/>
    </row>
    <row r="444" spans="10:10">
      <c r="J444" s="38"/>
    </row>
    <row r="445" spans="10:10">
      <c r="J445" s="38"/>
    </row>
    <row r="446" spans="10:10">
      <c r="J446" s="38"/>
    </row>
    <row r="447" spans="10:10">
      <c r="J447" s="38"/>
    </row>
    <row r="448" spans="10:10">
      <c r="J448" s="38"/>
    </row>
    <row r="449" spans="10:10">
      <c r="J449" s="38"/>
    </row>
    <row r="450" spans="10:10">
      <c r="J450" s="38"/>
    </row>
    <row r="451" spans="10:10">
      <c r="J451" s="38"/>
    </row>
    <row r="452" spans="10:10">
      <c r="J452" s="38"/>
    </row>
    <row r="453" spans="10:10">
      <c r="J453" s="38"/>
    </row>
    <row r="454" spans="10:10">
      <c r="J454" s="38"/>
    </row>
    <row r="455" spans="10:10">
      <c r="J455" s="38"/>
    </row>
    <row r="456" spans="10:10">
      <c r="J456" s="38"/>
    </row>
    <row r="457" spans="10:10">
      <c r="J457" s="38"/>
    </row>
    <row r="458" spans="10:10">
      <c r="J458" s="38"/>
    </row>
    <row r="459" spans="10:10">
      <c r="J459" s="38"/>
    </row>
    <row r="460" spans="10:10">
      <c r="J460" s="38"/>
    </row>
    <row r="461" spans="10:10">
      <c r="J461" s="38"/>
    </row>
    <row r="462" spans="10:10">
      <c r="J462" s="38"/>
    </row>
    <row r="463" spans="10:10">
      <c r="J463" s="38"/>
    </row>
    <row r="464" spans="10:10">
      <c r="J464" s="38"/>
    </row>
    <row r="465" spans="10:10">
      <c r="J465" s="38"/>
    </row>
    <row r="466" spans="10:10">
      <c r="J466" s="38"/>
    </row>
    <row r="467" spans="10:10">
      <c r="J467" s="38"/>
    </row>
    <row r="468" spans="10:10">
      <c r="J468" s="38"/>
    </row>
    <row r="469" spans="10:10">
      <c r="J469" s="38"/>
    </row>
    <row r="470" spans="10:10">
      <c r="J470" s="38"/>
    </row>
    <row r="471" spans="10:10">
      <c r="J471" s="38"/>
    </row>
    <row r="472" spans="10:10">
      <c r="J472" s="38"/>
    </row>
    <row r="473" spans="10:10">
      <c r="J473" s="38"/>
    </row>
    <row r="474" spans="10:10">
      <c r="J474" s="38"/>
    </row>
    <row r="475" spans="10:10">
      <c r="J475" s="38"/>
    </row>
    <row r="476" spans="10:10">
      <c r="J476" s="38"/>
    </row>
    <row r="477" spans="10:10">
      <c r="J477" s="38"/>
    </row>
    <row r="478" spans="10:10">
      <c r="J478" s="38"/>
    </row>
    <row r="479" spans="10:10">
      <c r="J479" s="38"/>
    </row>
    <row r="480" spans="10:10">
      <c r="J480" s="38"/>
    </row>
    <row r="481" spans="10:10">
      <c r="J481" s="38"/>
    </row>
    <row r="482" spans="10:10">
      <c r="J482" s="38"/>
    </row>
    <row r="483" spans="10:10">
      <c r="J483" s="38"/>
    </row>
    <row r="484" spans="10:10">
      <c r="J484" s="38"/>
    </row>
    <row r="485" spans="10:10">
      <c r="J485" s="38"/>
    </row>
    <row r="486" spans="10:10">
      <c r="J486" s="38"/>
    </row>
    <row r="487" spans="10:10">
      <c r="J487" s="38"/>
    </row>
    <row r="488" spans="10:10">
      <c r="J488" s="38"/>
    </row>
    <row r="489" spans="10:10">
      <c r="J489" s="38"/>
    </row>
    <row r="490" spans="10:10">
      <c r="J490" s="38"/>
    </row>
    <row r="491" spans="10:10">
      <c r="J491" s="38"/>
    </row>
    <row r="492" spans="10:10">
      <c r="J492" s="38"/>
    </row>
    <row r="493" spans="10:10">
      <c r="J493" s="38"/>
    </row>
    <row r="494" spans="10:10">
      <c r="J494" s="38"/>
    </row>
    <row r="495" spans="10:10">
      <c r="J495" s="38"/>
    </row>
    <row r="496" spans="10:10">
      <c r="J496" s="38"/>
    </row>
    <row r="497" spans="10:10">
      <c r="J497" s="38"/>
    </row>
    <row r="498" spans="10:10">
      <c r="J498" s="38"/>
    </row>
    <row r="499" spans="10:10">
      <c r="J499" s="38"/>
    </row>
    <row r="500" spans="10:10">
      <c r="J500" s="38"/>
    </row>
    <row r="501" spans="10:10">
      <c r="J501" s="38"/>
    </row>
    <row r="502" spans="10:10">
      <c r="J502" s="38"/>
    </row>
    <row r="503" spans="10:10">
      <c r="J503" s="38"/>
    </row>
    <row r="504" spans="10:10">
      <c r="J504" s="38"/>
    </row>
    <row r="505" spans="10:10">
      <c r="J505" s="38"/>
    </row>
    <row r="506" spans="10:10">
      <c r="J506" s="38"/>
    </row>
    <row r="507" spans="10:10">
      <c r="J507" s="38"/>
    </row>
    <row r="508" spans="10:10">
      <c r="J508" s="38"/>
    </row>
    <row r="509" spans="10:10">
      <c r="J509" s="38"/>
    </row>
    <row r="510" spans="10:10">
      <c r="J510" s="38"/>
    </row>
    <row r="511" spans="10:10">
      <c r="J511" s="38"/>
    </row>
    <row r="512" spans="10:10">
      <c r="J512" s="38"/>
    </row>
    <row r="513" spans="10:10">
      <c r="J513" s="38"/>
    </row>
    <row r="514" spans="10:10">
      <c r="J514" s="38"/>
    </row>
    <row r="515" spans="10:10">
      <c r="J515" s="38"/>
    </row>
    <row r="516" spans="10:10">
      <c r="J516" s="38"/>
    </row>
    <row r="517" spans="10:10">
      <c r="J517" s="38"/>
    </row>
    <row r="518" spans="10:10">
      <c r="J518" s="38"/>
    </row>
    <row r="519" spans="10:10">
      <c r="J519" s="38"/>
    </row>
    <row r="520" spans="10:10">
      <c r="J520" s="38"/>
    </row>
    <row r="521" spans="10:10">
      <c r="J521" s="38"/>
    </row>
    <row r="522" spans="10:10">
      <c r="J522" s="38"/>
    </row>
    <row r="523" spans="10:10">
      <c r="J523" s="38"/>
    </row>
    <row r="524" spans="10:10">
      <c r="J524" s="38"/>
    </row>
    <row r="525" spans="10:10">
      <c r="J525" s="38"/>
    </row>
    <row r="526" spans="10:10">
      <c r="J526" s="38"/>
    </row>
    <row r="527" spans="10:10">
      <c r="J527" s="38"/>
    </row>
    <row r="528" spans="10:10">
      <c r="J528" s="38"/>
    </row>
    <row r="529" spans="10:10">
      <c r="J529" s="38"/>
    </row>
    <row r="530" spans="10:10">
      <c r="J530" s="38"/>
    </row>
    <row r="531" spans="10:10">
      <c r="J531" s="38"/>
    </row>
    <row r="532" spans="10:10">
      <c r="J532" s="38"/>
    </row>
    <row r="533" spans="10:10">
      <c r="J533" s="38"/>
    </row>
    <row r="534" spans="10:10">
      <c r="J534" s="38"/>
    </row>
    <row r="535" spans="10:10">
      <c r="J535" s="38"/>
    </row>
    <row r="536" spans="10:10">
      <c r="J536" s="38"/>
    </row>
    <row r="537" spans="10:10">
      <c r="J537" s="38"/>
    </row>
    <row r="538" spans="10:10">
      <c r="J538" s="38"/>
    </row>
    <row r="539" spans="10:10">
      <c r="J539" s="38"/>
    </row>
    <row r="540" spans="10:10">
      <c r="J540" s="38"/>
    </row>
    <row r="541" spans="10:10">
      <c r="J541" s="38"/>
    </row>
    <row r="542" spans="10:10">
      <c r="J542" s="38"/>
    </row>
    <row r="543" spans="10:10">
      <c r="J543" s="38"/>
    </row>
    <row r="544" spans="10:10">
      <c r="J544" s="38"/>
    </row>
    <row r="545" spans="10:10">
      <c r="J545" s="38"/>
    </row>
    <row r="546" spans="10:10">
      <c r="J546" s="38"/>
    </row>
    <row r="547" spans="10:10">
      <c r="J547" s="38"/>
    </row>
    <row r="548" spans="10:10">
      <c r="J548" s="38"/>
    </row>
    <row r="549" spans="10:10">
      <c r="J549" s="38"/>
    </row>
    <row r="550" spans="10:10">
      <c r="J550" s="38"/>
    </row>
    <row r="551" spans="10:10">
      <c r="J551" s="38"/>
    </row>
    <row r="552" spans="10:10">
      <c r="J552" s="38"/>
    </row>
    <row r="553" spans="10:10">
      <c r="J553" s="38"/>
    </row>
    <row r="554" spans="10:10">
      <c r="J554" s="38"/>
    </row>
    <row r="555" spans="10:10">
      <c r="J555" s="38"/>
    </row>
    <row r="556" spans="10:10">
      <c r="J556" s="38"/>
    </row>
    <row r="557" spans="10:10">
      <c r="J557" s="38"/>
    </row>
    <row r="558" spans="10:10">
      <c r="J558" s="38"/>
    </row>
    <row r="559" spans="10:10">
      <c r="J559" s="38"/>
    </row>
    <row r="560" spans="10:10">
      <c r="J560" s="38"/>
    </row>
    <row r="561" spans="10:10">
      <c r="J561" s="38"/>
    </row>
    <row r="562" spans="10:10">
      <c r="J562" s="38"/>
    </row>
    <row r="563" spans="10:10">
      <c r="J563" s="38"/>
    </row>
    <row r="564" spans="10:10">
      <c r="J564" s="38"/>
    </row>
    <row r="565" spans="10:10">
      <c r="J565" s="38"/>
    </row>
    <row r="566" spans="10:10">
      <c r="J566" s="38"/>
    </row>
    <row r="567" spans="10:10">
      <c r="J567" s="38"/>
    </row>
    <row r="568" spans="10:10">
      <c r="J568" s="38"/>
    </row>
    <row r="569" spans="10:10">
      <c r="J569" s="38"/>
    </row>
    <row r="570" spans="10:10">
      <c r="J570" s="38"/>
    </row>
    <row r="571" spans="10:10">
      <c r="J571" s="38"/>
    </row>
    <row r="572" spans="10:10">
      <c r="J572" s="38"/>
    </row>
    <row r="573" spans="10:10">
      <c r="J573" s="38"/>
    </row>
    <row r="574" spans="10:10">
      <c r="J574" s="38"/>
    </row>
    <row r="575" spans="10:10">
      <c r="J575" s="38"/>
    </row>
    <row r="576" spans="10:10">
      <c r="J576" s="38"/>
    </row>
    <row r="577" spans="10:10">
      <c r="J577" s="38"/>
    </row>
    <row r="578" spans="10:10">
      <c r="J578" s="38"/>
    </row>
    <row r="579" spans="10:10">
      <c r="J579" s="38"/>
    </row>
    <row r="580" spans="10:10">
      <c r="J580" s="38"/>
    </row>
    <row r="581" spans="10:10">
      <c r="J581" s="38"/>
    </row>
    <row r="582" spans="10:10">
      <c r="J582" s="38"/>
    </row>
    <row r="583" spans="10:10">
      <c r="J583" s="38"/>
    </row>
    <row r="584" spans="10:10">
      <c r="J584" s="38"/>
    </row>
    <row r="585" spans="10:10">
      <c r="J585" s="38"/>
    </row>
    <row r="586" spans="10:10">
      <c r="J586" s="38"/>
    </row>
    <row r="587" spans="10:10">
      <c r="J587" s="38"/>
    </row>
    <row r="588" spans="10:10">
      <c r="J588" s="38"/>
    </row>
    <row r="589" spans="10:10">
      <c r="J589" s="38"/>
    </row>
    <row r="590" spans="10:10">
      <c r="J590" s="38"/>
    </row>
    <row r="591" spans="10:10">
      <c r="J591" s="38"/>
    </row>
    <row r="592" spans="10:10">
      <c r="J592" s="38"/>
    </row>
    <row r="593" spans="10:10">
      <c r="J593" s="38"/>
    </row>
    <row r="594" spans="10:10">
      <c r="J594" s="38"/>
    </row>
    <row r="595" spans="10:10">
      <c r="J595" s="38"/>
    </row>
    <row r="596" spans="10:10">
      <c r="J596" s="38"/>
    </row>
    <row r="597" spans="10:10">
      <c r="J597" s="38"/>
    </row>
    <row r="598" spans="10:10">
      <c r="J598" s="38"/>
    </row>
    <row r="599" spans="10:10">
      <c r="J599" s="38"/>
    </row>
    <row r="600" spans="10:10">
      <c r="J600" s="38"/>
    </row>
    <row r="601" spans="10:10">
      <c r="J601" s="38"/>
    </row>
    <row r="602" spans="10:10">
      <c r="J602" s="38"/>
    </row>
    <row r="603" spans="10:10">
      <c r="J603" s="38"/>
    </row>
    <row r="604" spans="10:10">
      <c r="J604" s="38"/>
    </row>
    <row r="605" spans="10:10">
      <c r="J605" s="38"/>
    </row>
    <row r="606" spans="10:10">
      <c r="J606" s="38"/>
    </row>
    <row r="607" spans="10:10">
      <c r="J607" s="38"/>
    </row>
    <row r="608" spans="10:10">
      <c r="J608" s="38"/>
    </row>
    <row r="609" spans="10:10">
      <c r="J609" s="38"/>
    </row>
    <row r="610" spans="10:10">
      <c r="J610" s="38"/>
    </row>
    <row r="611" spans="10:10">
      <c r="J611" s="38"/>
    </row>
    <row r="612" spans="10:10">
      <c r="J612" s="38"/>
    </row>
    <row r="613" spans="10:10">
      <c r="J613" s="38"/>
    </row>
    <row r="614" spans="10:10">
      <c r="J614" s="38"/>
    </row>
    <row r="615" spans="10:10">
      <c r="J615" s="38"/>
    </row>
    <row r="616" spans="10:10">
      <c r="J616" s="38"/>
    </row>
    <row r="617" spans="10:10">
      <c r="J617" s="38"/>
    </row>
    <row r="618" spans="10:10">
      <c r="J618" s="38"/>
    </row>
    <row r="619" spans="10:10">
      <c r="J619" s="38"/>
    </row>
    <row r="620" spans="10:10">
      <c r="J620" s="38"/>
    </row>
    <row r="621" spans="10:10">
      <c r="J621" s="38"/>
    </row>
    <row r="622" spans="10:10">
      <c r="J622" s="38"/>
    </row>
    <row r="623" spans="10:10">
      <c r="J623" s="38"/>
    </row>
    <row r="624" spans="10:10">
      <c r="J624" s="38"/>
    </row>
    <row r="625" spans="10:10">
      <c r="J625" s="38"/>
    </row>
    <row r="626" spans="10:10">
      <c r="J626" s="38"/>
    </row>
    <row r="627" spans="10:10">
      <c r="J627" s="38"/>
    </row>
    <row r="628" spans="10:10">
      <c r="J628" s="38"/>
    </row>
    <row r="629" spans="10:10">
      <c r="J629" s="38"/>
    </row>
    <row r="630" spans="10:10">
      <c r="J630" s="38"/>
    </row>
    <row r="631" spans="10:10">
      <c r="J631" s="38"/>
    </row>
    <row r="632" spans="10:10">
      <c r="J632" s="38"/>
    </row>
    <row r="633" spans="10:10">
      <c r="J633" s="38"/>
    </row>
    <row r="634" spans="10:10">
      <c r="J634" s="38"/>
    </row>
    <row r="635" spans="10:10">
      <c r="J635" s="38"/>
    </row>
    <row r="636" spans="10:10">
      <c r="J636" s="38"/>
    </row>
    <row r="637" spans="10:10">
      <c r="J637" s="38"/>
    </row>
    <row r="638" spans="10:10">
      <c r="J638" s="38"/>
    </row>
    <row r="639" spans="10:10">
      <c r="J639" s="38"/>
    </row>
    <row r="640" spans="10:10">
      <c r="J640" s="38"/>
    </row>
    <row r="641" spans="10:10">
      <c r="J641" s="38"/>
    </row>
    <row r="642" spans="10:10">
      <c r="J642" s="38"/>
    </row>
    <row r="643" spans="10:10">
      <c r="J643" s="38"/>
    </row>
    <row r="644" spans="10:10">
      <c r="J644" s="38"/>
    </row>
    <row r="645" spans="10:10">
      <c r="J645" s="38"/>
    </row>
    <row r="646" spans="10:10">
      <c r="J646" s="38"/>
    </row>
    <row r="647" spans="10:10">
      <c r="J647" s="38"/>
    </row>
    <row r="648" spans="10:10">
      <c r="J648" s="38"/>
    </row>
    <row r="649" spans="10:10">
      <c r="J649" s="38"/>
    </row>
    <row r="650" spans="10:10">
      <c r="J650" s="38"/>
    </row>
    <row r="651" spans="10:10">
      <c r="J651" s="38"/>
    </row>
    <row r="652" spans="10:10">
      <c r="J652" s="38"/>
    </row>
    <row r="653" spans="10:10">
      <c r="J653" s="38"/>
    </row>
    <row r="654" spans="10:10">
      <c r="J654" s="38"/>
    </row>
    <row r="655" spans="10:10">
      <c r="J655" s="38"/>
    </row>
    <row r="656" spans="10:10">
      <c r="J656" s="38"/>
    </row>
    <row r="657" spans="10:10">
      <c r="J657" s="38"/>
    </row>
    <row r="658" spans="10:10">
      <c r="J658" s="38"/>
    </row>
    <row r="659" spans="10:10">
      <c r="J659" s="38"/>
    </row>
    <row r="660" spans="10:10">
      <c r="J660" s="38"/>
    </row>
    <row r="661" spans="10:10">
      <c r="J661" s="38"/>
    </row>
    <row r="662" spans="10:10">
      <c r="J662" s="38"/>
    </row>
    <row r="663" spans="10:10">
      <c r="J663" s="38"/>
    </row>
    <row r="664" spans="10:10">
      <c r="J664" s="38"/>
    </row>
    <row r="665" spans="10:10">
      <c r="J665" s="38"/>
    </row>
    <row r="666" spans="10:10">
      <c r="J666" s="38"/>
    </row>
    <row r="667" spans="10:10">
      <c r="J667" s="38"/>
    </row>
    <row r="668" spans="10:10">
      <c r="J668" s="38"/>
    </row>
    <row r="669" spans="10:10">
      <c r="J669" s="38"/>
    </row>
    <row r="670" spans="10:10">
      <c r="J670" s="38"/>
    </row>
    <row r="671" spans="10:10">
      <c r="J671" s="38"/>
    </row>
    <row r="672" spans="10:10">
      <c r="J672" s="38"/>
    </row>
    <row r="673" spans="10:10">
      <c r="J673" s="38"/>
    </row>
    <row r="674" spans="10:10">
      <c r="J674" s="38"/>
    </row>
    <row r="675" spans="10:10">
      <c r="J675" s="38"/>
    </row>
    <row r="676" spans="10:10">
      <c r="J676" s="38"/>
    </row>
    <row r="677" spans="10:10">
      <c r="J677" s="38"/>
    </row>
    <row r="678" spans="10:10">
      <c r="J678" s="38"/>
    </row>
    <row r="679" spans="10:10">
      <c r="J679" s="38"/>
    </row>
    <row r="680" spans="10:10">
      <c r="J680" s="38"/>
    </row>
    <row r="681" spans="10:10">
      <c r="J681" s="38"/>
    </row>
    <row r="682" spans="10:10">
      <c r="J682" s="38"/>
    </row>
    <row r="683" spans="10:10">
      <c r="J683" s="38"/>
    </row>
    <row r="684" spans="10:10">
      <c r="J684" s="38"/>
    </row>
    <row r="685" spans="10:10">
      <c r="J685" s="38"/>
    </row>
    <row r="686" spans="10:10">
      <c r="J686" s="38"/>
    </row>
    <row r="687" spans="10:10">
      <c r="J687" s="38"/>
    </row>
    <row r="688" spans="10:10">
      <c r="J688" s="38"/>
    </row>
    <row r="689" spans="10:10">
      <c r="J689" s="38"/>
    </row>
    <row r="690" spans="10:10">
      <c r="J690" s="38"/>
    </row>
    <row r="691" spans="10:10">
      <c r="J691" s="38"/>
    </row>
    <row r="692" spans="10:10">
      <c r="J692" s="38"/>
    </row>
    <row r="693" spans="10:10">
      <c r="J693" s="38"/>
    </row>
    <row r="694" spans="10:10">
      <c r="J694" s="38"/>
    </row>
    <row r="695" spans="10:10">
      <c r="J695" s="38"/>
    </row>
    <row r="696" spans="10:10">
      <c r="J696" s="38"/>
    </row>
    <row r="697" spans="10:10">
      <c r="J697" s="38"/>
    </row>
    <row r="698" spans="10:10">
      <c r="J698" s="38"/>
    </row>
    <row r="699" spans="10:10">
      <c r="J699" s="38"/>
    </row>
    <row r="700" spans="10:10">
      <c r="J700" s="38"/>
    </row>
    <row r="701" spans="10:10">
      <c r="J701" s="38"/>
    </row>
    <row r="702" spans="10:10">
      <c r="J702" s="38"/>
    </row>
    <row r="703" spans="10:10">
      <c r="J703" s="38"/>
    </row>
    <row r="704" spans="10:10">
      <c r="J704" s="38"/>
    </row>
    <row r="705" spans="10:10">
      <c r="J705" s="38"/>
    </row>
    <row r="706" spans="10:10">
      <c r="J706" s="38"/>
    </row>
    <row r="707" spans="10:10">
      <c r="J707" s="38"/>
    </row>
    <row r="708" spans="10:10">
      <c r="J708" s="38"/>
    </row>
    <row r="709" spans="10:10">
      <c r="J709" s="38"/>
    </row>
    <row r="710" spans="10:10">
      <c r="J710" s="38"/>
    </row>
    <row r="711" spans="10:10">
      <c r="J711" s="38"/>
    </row>
    <row r="712" spans="10:10">
      <c r="J712" s="38"/>
    </row>
    <row r="713" spans="10:10">
      <c r="J713" s="38"/>
    </row>
    <row r="714" spans="10:10">
      <c r="J714" s="38"/>
    </row>
    <row r="715" spans="10:10">
      <c r="J715" s="38"/>
    </row>
    <row r="716" spans="10:10">
      <c r="J716" s="38"/>
    </row>
    <row r="717" spans="10:10">
      <c r="J717" s="38"/>
    </row>
    <row r="718" spans="10:10">
      <c r="J718" s="38"/>
    </row>
    <row r="719" spans="10:10">
      <c r="J719" s="38"/>
    </row>
    <row r="720" spans="10:10">
      <c r="J720" s="38"/>
    </row>
    <row r="721" spans="10:10">
      <c r="J721" s="38"/>
    </row>
    <row r="722" spans="10:10">
      <c r="J722" s="38"/>
    </row>
    <row r="723" spans="10:10">
      <c r="J723" s="38"/>
    </row>
    <row r="724" spans="10:10">
      <c r="J724" s="38"/>
    </row>
    <row r="725" spans="10:10">
      <c r="J725" s="38"/>
    </row>
    <row r="726" spans="10:10">
      <c r="J726" s="38"/>
    </row>
    <row r="727" spans="10:10">
      <c r="J727" s="38"/>
    </row>
    <row r="728" spans="10:10">
      <c r="J728" s="38"/>
    </row>
    <row r="729" spans="10:10">
      <c r="J729" s="38"/>
    </row>
    <row r="730" spans="10:10">
      <c r="J730" s="38"/>
    </row>
    <row r="731" spans="10:10">
      <c r="J731" s="38"/>
    </row>
    <row r="732" spans="10:10">
      <c r="J732" s="38"/>
    </row>
    <row r="733" spans="10:10">
      <c r="J733" s="38"/>
    </row>
    <row r="734" spans="10:10">
      <c r="J734" s="38"/>
    </row>
    <row r="735" spans="10:10">
      <c r="J735" s="38"/>
    </row>
    <row r="736" spans="10:10">
      <c r="J736" s="38"/>
    </row>
    <row r="737" spans="10:10">
      <c r="J737" s="38"/>
    </row>
    <row r="738" spans="10:10">
      <c r="J738" s="38"/>
    </row>
    <row r="739" spans="10:10">
      <c r="J739" s="38"/>
    </row>
    <row r="740" spans="10:10">
      <c r="J740" s="38"/>
    </row>
    <row r="741" spans="10:10">
      <c r="J741" s="38"/>
    </row>
    <row r="742" spans="10:10">
      <c r="J742" s="38"/>
    </row>
    <row r="743" spans="10:10">
      <c r="J743" s="38"/>
    </row>
    <row r="744" spans="10:10">
      <c r="J744" s="38"/>
    </row>
    <row r="745" spans="10:10">
      <c r="J745" s="38"/>
    </row>
    <row r="746" spans="10:10">
      <c r="J746" s="38"/>
    </row>
    <row r="747" spans="10:10">
      <c r="J747" s="38"/>
    </row>
    <row r="748" spans="10:10">
      <c r="J748" s="38"/>
    </row>
    <row r="749" spans="10:10">
      <c r="J749" s="38"/>
    </row>
    <row r="750" spans="10:10">
      <c r="J750" s="38"/>
    </row>
    <row r="751" spans="10:10">
      <c r="J751" s="38"/>
    </row>
    <row r="752" spans="10:10">
      <c r="J752" s="38"/>
    </row>
    <row r="753" spans="10:10">
      <c r="J753" s="38"/>
    </row>
    <row r="754" spans="10:10">
      <c r="J754" s="38"/>
    </row>
    <row r="755" spans="10:10">
      <c r="J755" s="38"/>
    </row>
    <row r="756" spans="10:10">
      <c r="J756" s="38"/>
    </row>
    <row r="757" spans="10:10">
      <c r="J757" s="38"/>
    </row>
    <row r="758" spans="10:10">
      <c r="J758" s="38"/>
    </row>
    <row r="759" spans="10:10">
      <c r="J759" s="38"/>
    </row>
    <row r="760" spans="10:10">
      <c r="J760" s="38"/>
    </row>
    <row r="761" spans="10:10">
      <c r="J761" s="38"/>
    </row>
    <row r="762" spans="10:10">
      <c r="J762" s="38"/>
    </row>
    <row r="763" spans="10:10">
      <c r="J763" s="38"/>
    </row>
    <row r="764" spans="10:10">
      <c r="J764" s="38"/>
    </row>
    <row r="765" spans="10:10">
      <c r="J765" s="38"/>
    </row>
    <row r="766" spans="10:10">
      <c r="J766" s="38"/>
    </row>
    <row r="767" spans="10:10">
      <c r="J767" s="38"/>
    </row>
    <row r="768" spans="10:10">
      <c r="J768" s="38"/>
    </row>
    <row r="769" spans="10:10">
      <c r="J769" s="38"/>
    </row>
    <row r="770" spans="10:10">
      <c r="J770" s="38"/>
    </row>
    <row r="771" spans="10:10">
      <c r="J771" s="38"/>
    </row>
    <row r="772" spans="10:10">
      <c r="J772" s="38"/>
    </row>
    <row r="773" spans="10:10">
      <c r="J773" s="38"/>
    </row>
    <row r="774" spans="10:10">
      <c r="J774" s="38"/>
    </row>
    <row r="775" spans="10:10">
      <c r="J775" s="38"/>
    </row>
    <row r="776" spans="10:10">
      <c r="J776" s="38"/>
    </row>
    <row r="777" spans="10:10">
      <c r="J777" s="38"/>
    </row>
    <row r="778" spans="10:10">
      <c r="J778" s="38"/>
    </row>
    <row r="779" spans="10:10">
      <c r="J779" s="38"/>
    </row>
    <row r="780" spans="10:10">
      <c r="J780" s="38"/>
    </row>
    <row r="781" spans="10:10">
      <c r="J781" s="38"/>
    </row>
    <row r="782" spans="10:10">
      <c r="J782" s="38"/>
    </row>
    <row r="783" spans="10:10">
      <c r="J783" s="38"/>
    </row>
    <row r="784" spans="10:10">
      <c r="J784" s="38"/>
    </row>
    <row r="785" spans="10:10">
      <c r="J785" s="38"/>
    </row>
    <row r="786" spans="10:10">
      <c r="J786" s="38"/>
    </row>
    <row r="787" spans="10:10">
      <c r="J787" s="38"/>
    </row>
    <row r="788" spans="10:10">
      <c r="J788" s="38"/>
    </row>
    <row r="789" spans="10:10">
      <c r="J789" s="38"/>
    </row>
    <row r="790" spans="10:10">
      <c r="J790" s="38"/>
    </row>
    <row r="791" spans="10:10">
      <c r="J791" s="38"/>
    </row>
    <row r="792" spans="10:10">
      <c r="J792" s="38"/>
    </row>
    <row r="793" spans="10:10">
      <c r="J793" s="38"/>
    </row>
    <row r="794" spans="10:10">
      <c r="J794" s="38"/>
    </row>
    <row r="795" spans="10:10">
      <c r="J795" s="38"/>
    </row>
    <row r="796" spans="10:10">
      <c r="J796" s="38"/>
    </row>
    <row r="797" spans="10:10">
      <c r="J797" s="38"/>
    </row>
    <row r="798" spans="10:10">
      <c r="J798" s="38"/>
    </row>
    <row r="799" spans="10:10">
      <c r="J799" s="38"/>
    </row>
    <row r="800" spans="10:10">
      <c r="J800" s="38"/>
    </row>
    <row r="801" spans="10:10">
      <c r="J801" s="38"/>
    </row>
    <row r="802" spans="10:10">
      <c r="J802" s="38"/>
    </row>
    <row r="803" spans="10:10">
      <c r="J803" s="38"/>
    </row>
    <row r="804" spans="10:10">
      <c r="J804" s="38"/>
    </row>
    <row r="805" spans="10:10">
      <c r="J805" s="38"/>
    </row>
    <row r="806" spans="10:10">
      <c r="J806" s="38"/>
    </row>
    <row r="807" spans="10:10">
      <c r="J807" s="38"/>
    </row>
    <row r="808" spans="10:10">
      <c r="J808" s="38"/>
    </row>
    <row r="809" spans="10:10">
      <c r="J809" s="38"/>
    </row>
    <row r="810" spans="10:10">
      <c r="J810" s="38"/>
    </row>
    <row r="811" spans="10:10">
      <c r="J811" s="38"/>
    </row>
    <row r="812" spans="10:10">
      <c r="J812" s="38"/>
    </row>
    <row r="813" spans="10:10">
      <c r="J813" s="38"/>
    </row>
    <row r="814" spans="10:10">
      <c r="J814" s="38"/>
    </row>
    <row r="815" spans="10:10">
      <c r="J815" s="38"/>
    </row>
    <row r="816" spans="10:10">
      <c r="J816" s="38"/>
    </row>
    <row r="817" spans="10:10">
      <c r="J817" s="38"/>
    </row>
    <row r="818" spans="10:10">
      <c r="J818" s="38"/>
    </row>
    <row r="819" spans="10:10">
      <c r="J819" s="38"/>
    </row>
    <row r="820" spans="10:10">
      <c r="J820" s="38"/>
    </row>
    <row r="821" spans="10:10">
      <c r="J821" s="38"/>
    </row>
    <row r="822" spans="10:10">
      <c r="J822" s="38"/>
    </row>
    <row r="823" spans="10:10">
      <c r="J823" s="38"/>
    </row>
    <row r="824" spans="10:10">
      <c r="J824" s="38"/>
    </row>
    <row r="825" spans="10:10">
      <c r="J825" s="38"/>
    </row>
    <row r="826" spans="10:10">
      <c r="J826" s="38"/>
    </row>
    <row r="827" spans="10:10">
      <c r="J827" s="38"/>
    </row>
    <row r="828" spans="10:10">
      <c r="J828" s="38"/>
    </row>
    <row r="829" spans="10:10">
      <c r="J829" s="38"/>
    </row>
    <row r="830" spans="10:10">
      <c r="J830" s="38"/>
    </row>
    <row r="831" spans="10:10">
      <c r="J831" s="38"/>
    </row>
    <row r="832" spans="10:10">
      <c r="J832" s="38"/>
    </row>
    <row r="833" spans="10:10">
      <c r="J833" s="38"/>
    </row>
    <row r="834" spans="10:10">
      <c r="J834" s="38"/>
    </row>
    <row r="835" spans="10:10">
      <c r="J835" s="38"/>
    </row>
    <row r="836" spans="10:10">
      <c r="J836" s="38"/>
    </row>
    <row r="837" spans="10:10">
      <c r="J837" s="38"/>
    </row>
    <row r="838" spans="10:10">
      <c r="J838" s="38"/>
    </row>
    <row r="839" spans="10:10">
      <c r="J839" s="38"/>
    </row>
    <row r="840" spans="10:10">
      <c r="J840" s="38"/>
    </row>
    <row r="841" spans="10:10">
      <c r="J841" s="38"/>
    </row>
    <row r="842" spans="10:10">
      <c r="J842" s="38"/>
    </row>
    <row r="843" spans="10:10">
      <c r="J843" s="38"/>
    </row>
    <row r="844" spans="10:10">
      <c r="J844" s="38"/>
    </row>
    <row r="845" spans="10:10">
      <c r="J845" s="38"/>
    </row>
    <row r="846" spans="10:10">
      <c r="J846" s="38"/>
    </row>
    <row r="847" spans="10:10">
      <c r="J847" s="38"/>
    </row>
    <row r="848" spans="10:10">
      <c r="J848" s="38"/>
    </row>
    <row r="849" spans="10:10">
      <c r="J849" s="38"/>
    </row>
    <row r="850" spans="10:10">
      <c r="J850" s="38"/>
    </row>
    <row r="851" spans="10:10">
      <c r="J851" s="38"/>
    </row>
    <row r="852" spans="10:10">
      <c r="J852" s="38"/>
    </row>
    <row r="853" spans="10:10">
      <c r="J853" s="38"/>
    </row>
    <row r="854" spans="10:10">
      <c r="J854" s="38"/>
    </row>
    <row r="855" spans="10:10">
      <c r="J855" s="38"/>
    </row>
    <row r="856" spans="10:10">
      <c r="J856" s="38"/>
    </row>
    <row r="857" spans="10:10">
      <c r="J857" s="38"/>
    </row>
    <row r="858" spans="10:10">
      <c r="J858" s="38"/>
    </row>
    <row r="859" spans="10:10">
      <c r="J859" s="38"/>
    </row>
    <row r="860" spans="10:10">
      <c r="J860" s="38"/>
    </row>
    <row r="861" spans="10:10">
      <c r="J861" s="38"/>
    </row>
    <row r="862" spans="10:10">
      <c r="J862" s="38"/>
    </row>
    <row r="863" spans="10:10">
      <c r="J863" s="38"/>
    </row>
    <row r="864" spans="10:10">
      <c r="J864" s="38"/>
    </row>
    <row r="865" spans="10:10">
      <c r="J865" s="38"/>
    </row>
    <row r="866" spans="10:10">
      <c r="J866" s="38"/>
    </row>
    <row r="867" spans="10:10">
      <c r="J867" s="38"/>
    </row>
    <row r="868" spans="10:10">
      <c r="J868" s="38"/>
    </row>
    <row r="869" spans="10:10">
      <c r="J869" s="38"/>
    </row>
    <row r="870" spans="10:10">
      <c r="J870" s="38"/>
    </row>
    <row r="871" spans="10:10">
      <c r="J871" s="38"/>
    </row>
    <row r="872" spans="10:10">
      <c r="J872" s="38"/>
    </row>
    <row r="873" spans="10:10">
      <c r="J873" s="38"/>
    </row>
    <row r="874" spans="10:10">
      <c r="J874" s="38"/>
    </row>
    <row r="875" spans="10:10">
      <c r="J875" s="38"/>
    </row>
    <row r="876" spans="10:10">
      <c r="J876" s="38"/>
    </row>
    <row r="877" spans="10:10">
      <c r="J877" s="38"/>
    </row>
    <row r="878" spans="10:10">
      <c r="J878" s="38"/>
    </row>
    <row r="879" spans="10:10">
      <c r="J879" s="38"/>
    </row>
    <row r="880" spans="10:10">
      <c r="J880" s="38"/>
    </row>
    <row r="881" spans="10:10">
      <c r="J881" s="38"/>
    </row>
    <row r="882" spans="10:10">
      <c r="J882" s="38"/>
    </row>
    <row r="883" spans="10:10">
      <c r="J883" s="38"/>
    </row>
    <row r="884" spans="10:10">
      <c r="J884" s="38"/>
    </row>
    <row r="885" spans="10:10">
      <c r="J885" s="38"/>
    </row>
    <row r="886" spans="10:10">
      <c r="J886" s="38"/>
    </row>
    <row r="887" spans="10:10">
      <c r="J887" s="38"/>
    </row>
    <row r="888" spans="10:10">
      <c r="J888" s="38"/>
    </row>
    <row r="889" spans="10:10">
      <c r="J889" s="38"/>
    </row>
    <row r="890" spans="10:10">
      <c r="J890" s="38"/>
    </row>
    <row r="891" spans="10:10">
      <c r="J891" s="38"/>
    </row>
    <row r="892" spans="10:10">
      <c r="J892" s="38"/>
    </row>
    <row r="893" spans="10:10">
      <c r="J893" s="38"/>
    </row>
    <row r="894" spans="10:10">
      <c r="J894" s="38"/>
    </row>
    <row r="895" spans="10:10">
      <c r="J895" s="38"/>
    </row>
    <row r="896" spans="10:10">
      <c r="J896" s="38"/>
    </row>
    <row r="897" spans="10:10">
      <c r="J897" s="38"/>
    </row>
    <row r="898" spans="10:10">
      <c r="J898" s="38"/>
    </row>
    <row r="899" spans="10:10">
      <c r="J899" s="38"/>
    </row>
    <row r="900" spans="10:10">
      <c r="J900" s="38"/>
    </row>
    <row r="901" spans="10:10">
      <c r="J901" s="38"/>
    </row>
    <row r="902" spans="10:10">
      <c r="J902" s="38"/>
    </row>
    <row r="903" spans="10:10">
      <c r="J903" s="38"/>
    </row>
    <row r="904" spans="10:10">
      <c r="J904" s="38"/>
    </row>
    <row r="905" spans="10:10">
      <c r="J905" s="38"/>
    </row>
    <row r="906" spans="10:10">
      <c r="J906" s="38"/>
    </row>
    <row r="907" spans="10:10">
      <c r="J907" s="38"/>
    </row>
    <row r="908" spans="10:10">
      <c r="J908" s="38"/>
    </row>
    <row r="909" spans="10:10">
      <c r="J909" s="38"/>
    </row>
    <row r="910" spans="10:10">
      <c r="J910" s="38"/>
    </row>
    <row r="911" spans="10:10">
      <c r="J911" s="38"/>
    </row>
    <row r="912" spans="10:10">
      <c r="J912" s="38"/>
    </row>
    <row r="913" spans="10:10">
      <c r="J913" s="38"/>
    </row>
    <row r="914" spans="10:10">
      <c r="J914" s="38"/>
    </row>
    <row r="915" spans="10:10">
      <c r="J915" s="38"/>
    </row>
    <row r="916" spans="10:10">
      <c r="J916" s="38"/>
    </row>
    <row r="917" spans="10:10">
      <c r="J917" s="38"/>
    </row>
    <row r="918" spans="10:10">
      <c r="J918" s="38"/>
    </row>
    <row r="919" spans="10:10">
      <c r="J919" s="38"/>
    </row>
    <row r="920" spans="10:10">
      <c r="J920" s="38"/>
    </row>
    <row r="921" spans="10:10">
      <c r="J921" s="38"/>
    </row>
    <row r="922" spans="10:10">
      <c r="J922" s="38"/>
    </row>
    <row r="923" spans="10:10">
      <c r="J923" s="38"/>
    </row>
    <row r="924" spans="10:10">
      <c r="J924" s="38"/>
    </row>
    <row r="925" spans="10:10">
      <c r="J925" s="38"/>
    </row>
    <row r="926" spans="10:10">
      <c r="J926" s="38"/>
    </row>
    <row r="927" spans="10:10">
      <c r="J927" s="38"/>
    </row>
    <row r="928" spans="10:10">
      <c r="J928" s="38"/>
    </row>
    <row r="929" spans="10:10">
      <c r="J929" s="38"/>
    </row>
    <row r="930" spans="10:10">
      <c r="J930" s="38"/>
    </row>
    <row r="931" spans="10:10">
      <c r="J931" s="38"/>
    </row>
    <row r="932" spans="10:10">
      <c r="J932" s="38"/>
    </row>
    <row r="933" spans="10:10">
      <c r="J933" s="38"/>
    </row>
    <row r="934" spans="10:10">
      <c r="J934" s="38"/>
    </row>
    <row r="935" spans="10:10">
      <c r="J935" s="38"/>
    </row>
    <row r="936" spans="10:10">
      <c r="J936" s="38"/>
    </row>
    <row r="937" spans="10:10">
      <c r="J937" s="38"/>
    </row>
    <row r="938" spans="10:10">
      <c r="J938" s="38"/>
    </row>
    <row r="939" spans="10:10">
      <c r="J939" s="38"/>
    </row>
    <row r="940" spans="10:10">
      <c r="J940" s="38"/>
    </row>
    <row r="941" spans="10:10">
      <c r="J941" s="38"/>
    </row>
    <row r="942" spans="10:10">
      <c r="J942" s="38"/>
    </row>
    <row r="943" spans="10:10">
      <c r="J943" s="38"/>
    </row>
    <row r="944" spans="10:10">
      <c r="J944" s="38"/>
    </row>
    <row r="945" spans="10:10">
      <c r="J945" s="38"/>
    </row>
    <row r="946" spans="10:10">
      <c r="J946" s="38"/>
    </row>
    <row r="947" spans="10:10">
      <c r="J947" s="38"/>
    </row>
    <row r="948" spans="10:10">
      <c r="J948" s="38"/>
    </row>
    <row r="949" spans="10:10">
      <c r="J949" s="38"/>
    </row>
    <row r="950" spans="10:10">
      <c r="J950" s="38"/>
    </row>
    <row r="951" spans="10:10">
      <c r="J951" s="38"/>
    </row>
    <row r="952" spans="10:10">
      <c r="J952" s="38"/>
    </row>
    <row r="953" spans="10:10">
      <c r="J953" s="38"/>
    </row>
    <row r="954" spans="10:10">
      <c r="J954" s="38"/>
    </row>
    <row r="955" spans="10:10">
      <c r="J955" s="38"/>
    </row>
    <row r="956" spans="10:10">
      <c r="J956" s="38"/>
    </row>
    <row r="957" spans="10:10">
      <c r="J957" s="38"/>
    </row>
    <row r="958" spans="10:10">
      <c r="J958" s="38"/>
    </row>
    <row r="959" spans="10:10">
      <c r="J959" s="38"/>
    </row>
    <row r="960" spans="10:10">
      <c r="J960" s="38"/>
    </row>
    <row r="961" spans="10:10">
      <c r="J961" s="38"/>
    </row>
    <row r="962" spans="10:10">
      <c r="J962" s="38"/>
    </row>
    <row r="963" spans="10:10">
      <c r="J963" s="38"/>
    </row>
    <row r="964" spans="10:10">
      <c r="J964" s="38"/>
    </row>
    <row r="965" spans="10:10">
      <c r="J965" s="38"/>
    </row>
    <row r="966" spans="10:10">
      <c r="J966" s="38"/>
    </row>
    <row r="967" spans="10:10">
      <c r="J967" s="38"/>
    </row>
    <row r="968" spans="10:10">
      <c r="J968" s="38"/>
    </row>
    <row r="969" spans="10:10">
      <c r="J969" s="38"/>
    </row>
    <row r="970" spans="10:10">
      <c r="J970" s="38"/>
    </row>
    <row r="971" spans="10:10">
      <c r="J971" s="38"/>
    </row>
    <row r="972" spans="10:10">
      <c r="J972" s="38"/>
    </row>
    <row r="973" spans="10:10">
      <c r="J973" s="38"/>
    </row>
    <row r="974" spans="10:10">
      <c r="J974" s="38"/>
    </row>
    <row r="975" spans="10:10">
      <c r="J975" s="38"/>
    </row>
    <row r="976" spans="10:10">
      <c r="J976" s="38"/>
    </row>
    <row r="977" spans="10:10">
      <c r="J977" s="38"/>
    </row>
    <row r="978" spans="10:10">
      <c r="J978" s="38"/>
    </row>
    <row r="979" spans="10:10">
      <c r="J979" s="38"/>
    </row>
    <row r="980" spans="10:10">
      <c r="J980" s="38"/>
    </row>
    <row r="981" spans="10:10">
      <c r="J981" s="38"/>
    </row>
    <row r="982" spans="10:10">
      <c r="J982" s="38"/>
    </row>
    <row r="983" spans="10:10">
      <c r="J983" s="38"/>
    </row>
    <row r="984" spans="10:10">
      <c r="J984" s="38"/>
    </row>
    <row r="985" spans="10:10">
      <c r="J985" s="38"/>
    </row>
    <row r="986" spans="10:10">
      <c r="J986" s="38"/>
    </row>
    <row r="987" spans="10:10">
      <c r="J987" s="38"/>
    </row>
    <row r="988" spans="10:10">
      <c r="J988" s="38"/>
    </row>
    <row r="989" spans="10:10">
      <c r="J989" s="38"/>
    </row>
    <row r="990" spans="10:10">
      <c r="J990" s="38"/>
    </row>
    <row r="991" spans="10:10">
      <c r="J991" s="38"/>
    </row>
    <row r="992" spans="10:10">
      <c r="J992" s="38"/>
    </row>
    <row r="993" spans="10:10">
      <c r="J993" s="38"/>
    </row>
    <row r="994" spans="10:10">
      <c r="J994" s="38"/>
    </row>
    <row r="995" spans="10:10">
      <c r="J995" s="38"/>
    </row>
    <row r="996" spans="10:10">
      <c r="J996" s="38"/>
    </row>
    <row r="997" spans="10:10">
      <c r="J997" s="38"/>
    </row>
    <row r="998" spans="10:10">
      <c r="J998" s="3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000"/>
  <sheetViews>
    <sheetView topLeftCell="A44" workbookViewId="0">
      <selection activeCell="A2" sqref="A2:J62"/>
    </sheetView>
  </sheetViews>
  <sheetFormatPr defaultColWidth="14.42578125" defaultRowHeight="15" customHeight="1"/>
  <cols>
    <col min="4" max="4" width="16.85546875" customWidth="1"/>
  </cols>
  <sheetData>
    <row r="1" spans="1:10">
      <c r="A1" s="43" t="s">
        <v>10</v>
      </c>
      <c r="B1" s="43" t="s">
        <v>712</v>
      </c>
      <c r="C1" s="43" t="s">
        <v>713</v>
      </c>
      <c r="D1" s="4" t="s">
        <v>18</v>
      </c>
      <c r="E1" s="43" t="s">
        <v>16</v>
      </c>
      <c r="F1" s="43" t="s">
        <v>714</v>
      </c>
      <c r="G1" s="43" t="s">
        <v>26</v>
      </c>
      <c r="H1" s="43" t="s">
        <v>28</v>
      </c>
      <c r="I1" s="43" t="s">
        <v>715</v>
      </c>
      <c r="J1" s="43" t="s">
        <v>32</v>
      </c>
    </row>
    <row r="2" spans="1:10">
      <c r="A2" s="41">
        <v>45597</v>
      </c>
      <c r="B2" s="38" t="s">
        <v>1403</v>
      </c>
      <c r="C2" s="38" t="s">
        <v>725</v>
      </c>
      <c r="D2" s="39" t="s">
        <v>718</v>
      </c>
      <c r="E2" s="38" t="s">
        <v>825</v>
      </c>
      <c r="F2" s="38">
        <v>40000</v>
      </c>
      <c r="G2" s="40" t="s">
        <v>733</v>
      </c>
      <c r="H2" s="38" t="s">
        <v>721</v>
      </c>
      <c r="I2" s="38" t="s">
        <v>722</v>
      </c>
      <c r="J2" s="38" t="s">
        <v>1404</v>
      </c>
    </row>
    <row r="3" spans="1:10">
      <c r="A3" s="41">
        <v>45598</v>
      </c>
      <c r="B3" s="38" t="s">
        <v>1405</v>
      </c>
      <c r="C3" s="38" t="s">
        <v>769</v>
      </c>
      <c r="D3" s="39" t="s">
        <v>718</v>
      </c>
      <c r="E3" s="38" t="s">
        <v>1406</v>
      </c>
      <c r="F3" s="38">
        <v>24000</v>
      </c>
      <c r="G3" s="38" t="s">
        <v>738</v>
      </c>
      <c r="H3" s="38" t="s">
        <v>721</v>
      </c>
      <c r="I3" s="38" t="s">
        <v>722</v>
      </c>
      <c r="J3" s="38" t="s">
        <v>1407</v>
      </c>
    </row>
    <row r="4" spans="1:10">
      <c r="A4" s="41">
        <v>45598</v>
      </c>
      <c r="B4" s="38" t="s">
        <v>1408</v>
      </c>
      <c r="C4" s="38" t="s">
        <v>755</v>
      </c>
      <c r="D4" s="39" t="s">
        <v>718</v>
      </c>
      <c r="E4" s="38" t="s">
        <v>940</v>
      </c>
      <c r="F4" s="38">
        <v>35000</v>
      </c>
      <c r="G4" s="40" t="s">
        <v>733</v>
      </c>
      <c r="H4" s="38" t="s">
        <v>721</v>
      </c>
      <c r="I4" s="38" t="s">
        <v>722</v>
      </c>
      <c r="J4" s="38" t="s">
        <v>1409</v>
      </c>
    </row>
    <row r="5" spans="1:10">
      <c r="A5" s="41">
        <v>45599</v>
      </c>
      <c r="B5" s="38" t="s">
        <v>1410</v>
      </c>
      <c r="C5" s="38" t="s">
        <v>773</v>
      </c>
      <c r="D5" s="39" t="s">
        <v>718</v>
      </c>
      <c r="E5" s="38" t="s">
        <v>1411</v>
      </c>
      <c r="F5" s="38">
        <v>26000</v>
      </c>
      <c r="G5" s="38" t="s">
        <v>738</v>
      </c>
      <c r="H5" s="38" t="s">
        <v>721</v>
      </c>
      <c r="I5" s="38" t="s">
        <v>722</v>
      </c>
      <c r="J5" s="38" t="s">
        <v>1412</v>
      </c>
    </row>
    <row r="6" spans="1:10">
      <c r="A6" s="41">
        <v>45599</v>
      </c>
      <c r="B6" s="38" t="s">
        <v>1413</v>
      </c>
      <c r="C6" s="38" t="s">
        <v>278</v>
      </c>
      <c r="D6" s="39" t="s">
        <v>718</v>
      </c>
      <c r="E6" s="38" t="s">
        <v>686</v>
      </c>
      <c r="F6" s="38">
        <v>130000</v>
      </c>
      <c r="G6" s="40" t="s">
        <v>733</v>
      </c>
      <c r="H6" s="38" t="s">
        <v>721</v>
      </c>
      <c r="I6" s="38" t="s">
        <v>722</v>
      </c>
      <c r="J6" s="38" t="s">
        <v>1414</v>
      </c>
    </row>
    <row r="7" spans="1:10">
      <c r="A7" s="41">
        <v>45600</v>
      </c>
      <c r="B7" s="38" t="s">
        <v>1415</v>
      </c>
      <c r="C7" s="38" t="s">
        <v>736</v>
      </c>
      <c r="D7" s="39" t="s">
        <v>718</v>
      </c>
      <c r="E7" s="38" t="s">
        <v>224</v>
      </c>
      <c r="F7" s="38">
        <v>58000</v>
      </c>
      <c r="G7" s="40" t="s">
        <v>733</v>
      </c>
      <c r="H7" s="38" t="s">
        <v>721</v>
      </c>
      <c r="I7" s="38" t="s">
        <v>722</v>
      </c>
      <c r="J7" s="38" t="s">
        <v>1416</v>
      </c>
    </row>
    <row r="8" spans="1:10">
      <c r="A8" s="41">
        <v>45600</v>
      </c>
      <c r="B8" s="38" t="s">
        <v>1417</v>
      </c>
      <c r="C8" s="38" t="s">
        <v>736</v>
      </c>
      <c r="D8" s="39" t="s">
        <v>718</v>
      </c>
      <c r="E8" s="38" t="s">
        <v>853</v>
      </c>
      <c r="F8" s="38">
        <v>27000</v>
      </c>
      <c r="G8" s="38" t="s">
        <v>770</v>
      </c>
      <c r="H8" s="38" t="s">
        <v>721</v>
      </c>
      <c r="I8" s="38" t="s">
        <v>722</v>
      </c>
      <c r="J8" s="38" t="s">
        <v>1418</v>
      </c>
    </row>
    <row r="9" spans="1:10">
      <c r="A9" s="41">
        <v>45600</v>
      </c>
      <c r="B9" s="38" t="s">
        <v>1419</v>
      </c>
      <c r="C9" s="38" t="s">
        <v>769</v>
      </c>
      <c r="D9" s="39" t="s">
        <v>718</v>
      </c>
      <c r="E9" s="38" t="s">
        <v>433</v>
      </c>
      <c r="F9" s="38">
        <v>62000</v>
      </c>
      <c r="G9" s="40" t="s">
        <v>733</v>
      </c>
      <c r="H9" s="38" t="s">
        <v>721</v>
      </c>
      <c r="I9" s="38" t="s">
        <v>722</v>
      </c>
      <c r="J9" s="38" t="s">
        <v>1420</v>
      </c>
    </row>
    <row r="10" spans="1:10">
      <c r="A10" s="41">
        <v>45601</v>
      </c>
      <c r="B10" s="38" t="s">
        <v>1421</v>
      </c>
      <c r="C10" s="38" t="s">
        <v>736</v>
      </c>
      <c r="D10" s="39" t="s">
        <v>718</v>
      </c>
      <c r="E10" s="38" t="s">
        <v>1422</v>
      </c>
      <c r="F10" s="38">
        <v>18500</v>
      </c>
      <c r="G10" s="40" t="s">
        <v>733</v>
      </c>
      <c r="H10" s="38" t="s">
        <v>721</v>
      </c>
      <c r="I10" s="38" t="s">
        <v>722</v>
      </c>
      <c r="J10" s="38" t="s">
        <v>1423</v>
      </c>
    </row>
    <row r="11" spans="1:10">
      <c r="A11" s="41">
        <v>45601</v>
      </c>
      <c r="B11" s="38" t="s">
        <v>1424</v>
      </c>
      <c r="C11" s="38" t="s">
        <v>769</v>
      </c>
      <c r="D11" s="39" t="s">
        <v>718</v>
      </c>
      <c r="E11" s="38" t="s">
        <v>897</v>
      </c>
      <c r="F11" s="38">
        <v>31000</v>
      </c>
      <c r="G11" s="38" t="s">
        <v>738</v>
      </c>
      <c r="H11" s="38" t="s">
        <v>721</v>
      </c>
      <c r="I11" s="38" t="s">
        <v>722</v>
      </c>
      <c r="J11" s="38" t="s">
        <v>1425</v>
      </c>
    </row>
    <row r="12" spans="1:10">
      <c r="A12" s="41">
        <v>45601</v>
      </c>
      <c r="B12" s="38" t="s">
        <v>1426</v>
      </c>
      <c r="C12" s="38" t="s">
        <v>725</v>
      </c>
      <c r="D12" s="39" t="s">
        <v>718</v>
      </c>
      <c r="E12" s="38" t="s">
        <v>515</v>
      </c>
      <c r="F12" s="38">
        <v>27000</v>
      </c>
      <c r="G12" s="38" t="s">
        <v>738</v>
      </c>
      <c r="H12" s="38" t="s">
        <v>721</v>
      </c>
      <c r="I12" s="38" t="s">
        <v>722</v>
      </c>
      <c r="J12" s="38" t="s">
        <v>1427</v>
      </c>
    </row>
    <row r="13" spans="1:10">
      <c r="A13" s="41">
        <v>45601</v>
      </c>
      <c r="B13" s="38" t="s">
        <v>1428</v>
      </c>
      <c r="C13" s="38" t="s">
        <v>725</v>
      </c>
      <c r="D13" s="39" t="s">
        <v>718</v>
      </c>
      <c r="E13" s="38" t="s">
        <v>515</v>
      </c>
      <c r="F13" s="38">
        <v>36500</v>
      </c>
      <c r="G13" s="38" t="s">
        <v>738</v>
      </c>
      <c r="H13" s="38" t="s">
        <v>721</v>
      </c>
      <c r="I13" s="38" t="s">
        <v>722</v>
      </c>
      <c r="J13" s="38" t="s">
        <v>1429</v>
      </c>
    </row>
    <row r="14" spans="1:10">
      <c r="A14" s="41">
        <v>45601</v>
      </c>
      <c r="B14" s="38" t="s">
        <v>1430</v>
      </c>
      <c r="C14" s="38" t="s">
        <v>755</v>
      </c>
      <c r="D14" s="39" t="s">
        <v>718</v>
      </c>
      <c r="E14" s="38" t="s">
        <v>862</v>
      </c>
      <c r="F14" s="38">
        <v>30500</v>
      </c>
      <c r="G14" s="40" t="s">
        <v>733</v>
      </c>
      <c r="H14" s="38" t="s">
        <v>721</v>
      </c>
      <c r="I14" s="38" t="s">
        <v>722</v>
      </c>
      <c r="J14" s="38" t="s">
        <v>1431</v>
      </c>
    </row>
    <row r="15" spans="1:10">
      <c r="A15" s="41">
        <v>45601</v>
      </c>
      <c r="B15" s="38" t="s">
        <v>1432</v>
      </c>
      <c r="C15" s="38" t="s">
        <v>736</v>
      </c>
      <c r="D15" s="39" t="s">
        <v>718</v>
      </c>
      <c r="E15" s="38" t="s">
        <v>750</v>
      </c>
      <c r="F15" s="38">
        <v>35000</v>
      </c>
      <c r="G15" s="38" t="s">
        <v>738</v>
      </c>
      <c r="H15" s="38" t="s">
        <v>721</v>
      </c>
      <c r="I15" s="38" t="s">
        <v>722</v>
      </c>
      <c r="J15" s="38" t="s">
        <v>1433</v>
      </c>
    </row>
    <row r="16" spans="1:10">
      <c r="A16" s="41">
        <v>45601</v>
      </c>
      <c r="B16" s="38" t="s">
        <v>1434</v>
      </c>
      <c r="C16" s="38" t="s">
        <v>736</v>
      </c>
      <c r="D16" s="39" t="s">
        <v>718</v>
      </c>
      <c r="E16" s="38" t="s">
        <v>224</v>
      </c>
      <c r="F16" s="38">
        <v>58000</v>
      </c>
      <c r="G16" s="38" t="s">
        <v>738</v>
      </c>
      <c r="H16" s="38" t="s">
        <v>721</v>
      </c>
      <c r="I16" s="38" t="s">
        <v>722</v>
      </c>
      <c r="J16" s="38" t="s">
        <v>1435</v>
      </c>
    </row>
    <row r="17" spans="1:10">
      <c r="A17" s="41">
        <v>45601</v>
      </c>
      <c r="B17" s="38" t="s">
        <v>1436</v>
      </c>
      <c r="C17" s="38" t="s">
        <v>725</v>
      </c>
      <c r="D17" s="39" t="s">
        <v>718</v>
      </c>
      <c r="E17" s="38" t="s">
        <v>909</v>
      </c>
      <c r="F17" s="38">
        <v>130000</v>
      </c>
      <c r="G17" s="40" t="s">
        <v>733</v>
      </c>
      <c r="H17" s="38" t="s">
        <v>721</v>
      </c>
      <c r="I17" s="38" t="s">
        <v>722</v>
      </c>
      <c r="J17" s="38" t="s">
        <v>1437</v>
      </c>
    </row>
    <row r="18" spans="1:10">
      <c r="A18" s="41">
        <v>45603</v>
      </c>
      <c r="B18" s="38" t="s">
        <v>1438</v>
      </c>
      <c r="C18" s="38" t="s">
        <v>781</v>
      </c>
      <c r="D18" s="39" t="s">
        <v>718</v>
      </c>
      <c r="E18" s="38" t="s">
        <v>1439</v>
      </c>
      <c r="F18" s="38">
        <v>38200</v>
      </c>
      <c r="G18" s="40" t="s">
        <v>733</v>
      </c>
      <c r="H18" s="38" t="s">
        <v>721</v>
      </c>
      <c r="I18" s="38" t="s">
        <v>722</v>
      </c>
      <c r="J18" s="38" t="s">
        <v>1440</v>
      </c>
    </row>
    <row r="19" spans="1:10">
      <c r="A19" s="41">
        <v>45604</v>
      </c>
      <c r="B19" s="38" t="s">
        <v>1441</v>
      </c>
      <c r="C19" s="38" t="s">
        <v>725</v>
      </c>
      <c r="D19" s="39" t="s">
        <v>718</v>
      </c>
      <c r="E19" s="38" t="s">
        <v>292</v>
      </c>
      <c r="F19" s="38">
        <v>40000</v>
      </c>
      <c r="G19" s="40" t="s">
        <v>733</v>
      </c>
      <c r="H19" s="38" t="s">
        <v>757</v>
      </c>
      <c r="I19" s="38" t="s">
        <v>722</v>
      </c>
      <c r="J19" s="38" t="s">
        <v>1442</v>
      </c>
    </row>
    <row r="20" spans="1:10">
      <c r="A20" s="41">
        <v>45605</v>
      </c>
      <c r="B20" s="38" t="s">
        <v>1443</v>
      </c>
      <c r="C20" s="38" t="s">
        <v>725</v>
      </c>
      <c r="D20" s="39" t="s">
        <v>718</v>
      </c>
      <c r="E20" s="38" t="s">
        <v>501</v>
      </c>
      <c r="F20" s="38">
        <v>20400</v>
      </c>
      <c r="G20" s="40" t="s">
        <v>733</v>
      </c>
      <c r="H20" s="38" t="s">
        <v>721</v>
      </c>
      <c r="I20" s="38" t="s">
        <v>722</v>
      </c>
      <c r="J20" s="38" t="s">
        <v>1444</v>
      </c>
    </row>
    <row r="21" spans="1:10">
      <c r="A21" s="41">
        <v>45605</v>
      </c>
      <c r="B21" s="38" t="s">
        <v>1445</v>
      </c>
      <c r="C21" s="38" t="s">
        <v>736</v>
      </c>
      <c r="D21" s="39" t="s">
        <v>718</v>
      </c>
      <c r="E21" s="38" t="s">
        <v>1446</v>
      </c>
      <c r="F21" s="38">
        <v>28000</v>
      </c>
      <c r="G21" s="38" t="s">
        <v>738</v>
      </c>
      <c r="H21" s="38" t="s">
        <v>721</v>
      </c>
      <c r="I21" s="38" t="s">
        <v>722</v>
      </c>
      <c r="J21" s="38" t="s">
        <v>1447</v>
      </c>
    </row>
    <row r="22" spans="1:10">
      <c r="A22" s="41">
        <v>45605</v>
      </c>
      <c r="B22" s="38" t="s">
        <v>1448</v>
      </c>
      <c r="C22" s="38" t="s">
        <v>725</v>
      </c>
      <c r="D22" s="39" t="s">
        <v>718</v>
      </c>
      <c r="E22" s="38" t="s">
        <v>292</v>
      </c>
      <c r="F22" s="38">
        <v>19500</v>
      </c>
      <c r="G22" s="38" t="s">
        <v>738</v>
      </c>
      <c r="H22" s="38" t="s">
        <v>721</v>
      </c>
      <c r="I22" s="38" t="s">
        <v>722</v>
      </c>
      <c r="J22" s="38" t="s">
        <v>1449</v>
      </c>
    </row>
    <row r="23" spans="1:10">
      <c r="A23" s="41">
        <v>45605</v>
      </c>
      <c r="B23" s="38" t="s">
        <v>1450</v>
      </c>
      <c r="C23" s="38" t="s">
        <v>725</v>
      </c>
      <c r="D23" s="39" t="s">
        <v>718</v>
      </c>
      <c r="E23" s="38" t="s">
        <v>1032</v>
      </c>
      <c r="F23" s="38">
        <v>25000</v>
      </c>
      <c r="G23" s="40" t="s">
        <v>733</v>
      </c>
      <c r="H23" s="38" t="s">
        <v>721</v>
      </c>
      <c r="I23" s="38" t="s">
        <v>722</v>
      </c>
      <c r="J23" s="38" t="s">
        <v>1451</v>
      </c>
    </row>
    <row r="24" spans="1:10">
      <c r="A24" s="41">
        <v>45605</v>
      </c>
      <c r="B24" s="38" t="s">
        <v>1452</v>
      </c>
      <c r="C24" s="38" t="s">
        <v>725</v>
      </c>
      <c r="D24" s="39" t="s">
        <v>718</v>
      </c>
      <c r="E24" s="38" t="s">
        <v>356</v>
      </c>
      <c r="F24" s="38">
        <v>35000</v>
      </c>
      <c r="G24" s="38" t="s">
        <v>738</v>
      </c>
      <c r="H24" s="38" t="s">
        <v>721</v>
      </c>
      <c r="I24" s="38" t="s">
        <v>722</v>
      </c>
      <c r="J24" s="38" t="s">
        <v>1453</v>
      </c>
    </row>
    <row r="25" spans="1:10">
      <c r="A25" s="41">
        <v>45605</v>
      </c>
      <c r="B25" s="38" t="s">
        <v>1454</v>
      </c>
      <c r="C25" s="38" t="s">
        <v>725</v>
      </c>
      <c r="D25" s="39" t="s">
        <v>718</v>
      </c>
      <c r="E25" s="38" t="s">
        <v>292</v>
      </c>
      <c r="F25" s="38">
        <v>15000</v>
      </c>
      <c r="G25" s="38" t="s">
        <v>738</v>
      </c>
      <c r="H25" s="38" t="s">
        <v>721</v>
      </c>
      <c r="I25" s="38" t="s">
        <v>722</v>
      </c>
      <c r="J25" s="38" t="s">
        <v>1455</v>
      </c>
    </row>
    <row r="26" spans="1:10">
      <c r="A26" s="41">
        <v>45605</v>
      </c>
      <c r="B26" s="38" t="s">
        <v>1456</v>
      </c>
      <c r="C26" s="38" t="s">
        <v>769</v>
      </c>
      <c r="D26" s="39" t="s">
        <v>718</v>
      </c>
      <c r="E26" s="38" t="s">
        <v>1457</v>
      </c>
      <c r="F26" s="38">
        <v>35000</v>
      </c>
      <c r="G26" s="38" t="s">
        <v>738</v>
      </c>
      <c r="H26" s="38" t="s">
        <v>721</v>
      </c>
      <c r="I26" s="38" t="s">
        <v>722</v>
      </c>
      <c r="J26" s="38" t="s">
        <v>1458</v>
      </c>
    </row>
    <row r="27" spans="1:10">
      <c r="A27" s="41">
        <v>45605</v>
      </c>
      <c r="B27" s="38" t="s">
        <v>1459</v>
      </c>
      <c r="C27" s="38" t="s">
        <v>725</v>
      </c>
      <c r="D27" s="39" t="s">
        <v>718</v>
      </c>
      <c r="E27" s="38" t="s">
        <v>800</v>
      </c>
      <c r="F27" s="38">
        <v>110000</v>
      </c>
      <c r="G27" s="38" t="s">
        <v>738</v>
      </c>
      <c r="H27" s="38" t="s">
        <v>721</v>
      </c>
      <c r="I27" s="38" t="s">
        <v>722</v>
      </c>
      <c r="J27" s="38" t="s">
        <v>1460</v>
      </c>
    </row>
    <row r="28" spans="1:10">
      <c r="A28" s="41">
        <v>45605</v>
      </c>
      <c r="B28" s="38" t="s">
        <v>1461</v>
      </c>
      <c r="C28" s="38" t="s">
        <v>736</v>
      </c>
      <c r="D28" s="39" t="s">
        <v>718</v>
      </c>
      <c r="E28" s="38" t="s">
        <v>224</v>
      </c>
      <c r="F28" s="38">
        <v>65000</v>
      </c>
      <c r="G28" s="38" t="s">
        <v>738</v>
      </c>
      <c r="H28" s="38" t="s">
        <v>721</v>
      </c>
      <c r="I28" s="38" t="s">
        <v>722</v>
      </c>
      <c r="J28" s="38" t="s">
        <v>1462</v>
      </c>
    </row>
    <row r="29" spans="1:10">
      <c r="A29" s="41">
        <v>45605</v>
      </c>
      <c r="B29" s="38" t="s">
        <v>1463</v>
      </c>
      <c r="C29" s="38" t="s">
        <v>725</v>
      </c>
      <c r="D29" s="39" t="s">
        <v>718</v>
      </c>
      <c r="E29" s="38" t="s">
        <v>356</v>
      </c>
      <c r="F29" s="38">
        <v>46000</v>
      </c>
      <c r="G29" s="38" t="s">
        <v>738</v>
      </c>
      <c r="H29" s="38" t="s">
        <v>721</v>
      </c>
      <c r="I29" s="38" t="s">
        <v>722</v>
      </c>
      <c r="J29" s="38" t="s">
        <v>1464</v>
      </c>
    </row>
    <row r="30" spans="1:10">
      <c r="A30" s="41">
        <v>45605</v>
      </c>
      <c r="B30" s="38" t="s">
        <v>1465</v>
      </c>
      <c r="C30" s="38" t="s">
        <v>732</v>
      </c>
      <c r="D30" s="39" t="s">
        <v>718</v>
      </c>
      <c r="E30" s="38" t="s">
        <v>1466</v>
      </c>
      <c r="F30" s="38">
        <v>13500</v>
      </c>
      <c r="G30" s="40" t="s">
        <v>733</v>
      </c>
      <c r="H30" s="38" t="s">
        <v>721</v>
      </c>
      <c r="I30" s="38" t="s">
        <v>722</v>
      </c>
      <c r="J30" s="38" t="s">
        <v>1467</v>
      </c>
    </row>
    <row r="31" spans="1:10">
      <c r="A31" s="41">
        <v>45605</v>
      </c>
      <c r="B31" s="38" t="s">
        <v>1468</v>
      </c>
      <c r="C31" s="38" t="s">
        <v>781</v>
      </c>
      <c r="D31" s="39" t="s">
        <v>718</v>
      </c>
      <c r="E31" s="38" t="s">
        <v>326</v>
      </c>
      <c r="F31" s="38">
        <v>68000</v>
      </c>
      <c r="G31" s="38" t="s">
        <v>738</v>
      </c>
      <c r="H31" s="38" t="s">
        <v>721</v>
      </c>
      <c r="I31" s="38" t="s">
        <v>722</v>
      </c>
      <c r="J31" s="38" t="s">
        <v>1469</v>
      </c>
    </row>
    <row r="32" spans="1:10">
      <c r="A32" s="42">
        <v>45606</v>
      </c>
      <c r="B32" s="38" t="s">
        <v>1470</v>
      </c>
      <c r="C32" s="38" t="s">
        <v>725</v>
      </c>
      <c r="D32" s="39" t="s">
        <v>718</v>
      </c>
      <c r="E32" s="38" t="s">
        <v>543</v>
      </c>
      <c r="F32" s="38">
        <v>26000</v>
      </c>
      <c r="G32" s="38" t="s">
        <v>770</v>
      </c>
      <c r="H32" s="38" t="s">
        <v>721</v>
      </c>
      <c r="I32" s="38" t="s">
        <v>722</v>
      </c>
      <c r="J32" s="38" t="s">
        <v>1471</v>
      </c>
    </row>
    <row r="33" spans="1:10">
      <c r="A33" s="42">
        <v>45607</v>
      </c>
      <c r="B33" s="38" t="s">
        <v>1472</v>
      </c>
      <c r="C33" s="38" t="s">
        <v>732</v>
      </c>
      <c r="D33" s="39" t="s">
        <v>718</v>
      </c>
      <c r="E33" s="38" t="s">
        <v>707</v>
      </c>
      <c r="F33" s="38">
        <v>40000</v>
      </c>
      <c r="G33" s="38" t="s">
        <v>738</v>
      </c>
      <c r="H33" s="38" t="s">
        <v>721</v>
      </c>
      <c r="I33" s="38" t="s">
        <v>722</v>
      </c>
      <c r="J33" s="38" t="s">
        <v>1473</v>
      </c>
    </row>
    <row r="34" spans="1:10">
      <c r="A34" s="42">
        <v>45608</v>
      </c>
      <c r="B34" s="38" t="s">
        <v>1474</v>
      </c>
      <c r="C34" s="38" t="s">
        <v>725</v>
      </c>
      <c r="D34" s="39" t="s">
        <v>718</v>
      </c>
      <c r="E34" s="38" t="s">
        <v>867</v>
      </c>
      <c r="F34" s="38">
        <v>33000</v>
      </c>
      <c r="G34" s="40" t="s">
        <v>733</v>
      </c>
      <c r="H34" s="38" t="s">
        <v>721</v>
      </c>
      <c r="I34" s="38" t="s">
        <v>722</v>
      </c>
      <c r="J34" s="38" t="s">
        <v>1475</v>
      </c>
    </row>
    <row r="35" spans="1:10">
      <c r="A35" s="42">
        <v>45608</v>
      </c>
      <c r="B35" s="38" t="s">
        <v>1476</v>
      </c>
      <c r="C35" s="38" t="s">
        <v>769</v>
      </c>
      <c r="D35" s="39" t="s">
        <v>718</v>
      </c>
      <c r="E35" s="38" t="s">
        <v>1271</v>
      </c>
      <c r="F35" s="38">
        <v>68000</v>
      </c>
      <c r="G35" s="40" t="s">
        <v>733</v>
      </c>
      <c r="H35" s="38" t="s">
        <v>721</v>
      </c>
      <c r="I35" s="38" t="s">
        <v>722</v>
      </c>
      <c r="J35" s="38" t="s">
        <v>1477</v>
      </c>
    </row>
    <row r="36" spans="1:10">
      <c r="A36" s="42">
        <v>45608</v>
      </c>
      <c r="B36" s="38" t="s">
        <v>1478</v>
      </c>
      <c r="C36" s="38" t="s">
        <v>278</v>
      </c>
      <c r="D36" s="39" t="s">
        <v>718</v>
      </c>
      <c r="E36" s="38" t="s">
        <v>581</v>
      </c>
      <c r="F36" s="38">
        <v>50000</v>
      </c>
      <c r="G36" s="38" t="s">
        <v>770</v>
      </c>
      <c r="H36" s="38" t="s">
        <v>721</v>
      </c>
      <c r="I36" s="38" t="s">
        <v>722</v>
      </c>
      <c r="J36" s="38" t="s">
        <v>1479</v>
      </c>
    </row>
    <row r="37" spans="1:10">
      <c r="A37" s="42">
        <v>45609</v>
      </c>
      <c r="B37" s="38" t="s">
        <v>1480</v>
      </c>
      <c r="C37" s="38" t="s">
        <v>769</v>
      </c>
      <c r="D37" s="39" t="s">
        <v>718</v>
      </c>
      <c r="E37" s="38" t="s">
        <v>979</v>
      </c>
      <c r="F37" s="38">
        <v>37000</v>
      </c>
      <c r="G37" s="40" t="s">
        <v>733</v>
      </c>
      <c r="H37" s="38" t="s">
        <v>757</v>
      </c>
      <c r="I37" s="38" t="s">
        <v>722</v>
      </c>
      <c r="J37" s="38" t="s">
        <v>1481</v>
      </c>
    </row>
    <row r="38" spans="1:10">
      <c r="A38" s="42">
        <v>45610</v>
      </c>
      <c r="B38" s="38" t="s">
        <v>1482</v>
      </c>
      <c r="C38" s="38" t="s">
        <v>736</v>
      </c>
      <c r="D38" s="39" t="s">
        <v>718</v>
      </c>
      <c r="E38" s="38" t="s">
        <v>1483</v>
      </c>
      <c r="F38" s="38">
        <v>51000</v>
      </c>
      <c r="G38" s="40" t="s">
        <v>733</v>
      </c>
      <c r="H38" s="38" t="s">
        <v>721</v>
      </c>
      <c r="I38" s="38" t="s">
        <v>722</v>
      </c>
      <c r="J38" s="38" t="s">
        <v>1484</v>
      </c>
    </row>
    <row r="39" spans="1:10">
      <c r="A39" s="42">
        <v>45610</v>
      </c>
      <c r="B39" s="38" t="s">
        <v>1485</v>
      </c>
      <c r="C39" s="38" t="s">
        <v>725</v>
      </c>
      <c r="D39" s="39" t="s">
        <v>718</v>
      </c>
      <c r="E39" s="38" t="s">
        <v>990</v>
      </c>
      <c r="F39" s="38">
        <v>25000</v>
      </c>
      <c r="G39" s="40" t="s">
        <v>733</v>
      </c>
      <c r="H39" s="38" t="s">
        <v>721</v>
      </c>
      <c r="I39" s="38" t="s">
        <v>722</v>
      </c>
      <c r="J39" s="38" t="s">
        <v>1486</v>
      </c>
    </row>
    <row r="40" spans="1:10">
      <c r="A40" s="42">
        <v>45610</v>
      </c>
      <c r="B40" s="38" t="s">
        <v>1487</v>
      </c>
      <c r="C40" s="38" t="s">
        <v>781</v>
      </c>
      <c r="D40" s="39" t="s">
        <v>718</v>
      </c>
      <c r="E40" s="38" t="s">
        <v>1488</v>
      </c>
      <c r="F40" s="38">
        <v>43500</v>
      </c>
      <c r="G40" s="38" t="s">
        <v>770</v>
      </c>
      <c r="H40" s="38" t="s">
        <v>721</v>
      </c>
      <c r="I40" s="38" t="s">
        <v>722</v>
      </c>
      <c r="J40" s="38" t="s">
        <v>1489</v>
      </c>
    </row>
    <row r="41" spans="1:10">
      <c r="A41" s="42">
        <v>45610</v>
      </c>
      <c r="B41" s="38" t="s">
        <v>1490</v>
      </c>
      <c r="C41" s="38" t="s">
        <v>769</v>
      </c>
      <c r="D41" s="39" t="s">
        <v>718</v>
      </c>
      <c r="E41" s="38" t="s">
        <v>979</v>
      </c>
      <c r="F41" s="38">
        <v>26000</v>
      </c>
      <c r="G41" s="38" t="s">
        <v>720</v>
      </c>
      <c r="H41" s="38" t="s">
        <v>721</v>
      </c>
      <c r="I41" s="38" t="s">
        <v>722</v>
      </c>
      <c r="J41" s="38" t="s">
        <v>1491</v>
      </c>
    </row>
    <row r="42" spans="1:10">
      <c r="A42" s="42">
        <v>45610</v>
      </c>
      <c r="B42" s="38" t="s">
        <v>1492</v>
      </c>
      <c r="C42" s="38" t="s">
        <v>769</v>
      </c>
      <c r="D42" s="39" t="s">
        <v>718</v>
      </c>
      <c r="E42" s="38" t="s">
        <v>897</v>
      </c>
      <c r="F42" s="38">
        <v>55000</v>
      </c>
      <c r="G42" s="38" t="s">
        <v>770</v>
      </c>
      <c r="H42" s="38" t="s">
        <v>721</v>
      </c>
      <c r="I42" s="38" t="s">
        <v>722</v>
      </c>
      <c r="J42" s="38" t="s">
        <v>1493</v>
      </c>
    </row>
    <row r="43" spans="1:10">
      <c r="A43" s="42">
        <v>45611</v>
      </c>
      <c r="B43" s="38" t="s">
        <v>827</v>
      </c>
      <c r="C43" s="38" t="s">
        <v>725</v>
      </c>
      <c r="D43" s="39" t="s">
        <v>718</v>
      </c>
      <c r="E43" s="38" t="s">
        <v>828</v>
      </c>
      <c r="F43" s="38">
        <v>63000</v>
      </c>
      <c r="G43" s="40" t="s">
        <v>733</v>
      </c>
      <c r="H43" s="38" t="s">
        <v>721</v>
      </c>
      <c r="I43" s="38" t="s">
        <v>722</v>
      </c>
      <c r="J43" s="38" t="s">
        <v>1494</v>
      </c>
    </row>
    <row r="44" spans="1:10">
      <c r="A44" s="42">
        <v>45611</v>
      </c>
      <c r="B44" s="38" t="s">
        <v>1495</v>
      </c>
      <c r="C44" s="38" t="s">
        <v>769</v>
      </c>
      <c r="D44" s="39" t="s">
        <v>718</v>
      </c>
      <c r="E44" s="38" t="s">
        <v>1496</v>
      </c>
      <c r="F44" s="38">
        <v>14000</v>
      </c>
      <c r="G44" s="38" t="s">
        <v>720</v>
      </c>
      <c r="H44" s="38" t="s">
        <v>721</v>
      </c>
      <c r="I44" s="38" t="s">
        <v>722</v>
      </c>
      <c r="J44" s="38" t="s">
        <v>1497</v>
      </c>
    </row>
    <row r="45" spans="1:10">
      <c r="A45" s="42">
        <v>45612</v>
      </c>
      <c r="B45" s="38" t="s">
        <v>1498</v>
      </c>
      <c r="C45" s="38" t="s">
        <v>725</v>
      </c>
      <c r="D45" s="39" t="s">
        <v>718</v>
      </c>
      <c r="E45" s="38" t="s">
        <v>501</v>
      </c>
      <c r="F45" s="38">
        <v>51000</v>
      </c>
      <c r="G45" s="40" t="s">
        <v>733</v>
      </c>
      <c r="H45" s="38" t="s">
        <v>721</v>
      </c>
      <c r="I45" s="38" t="s">
        <v>722</v>
      </c>
      <c r="J45" s="38" t="s">
        <v>1499</v>
      </c>
    </row>
    <row r="46" spans="1:10">
      <c r="A46" s="42">
        <v>45613</v>
      </c>
      <c r="B46" s="38" t="s">
        <v>1500</v>
      </c>
      <c r="C46" s="38" t="s">
        <v>781</v>
      </c>
      <c r="D46" s="39" t="s">
        <v>718</v>
      </c>
      <c r="E46" s="38" t="s">
        <v>1501</v>
      </c>
      <c r="F46" s="38">
        <v>58000</v>
      </c>
      <c r="G46" s="40" t="s">
        <v>733</v>
      </c>
      <c r="H46" s="38" t="s">
        <v>721</v>
      </c>
      <c r="I46" s="38" t="s">
        <v>722</v>
      </c>
      <c r="J46" s="38" t="s">
        <v>1502</v>
      </c>
    </row>
    <row r="47" spans="1:10">
      <c r="A47" s="42">
        <v>45615</v>
      </c>
      <c r="B47" s="38" t="s">
        <v>1503</v>
      </c>
      <c r="C47" s="38" t="s">
        <v>725</v>
      </c>
      <c r="D47" s="39" t="s">
        <v>718</v>
      </c>
      <c r="E47" s="38" t="s">
        <v>545</v>
      </c>
      <c r="F47" s="38">
        <v>37500</v>
      </c>
      <c r="G47" s="40" t="s">
        <v>733</v>
      </c>
      <c r="H47" s="38" t="s">
        <v>721</v>
      </c>
      <c r="I47" s="38" t="s">
        <v>722</v>
      </c>
      <c r="J47" s="38" t="s">
        <v>1504</v>
      </c>
    </row>
    <row r="48" spans="1:10">
      <c r="A48" s="42">
        <v>45615</v>
      </c>
      <c r="B48" s="38" t="s">
        <v>1505</v>
      </c>
      <c r="C48" s="38" t="s">
        <v>755</v>
      </c>
      <c r="D48" s="39" t="s">
        <v>718</v>
      </c>
      <c r="E48" s="38" t="s">
        <v>1506</v>
      </c>
      <c r="F48" s="38">
        <v>130000</v>
      </c>
      <c r="G48" s="38" t="s">
        <v>738</v>
      </c>
      <c r="H48" s="38" t="s">
        <v>721</v>
      </c>
      <c r="I48" s="38" t="s">
        <v>722</v>
      </c>
      <c r="J48" s="38" t="s">
        <v>1507</v>
      </c>
    </row>
    <row r="49" spans="1:10">
      <c r="A49" s="42">
        <v>45617</v>
      </c>
      <c r="B49" s="38" t="s">
        <v>1508</v>
      </c>
      <c r="C49" s="38" t="s">
        <v>736</v>
      </c>
      <c r="D49" s="39" t="s">
        <v>718</v>
      </c>
      <c r="E49" s="38" t="s">
        <v>224</v>
      </c>
      <c r="F49" s="38">
        <v>15000</v>
      </c>
      <c r="G49" s="40" t="s">
        <v>733</v>
      </c>
      <c r="H49" s="38" t="s">
        <v>721</v>
      </c>
      <c r="I49" s="38" t="s">
        <v>722</v>
      </c>
      <c r="J49" s="38" t="s">
        <v>1509</v>
      </c>
    </row>
    <row r="50" spans="1:10">
      <c r="A50" s="42">
        <v>45617</v>
      </c>
      <c r="B50" s="38" t="s">
        <v>1510</v>
      </c>
      <c r="C50" s="38" t="s">
        <v>781</v>
      </c>
      <c r="D50" s="39" t="s">
        <v>718</v>
      </c>
      <c r="E50" s="38" t="s">
        <v>1116</v>
      </c>
      <c r="F50" s="38">
        <v>53000</v>
      </c>
      <c r="G50" s="40" t="s">
        <v>733</v>
      </c>
      <c r="H50" s="38" t="s">
        <v>721</v>
      </c>
      <c r="I50" s="38" t="s">
        <v>722</v>
      </c>
      <c r="J50" s="38" t="s">
        <v>1511</v>
      </c>
    </row>
    <row r="51" spans="1:10">
      <c r="A51" s="42">
        <v>45617</v>
      </c>
      <c r="B51" s="38" t="s">
        <v>1512</v>
      </c>
      <c r="C51" s="38" t="s">
        <v>732</v>
      </c>
      <c r="D51" s="39" t="s">
        <v>718</v>
      </c>
      <c r="E51" s="38" t="s">
        <v>694</v>
      </c>
      <c r="F51" s="38">
        <v>27000</v>
      </c>
      <c r="G51" s="38" t="s">
        <v>1011</v>
      </c>
      <c r="H51" s="38" t="s">
        <v>721</v>
      </c>
      <c r="I51" s="38" t="s">
        <v>722</v>
      </c>
      <c r="J51" s="38" t="s">
        <v>1513</v>
      </c>
    </row>
    <row r="52" spans="1:10">
      <c r="A52" s="42">
        <v>45618</v>
      </c>
      <c r="B52" s="38" t="s">
        <v>1514</v>
      </c>
      <c r="C52" s="38" t="s">
        <v>725</v>
      </c>
      <c r="D52" s="39" t="s">
        <v>718</v>
      </c>
      <c r="E52" s="38" t="s">
        <v>867</v>
      </c>
      <c r="F52" s="38">
        <v>15000</v>
      </c>
      <c r="G52" s="38" t="s">
        <v>738</v>
      </c>
      <c r="H52" s="38" t="s">
        <v>721</v>
      </c>
      <c r="I52" s="38" t="s">
        <v>722</v>
      </c>
      <c r="J52" s="38" t="s">
        <v>1515</v>
      </c>
    </row>
    <row r="53" spans="1:10">
      <c r="A53" s="42">
        <v>45619</v>
      </c>
      <c r="B53" s="38" t="s">
        <v>1516</v>
      </c>
      <c r="C53" s="38" t="s">
        <v>736</v>
      </c>
      <c r="D53" s="39" t="s">
        <v>718</v>
      </c>
      <c r="E53" s="38" t="s">
        <v>205</v>
      </c>
      <c r="F53" s="38">
        <v>44000</v>
      </c>
      <c r="G53" s="40" t="s">
        <v>733</v>
      </c>
      <c r="H53" s="38" t="s">
        <v>721</v>
      </c>
      <c r="I53" s="38" t="s">
        <v>722</v>
      </c>
      <c r="J53" s="38" t="s">
        <v>1517</v>
      </c>
    </row>
    <row r="54" spans="1:10">
      <c r="A54" s="42">
        <v>45619</v>
      </c>
      <c r="B54" s="38" t="s">
        <v>1518</v>
      </c>
      <c r="C54" s="38" t="s">
        <v>725</v>
      </c>
      <c r="D54" s="39" t="s">
        <v>718</v>
      </c>
      <c r="E54" s="38" t="s">
        <v>1234</v>
      </c>
      <c r="F54" s="38">
        <v>105000</v>
      </c>
      <c r="G54" s="40" t="s">
        <v>733</v>
      </c>
      <c r="H54" s="38" t="s">
        <v>721</v>
      </c>
      <c r="I54" s="38" t="s">
        <v>722</v>
      </c>
      <c r="J54" s="38" t="s">
        <v>1519</v>
      </c>
    </row>
    <row r="55" spans="1:10">
      <c r="A55" s="42">
        <v>45620</v>
      </c>
      <c r="B55" s="38" t="s">
        <v>1520</v>
      </c>
      <c r="C55" s="38" t="s">
        <v>732</v>
      </c>
      <c r="D55" s="39" t="s">
        <v>718</v>
      </c>
      <c r="E55" s="38" t="s">
        <v>1521</v>
      </c>
      <c r="F55" s="38">
        <v>155000</v>
      </c>
      <c r="G55" s="38" t="s">
        <v>738</v>
      </c>
      <c r="H55" s="38" t="s">
        <v>721</v>
      </c>
      <c r="I55" s="38" t="s">
        <v>722</v>
      </c>
      <c r="J55" s="38" t="s">
        <v>1522</v>
      </c>
    </row>
    <row r="56" spans="1:10">
      <c r="A56" s="42">
        <v>45620</v>
      </c>
      <c r="B56" s="38" t="s">
        <v>1523</v>
      </c>
      <c r="C56" s="38" t="s">
        <v>755</v>
      </c>
      <c r="D56" s="39" t="s">
        <v>718</v>
      </c>
      <c r="E56" s="38" t="s">
        <v>943</v>
      </c>
      <c r="F56" s="38">
        <v>30000</v>
      </c>
      <c r="G56" s="38" t="s">
        <v>738</v>
      </c>
      <c r="H56" s="38" t="s">
        <v>721</v>
      </c>
      <c r="I56" s="38" t="s">
        <v>722</v>
      </c>
      <c r="J56" s="38" t="s">
        <v>1524</v>
      </c>
    </row>
    <row r="57" spans="1:10">
      <c r="A57" s="42">
        <v>45621</v>
      </c>
      <c r="B57" s="38" t="s">
        <v>1525</v>
      </c>
      <c r="C57" s="38" t="s">
        <v>736</v>
      </c>
      <c r="D57" s="39" t="s">
        <v>718</v>
      </c>
      <c r="E57" s="38" t="s">
        <v>750</v>
      </c>
      <c r="F57" s="38">
        <v>25000</v>
      </c>
      <c r="G57" s="40" t="s">
        <v>733</v>
      </c>
      <c r="H57" s="38" t="s">
        <v>721</v>
      </c>
      <c r="I57" s="38" t="s">
        <v>722</v>
      </c>
      <c r="J57" s="38" t="s">
        <v>1526</v>
      </c>
    </row>
    <row r="58" spans="1:10">
      <c r="A58" s="42">
        <v>45621</v>
      </c>
      <c r="B58" s="38" t="s">
        <v>1527</v>
      </c>
      <c r="C58" s="38" t="s">
        <v>725</v>
      </c>
      <c r="D58" s="39" t="s">
        <v>718</v>
      </c>
      <c r="E58" s="38" t="s">
        <v>1528</v>
      </c>
      <c r="F58" s="38">
        <v>155000</v>
      </c>
      <c r="G58" s="40" t="s">
        <v>733</v>
      </c>
      <c r="H58" s="38" t="s">
        <v>721</v>
      </c>
      <c r="I58" s="38" t="s">
        <v>722</v>
      </c>
      <c r="J58" s="38" t="s">
        <v>1529</v>
      </c>
    </row>
    <row r="59" spans="1:10">
      <c r="A59" s="42">
        <v>45623</v>
      </c>
      <c r="B59" s="38" t="s">
        <v>1530</v>
      </c>
      <c r="C59" s="38" t="s">
        <v>725</v>
      </c>
      <c r="D59" s="39" t="s">
        <v>718</v>
      </c>
      <c r="E59" s="38" t="s">
        <v>1049</v>
      </c>
      <c r="F59" s="38">
        <v>18000</v>
      </c>
      <c r="G59" s="38" t="s">
        <v>720</v>
      </c>
      <c r="H59" s="38" t="s">
        <v>721</v>
      </c>
      <c r="I59" s="38" t="s">
        <v>722</v>
      </c>
      <c r="J59" s="38" t="s">
        <v>1531</v>
      </c>
    </row>
    <row r="60" spans="1:10">
      <c r="A60" s="42">
        <v>45624</v>
      </c>
      <c r="B60" s="38" t="s">
        <v>1532</v>
      </c>
      <c r="C60" s="38" t="s">
        <v>743</v>
      </c>
      <c r="D60" s="39" t="s">
        <v>718</v>
      </c>
      <c r="E60" s="38" t="s">
        <v>684</v>
      </c>
      <c r="F60" s="38">
        <v>67000</v>
      </c>
      <c r="G60" s="38" t="s">
        <v>720</v>
      </c>
      <c r="H60" s="38" t="s">
        <v>721</v>
      </c>
      <c r="I60" s="38" t="s">
        <v>722</v>
      </c>
      <c r="J60" s="38" t="s">
        <v>1533</v>
      </c>
    </row>
    <row r="61" spans="1:10">
      <c r="A61" s="42">
        <v>45626</v>
      </c>
      <c r="B61" s="38" t="s">
        <v>1534</v>
      </c>
      <c r="C61" s="38" t="s">
        <v>781</v>
      </c>
      <c r="D61" s="39" t="s">
        <v>718</v>
      </c>
      <c r="E61" s="38" t="s">
        <v>1501</v>
      </c>
      <c r="F61" s="38">
        <v>58000</v>
      </c>
      <c r="G61" s="38" t="s">
        <v>733</v>
      </c>
      <c r="H61" s="38" t="s">
        <v>721</v>
      </c>
      <c r="I61" s="38" t="s">
        <v>722</v>
      </c>
      <c r="J61" s="38" t="s">
        <v>1535</v>
      </c>
    </row>
    <row r="62" spans="1:10">
      <c r="A62" s="42">
        <v>45626</v>
      </c>
      <c r="B62" s="38" t="s">
        <v>1536</v>
      </c>
      <c r="C62" s="38" t="s">
        <v>755</v>
      </c>
      <c r="D62" s="39" t="s">
        <v>718</v>
      </c>
      <c r="E62" s="38" t="s">
        <v>886</v>
      </c>
      <c r="F62" s="38">
        <v>15000</v>
      </c>
      <c r="G62" s="40" t="s">
        <v>733</v>
      </c>
      <c r="H62" s="38" t="s">
        <v>721</v>
      </c>
      <c r="I62" s="38" t="s">
        <v>722</v>
      </c>
      <c r="J62" s="38" t="s">
        <v>1537</v>
      </c>
    </row>
    <row r="63" spans="1:10">
      <c r="J63" s="38"/>
    </row>
    <row r="64" spans="1:10">
      <c r="J64" s="38"/>
    </row>
    <row r="65" spans="10:10">
      <c r="J65" s="38"/>
    </row>
    <row r="66" spans="10:10">
      <c r="J66" s="38"/>
    </row>
    <row r="67" spans="10:10">
      <c r="J67" s="38"/>
    </row>
    <row r="68" spans="10:10">
      <c r="J68" s="38"/>
    </row>
    <row r="69" spans="10:10">
      <c r="J69" s="38"/>
    </row>
    <row r="70" spans="10:10">
      <c r="J70" s="38"/>
    </row>
    <row r="71" spans="10:10">
      <c r="J71" s="38"/>
    </row>
    <row r="72" spans="10:10">
      <c r="J72" s="38"/>
    </row>
    <row r="73" spans="10:10">
      <c r="J73" s="38"/>
    </row>
    <row r="74" spans="10:10">
      <c r="J74" s="38"/>
    </row>
    <row r="75" spans="10:10">
      <c r="J75" s="38"/>
    </row>
    <row r="76" spans="10:10">
      <c r="J76" s="38"/>
    </row>
    <row r="77" spans="10:10">
      <c r="J77" s="38"/>
    </row>
    <row r="78" spans="10:10">
      <c r="J78" s="38"/>
    </row>
    <row r="79" spans="10:10">
      <c r="J79" s="38"/>
    </row>
    <row r="80" spans="10:10">
      <c r="J80" s="38"/>
    </row>
    <row r="81" spans="10:10">
      <c r="J81" s="38"/>
    </row>
    <row r="82" spans="10:10">
      <c r="J82" s="38"/>
    </row>
    <row r="83" spans="10:10">
      <c r="J83" s="38"/>
    </row>
    <row r="84" spans="10:10">
      <c r="J84" s="38"/>
    </row>
    <row r="85" spans="10:10">
      <c r="J85" s="38"/>
    </row>
    <row r="86" spans="10:10">
      <c r="J86" s="38"/>
    </row>
    <row r="87" spans="10:10">
      <c r="J87" s="38"/>
    </row>
    <row r="88" spans="10:10">
      <c r="J88" s="38"/>
    </row>
    <row r="89" spans="10:10">
      <c r="J89" s="38"/>
    </row>
    <row r="90" spans="10:10">
      <c r="J90" s="38"/>
    </row>
    <row r="91" spans="10:10">
      <c r="J91" s="38"/>
    </row>
    <row r="92" spans="10:10">
      <c r="J92" s="38"/>
    </row>
    <row r="93" spans="10:10">
      <c r="J93" s="38"/>
    </row>
    <row r="94" spans="10:10">
      <c r="J94" s="38"/>
    </row>
    <row r="95" spans="10:10">
      <c r="J95" s="38"/>
    </row>
    <row r="96" spans="10:10">
      <c r="J96" s="38"/>
    </row>
    <row r="97" spans="10:10">
      <c r="J97" s="38"/>
    </row>
    <row r="98" spans="10:10">
      <c r="J98" s="38"/>
    </row>
    <row r="99" spans="10:10">
      <c r="J99" s="38"/>
    </row>
    <row r="100" spans="10:10">
      <c r="J100" s="38"/>
    </row>
    <row r="101" spans="10:10">
      <c r="J101" s="38"/>
    </row>
    <row r="102" spans="10:10">
      <c r="J102" s="38"/>
    </row>
    <row r="103" spans="10:10">
      <c r="J103" s="38"/>
    </row>
    <row r="104" spans="10:10">
      <c r="J104" s="38"/>
    </row>
    <row r="105" spans="10:10">
      <c r="J105" s="38"/>
    </row>
    <row r="106" spans="10:10">
      <c r="J106" s="38"/>
    </row>
    <row r="107" spans="10:10">
      <c r="J107" s="38"/>
    </row>
    <row r="108" spans="10:10">
      <c r="J108" s="38"/>
    </row>
    <row r="109" spans="10:10">
      <c r="J109" s="38"/>
    </row>
    <row r="110" spans="10:10">
      <c r="J110" s="38"/>
    </row>
    <row r="111" spans="10:10">
      <c r="J111" s="38"/>
    </row>
    <row r="112" spans="10:10">
      <c r="J112" s="38"/>
    </row>
    <row r="113" spans="10:10">
      <c r="J113" s="38"/>
    </row>
    <row r="114" spans="10:10">
      <c r="J114" s="38"/>
    </row>
    <row r="115" spans="10:10">
      <c r="J115" s="38"/>
    </row>
    <row r="116" spans="10:10">
      <c r="J116" s="38"/>
    </row>
    <row r="117" spans="10:10">
      <c r="J117" s="38"/>
    </row>
    <row r="118" spans="10:10">
      <c r="J118" s="38"/>
    </row>
    <row r="119" spans="10:10">
      <c r="J119" s="38"/>
    </row>
    <row r="120" spans="10:10">
      <c r="J120" s="38"/>
    </row>
    <row r="121" spans="10:10">
      <c r="J121" s="38"/>
    </row>
    <row r="122" spans="10:10">
      <c r="J122" s="38"/>
    </row>
    <row r="123" spans="10:10">
      <c r="J123" s="38"/>
    </row>
    <row r="124" spans="10:10">
      <c r="J124" s="38"/>
    </row>
    <row r="125" spans="10:10">
      <c r="J125" s="38"/>
    </row>
    <row r="126" spans="10:10">
      <c r="J126" s="38"/>
    </row>
    <row r="127" spans="10:10">
      <c r="J127" s="38"/>
    </row>
    <row r="128" spans="10:10">
      <c r="J128" s="38"/>
    </row>
    <row r="129" spans="10:10">
      <c r="J129" s="38"/>
    </row>
    <row r="130" spans="10:10">
      <c r="J130" s="38"/>
    </row>
    <row r="131" spans="10:10">
      <c r="J131" s="38"/>
    </row>
    <row r="132" spans="10:10">
      <c r="J132" s="38"/>
    </row>
    <row r="133" spans="10:10">
      <c r="J133" s="38"/>
    </row>
    <row r="134" spans="10:10">
      <c r="J134" s="38"/>
    </row>
    <row r="135" spans="10:10">
      <c r="J135" s="38"/>
    </row>
    <row r="136" spans="10:10">
      <c r="J136" s="38"/>
    </row>
    <row r="137" spans="10:10">
      <c r="J137" s="38"/>
    </row>
    <row r="138" spans="10:10">
      <c r="J138" s="38"/>
    </row>
    <row r="139" spans="10:10">
      <c r="J139" s="38"/>
    </row>
    <row r="140" spans="10:10">
      <c r="J140" s="38"/>
    </row>
    <row r="141" spans="10:10">
      <c r="J141" s="38"/>
    </row>
    <row r="142" spans="10:10">
      <c r="J142" s="38"/>
    </row>
    <row r="143" spans="10:10">
      <c r="J143" s="38"/>
    </row>
    <row r="144" spans="10:10">
      <c r="J144" s="38"/>
    </row>
    <row r="145" spans="10:10">
      <c r="J145" s="38"/>
    </row>
    <row r="146" spans="10:10">
      <c r="J146" s="38"/>
    </row>
    <row r="147" spans="10:10">
      <c r="J147" s="38"/>
    </row>
    <row r="148" spans="10:10">
      <c r="J148" s="38"/>
    </row>
    <row r="149" spans="10:10">
      <c r="J149" s="38"/>
    </row>
    <row r="150" spans="10:10">
      <c r="J150" s="38"/>
    </row>
    <row r="151" spans="10:10">
      <c r="J151" s="38"/>
    </row>
    <row r="152" spans="10:10">
      <c r="J152" s="38"/>
    </row>
    <row r="153" spans="10:10">
      <c r="J153" s="38"/>
    </row>
    <row r="154" spans="10:10">
      <c r="J154" s="38"/>
    </row>
    <row r="155" spans="10:10">
      <c r="J155" s="38"/>
    </row>
    <row r="156" spans="10:10">
      <c r="J156" s="38"/>
    </row>
    <row r="157" spans="10:10">
      <c r="J157" s="38"/>
    </row>
    <row r="158" spans="10:10">
      <c r="J158" s="38"/>
    </row>
    <row r="159" spans="10:10">
      <c r="J159" s="38"/>
    </row>
    <row r="160" spans="10:10">
      <c r="J160" s="38"/>
    </row>
    <row r="161" spans="10:10">
      <c r="J161" s="38"/>
    </row>
    <row r="162" spans="10:10">
      <c r="J162" s="38"/>
    </row>
    <row r="163" spans="10:10">
      <c r="J163" s="38"/>
    </row>
    <row r="164" spans="10:10">
      <c r="J164" s="38"/>
    </row>
    <row r="165" spans="10:10">
      <c r="J165" s="38"/>
    </row>
    <row r="166" spans="10:10">
      <c r="J166" s="38"/>
    </row>
    <row r="167" spans="10:10">
      <c r="J167" s="38"/>
    </row>
    <row r="168" spans="10:10">
      <c r="J168" s="38"/>
    </row>
    <row r="169" spans="10:10">
      <c r="J169" s="38"/>
    </row>
    <row r="170" spans="10:10">
      <c r="J170" s="38"/>
    </row>
    <row r="171" spans="10:10">
      <c r="J171" s="38"/>
    </row>
    <row r="172" spans="10:10">
      <c r="J172" s="38"/>
    </row>
    <row r="173" spans="10:10">
      <c r="J173" s="38"/>
    </row>
    <row r="174" spans="10:10">
      <c r="J174" s="38"/>
    </row>
    <row r="175" spans="10:10">
      <c r="J175" s="38"/>
    </row>
    <row r="176" spans="10:10">
      <c r="J176" s="38"/>
    </row>
    <row r="177" spans="10:10">
      <c r="J177" s="38"/>
    </row>
    <row r="178" spans="10:10">
      <c r="J178" s="38"/>
    </row>
    <row r="179" spans="10:10">
      <c r="J179" s="38"/>
    </row>
    <row r="180" spans="10:10">
      <c r="J180" s="38"/>
    </row>
    <row r="181" spans="10:10">
      <c r="J181" s="38"/>
    </row>
    <row r="182" spans="10:10">
      <c r="J182" s="38"/>
    </row>
    <row r="183" spans="10:10">
      <c r="J183" s="38"/>
    </row>
    <row r="184" spans="10:10">
      <c r="J184" s="38"/>
    </row>
    <row r="185" spans="10:10">
      <c r="J185" s="38"/>
    </row>
    <row r="186" spans="10:10">
      <c r="J186" s="38"/>
    </row>
    <row r="187" spans="10:10">
      <c r="J187" s="38"/>
    </row>
    <row r="188" spans="10:10">
      <c r="J188" s="38"/>
    </row>
    <row r="189" spans="10:10">
      <c r="J189" s="38"/>
    </row>
    <row r="190" spans="10:10">
      <c r="J190" s="38"/>
    </row>
    <row r="191" spans="10:10">
      <c r="J191" s="38"/>
    </row>
    <row r="192" spans="10:10">
      <c r="J192" s="38"/>
    </row>
    <row r="193" spans="10:10">
      <c r="J193" s="38"/>
    </row>
    <row r="194" spans="10:10">
      <c r="J194" s="38"/>
    </row>
    <row r="195" spans="10:10">
      <c r="J195" s="38"/>
    </row>
    <row r="196" spans="10:10">
      <c r="J196" s="38"/>
    </row>
    <row r="197" spans="10:10">
      <c r="J197" s="38"/>
    </row>
    <row r="198" spans="10:10">
      <c r="J198" s="38"/>
    </row>
    <row r="199" spans="10:10">
      <c r="J199" s="38"/>
    </row>
    <row r="200" spans="10:10">
      <c r="J200" s="38"/>
    </row>
    <row r="201" spans="10:10">
      <c r="J201" s="38"/>
    </row>
    <row r="202" spans="10:10">
      <c r="J202" s="38"/>
    </row>
    <row r="203" spans="10:10">
      <c r="J203" s="38"/>
    </row>
    <row r="204" spans="10:10">
      <c r="J204" s="38"/>
    </row>
    <row r="205" spans="10:10">
      <c r="J205" s="38"/>
    </row>
    <row r="206" spans="10:10">
      <c r="J206" s="38"/>
    </row>
    <row r="207" spans="10:10">
      <c r="J207" s="38"/>
    </row>
    <row r="208" spans="10:10">
      <c r="J208" s="38"/>
    </row>
    <row r="209" spans="10:10">
      <c r="J209" s="38"/>
    </row>
    <row r="210" spans="10:10">
      <c r="J210" s="38"/>
    </row>
    <row r="211" spans="10:10">
      <c r="J211" s="38"/>
    </row>
    <row r="212" spans="10:10">
      <c r="J212" s="38"/>
    </row>
    <row r="213" spans="10:10">
      <c r="J213" s="38"/>
    </row>
    <row r="214" spans="10:10">
      <c r="J214" s="38"/>
    </row>
    <row r="215" spans="10:10">
      <c r="J215" s="38"/>
    </row>
    <row r="216" spans="10:10">
      <c r="J216" s="38"/>
    </row>
    <row r="217" spans="10:10">
      <c r="J217" s="38"/>
    </row>
    <row r="218" spans="10:10">
      <c r="J218" s="38"/>
    </row>
    <row r="219" spans="10:10">
      <c r="J219" s="38"/>
    </row>
    <row r="220" spans="10:10">
      <c r="J220" s="38"/>
    </row>
    <row r="221" spans="10:10">
      <c r="J221" s="38"/>
    </row>
    <row r="222" spans="10:10">
      <c r="J222" s="38"/>
    </row>
    <row r="223" spans="10:10">
      <c r="J223" s="38"/>
    </row>
    <row r="224" spans="10:10">
      <c r="J224" s="38"/>
    </row>
    <row r="225" spans="10:10">
      <c r="J225" s="38"/>
    </row>
    <row r="226" spans="10:10">
      <c r="J226" s="38"/>
    </row>
    <row r="227" spans="10:10">
      <c r="J227" s="38"/>
    </row>
    <row r="228" spans="10:10">
      <c r="J228" s="38"/>
    </row>
    <row r="229" spans="10:10">
      <c r="J229" s="38"/>
    </row>
    <row r="230" spans="10:10">
      <c r="J230" s="38"/>
    </row>
    <row r="231" spans="10:10">
      <c r="J231" s="38"/>
    </row>
    <row r="232" spans="10:10">
      <c r="J232" s="38"/>
    </row>
    <row r="233" spans="10:10">
      <c r="J233" s="38"/>
    </row>
    <row r="234" spans="10:10">
      <c r="J234" s="38"/>
    </row>
    <row r="235" spans="10:10">
      <c r="J235" s="38"/>
    </row>
    <row r="236" spans="10:10">
      <c r="J236" s="38"/>
    </row>
    <row r="237" spans="10:10">
      <c r="J237" s="38"/>
    </row>
    <row r="238" spans="10:10">
      <c r="J238" s="38"/>
    </row>
    <row r="239" spans="10:10">
      <c r="J239" s="38"/>
    </row>
    <row r="240" spans="10:10">
      <c r="J240" s="38"/>
    </row>
    <row r="241" spans="10:10">
      <c r="J241" s="38"/>
    </row>
    <row r="242" spans="10:10">
      <c r="J242" s="38"/>
    </row>
    <row r="243" spans="10:10">
      <c r="J243" s="38"/>
    </row>
    <row r="244" spans="10:10">
      <c r="J244" s="38"/>
    </row>
    <row r="245" spans="10:10">
      <c r="J245" s="38"/>
    </row>
    <row r="246" spans="10:10">
      <c r="J246" s="38"/>
    </row>
    <row r="247" spans="10:10">
      <c r="J247" s="38"/>
    </row>
    <row r="248" spans="10:10">
      <c r="J248" s="38"/>
    </row>
    <row r="249" spans="10:10">
      <c r="J249" s="38"/>
    </row>
    <row r="250" spans="10:10">
      <c r="J250" s="38"/>
    </row>
    <row r="251" spans="10:10">
      <c r="J251" s="38"/>
    </row>
    <row r="252" spans="10:10">
      <c r="J252" s="38"/>
    </row>
    <row r="253" spans="10:10">
      <c r="J253" s="38"/>
    </row>
    <row r="254" spans="10:10">
      <c r="J254" s="38"/>
    </row>
    <row r="255" spans="10:10">
      <c r="J255" s="38"/>
    </row>
    <row r="256" spans="10:10">
      <c r="J256" s="38"/>
    </row>
    <row r="257" spans="10:10">
      <c r="J257" s="38"/>
    </row>
    <row r="258" spans="10:10">
      <c r="J258" s="38"/>
    </row>
    <row r="259" spans="10:10">
      <c r="J259" s="38"/>
    </row>
    <row r="260" spans="10:10">
      <c r="J260" s="38"/>
    </row>
    <row r="261" spans="10:10">
      <c r="J261" s="38"/>
    </row>
    <row r="262" spans="10:10">
      <c r="J262" s="38"/>
    </row>
    <row r="263" spans="10:10">
      <c r="J263" s="38"/>
    </row>
    <row r="264" spans="10:10">
      <c r="J264" s="38"/>
    </row>
    <row r="265" spans="10:10">
      <c r="J265" s="38"/>
    </row>
    <row r="266" spans="10:10">
      <c r="J266" s="38"/>
    </row>
    <row r="267" spans="10:10">
      <c r="J267" s="38"/>
    </row>
    <row r="268" spans="10:10">
      <c r="J268" s="38"/>
    </row>
    <row r="269" spans="10:10">
      <c r="J269" s="38"/>
    </row>
    <row r="270" spans="10:10">
      <c r="J270" s="38"/>
    </row>
    <row r="271" spans="10:10">
      <c r="J271" s="38"/>
    </row>
    <row r="272" spans="10:10">
      <c r="J272" s="38"/>
    </row>
    <row r="273" spans="10:10">
      <c r="J273" s="38"/>
    </row>
    <row r="274" spans="10:10">
      <c r="J274" s="38"/>
    </row>
    <row r="275" spans="10:10">
      <c r="J275" s="38"/>
    </row>
    <row r="276" spans="10:10">
      <c r="J276" s="38"/>
    </row>
    <row r="277" spans="10:10">
      <c r="J277" s="38"/>
    </row>
    <row r="278" spans="10:10">
      <c r="J278" s="38"/>
    </row>
    <row r="279" spans="10:10">
      <c r="J279" s="38"/>
    </row>
    <row r="280" spans="10:10">
      <c r="J280" s="38"/>
    </row>
    <row r="281" spans="10:10">
      <c r="J281" s="38"/>
    </row>
    <row r="282" spans="10:10">
      <c r="J282" s="38"/>
    </row>
    <row r="283" spans="10:10">
      <c r="J283" s="38"/>
    </row>
    <row r="284" spans="10:10">
      <c r="J284" s="38"/>
    </row>
    <row r="285" spans="10:10">
      <c r="J285" s="38"/>
    </row>
    <row r="286" spans="10:10">
      <c r="J286" s="38"/>
    </row>
    <row r="287" spans="10:10">
      <c r="J287" s="38"/>
    </row>
    <row r="288" spans="10:10">
      <c r="J288" s="38"/>
    </row>
    <row r="289" spans="10:10">
      <c r="J289" s="38"/>
    </row>
    <row r="290" spans="10:10">
      <c r="J290" s="38"/>
    </row>
    <row r="291" spans="10:10">
      <c r="J291" s="38"/>
    </row>
    <row r="292" spans="10:10">
      <c r="J292" s="38"/>
    </row>
    <row r="293" spans="10:10">
      <c r="J293" s="38"/>
    </row>
    <row r="294" spans="10:10">
      <c r="J294" s="38"/>
    </row>
    <row r="295" spans="10:10">
      <c r="J295" s="38"/>
    </row>
    <row r="296" spans="10:10">
      <c r="J296" s="38"/>
    </row>
    <row r="297" spans="10:10">
      <c r="J297" s="38"/>
    </row>
    <row r="298" spans="10:10">
      <c r="J298" s="38"/>
    </row>
    <row r="299" spans="10:10">
      <c r="J299" s="38"/>
    </row>
    <row r="300" spans="10:10">
      <c r="J300" s="38"/>
    </row>
    <row r="301" spans="10:10">
      <c r="J301" s="38"/>
    </row>
    <row r="302" spans="10:10">
      <c r="J302" s="38"/>
    </row>
    <row r="303" spans="10:10">
      <c r="J303" s="38"/>
    </row>
    <row r="304" spans="10:10">
      <c r="J304" s="38"/>
    </row>
    <row r="305" spans="10:10">
      <c r="J305" s="38"/>
    </row>
    <row r="306" spans="10:10">
      <c r="J306" s="38"/>
    </row>
    <row r="307" spans="10:10">
      <c r="J307" s="38"/>
    </row>
    <row r="308" spans="10:10">
      <c r="J308" s="38"/>
    </row>
    <row r="309" spans="10:10">
      <c r="J309" s="38"/>
    </row>
    <row r="310" spans="10:10">
      <c r="J310" s="38"/>
    </row>
    <row r="311" spans="10:10">
      <c r="J311" s="38"/>
    </row>
    <row r="312" spans="10:10">
      <c r="J312" s="38"/>
    </row>
    <row r="313" spans="10:10">
      <c r="J313" s="38"/>
    </row>
    <row r="314" spans="10:10">
      <c r="J314" s="38"/>
    </row>
    <row r="315" spans="10:10">
      <c r="J315" s="38"/>
    </row>
    <row r="316" spans="10:10">
      <c r="J316" s="38"/>
    </row>
    <row r="317" spans="10:10">
      <c r="J317" s="38"/>
    </row>
    <row r="318" spans="10:10">
      <c r="J318" s="38"/>
    </row>
    <row r="319" spans="10:10">
      <c r="J319" s="38"/>
    </row>
    <row r="320" spans="10:10">
      <c r="J320" s="38"/>
    </row>
    <row r="321" spans="10:10">
      <c r="J321" s="38"/>
    </row>
    <row r="322" spans="10:10">
      <c r="J322" s="38"/>
    </row>
    <row r="323" spans="10:10">
      <c r="J323" s="38"/>
    </row>
    <row r="324" spans="10:10">
      <c r="J324" s="38"/>
    </row>
    <row r="325" spans="10:10">
      <c r="J325" s="38"/>
    </row>
    <row r="326" spans="10:10">
      <c r="J326" s="38"/>
    </row>
    <row r="327" spans="10:10">
      <c r="J327" s="38"/>
    </row>
    <row r="328" spans="10:10">
      <c r="J328" s="38"/>
    </row>
    <row r="329" spans="10:10">
      <c r="J329" s="38"/>
    </row>
    <row r="330" spans="10:10">
      <c r="J330" s="38"/>
    </row>
    <row r="331" spans="10:10">
      <c r="J331" s="38"/>
    </row>
    <row r="332" spans="10:10">
      <c r="J332" s="38"/>
    </row>
    <row r="333" spans="10:10">
      <c r="J333" s="38"/>
    </row>
    <row r="334" spans="10:10">
      <c r="J334" s="38"/>
    </row>
    <row r="335" spans="10:10">
      <c r="J335" s="38"/>
    </row>
    <row r="336" spans="10:10">
      <c r="J336" s="38"/>
    </row>
    <row r="337" spans="10:10">
      <c r="J337" s="38"/>
    </row>
    <row r="338" spans="10:10">
      <c r="J338" s="38"/>
    </row>
    <row r="339" spans="10:10">
      <c r="J339" s="38"/>
    </row>
    <row r="340" spans="10:10">
      <c r="J340" s="38"/>
    </row>
    <row r="341" spans="10:10">
      <c r="J341" s="38"/>
    </row>
    <row r="342" spans="10:10">
      <c r="J342" s="38"/>
    </row>
    <row r="343" spans="10:10">
      <c r="J343" s="38"/>
    </row>
    <row r="344" spans="10:10">
      <c r="J344" s="38"/>
    </row>
    <row r="345" spans="10:10">
      <c r="J345" s="38"/>
    </row>
    <row r="346" spans="10:10">
      <c r="J346" s="38"/>
    </row>
    <row r="347" spans="10:10">
      <c r="J347" s="38"/>
    </row>
    <row r="348" spans="10:10">
      <c r="J348" s="38"/>
    </row>
    <row r="349" spans="10:10">
      <c r="J349" s="38"/>
    </row>
    <row r="350" spans="10:10">
      <c r="J350" s="38"/>
    </row>
    <row r="351" spans="10:10">
      <c r="J351" s="38"/>
    </row>
    <row r="352" spans="10:10">
      <c r="J352" s="38"/>
    </row>
    <row r="353" spans="10:10">
      <c r="J353" s="38"/>
    </row>
    <row r="354" spans="10:10">
      <c r="J354" s="38"/>
    </row>
    <row r="355" spans="10:10">
      <c r="J355" s="38"/>
    </row>
    <row r="356" spans="10:10">
      <c r="J356" s="38"/>
    </row>
    <row r="357" spans="10:10">
      <c r="J357" s="38"/>
    </row>
    <row r="358" spans="10:10">
      <c r="J358" s="38"/>
    </row>
    <row r="359" spans="10:10">
      <c r="J359" s="38"/>
    </row>
    <row r="360" spans="10:10">
      <c r="J360" s="38"/>
    </row>
    <row r="361" spans="10:10">
      <c r="J361" s="38"/>
    </row>
    <row r="362" spans="10:10">
      <c r="J362" s="38"/>
    </row>
    <row r="363" spans="10:10">
      <c r="J363" s="38"/>
    </row>
    <row r="364" spans="10:10">
      <c r="J364" s="38"/>
    </row>
    <row r="365" spans="10:10">
      <c r="J365" s="38"/>
    </row>
    <row r="366" spans="10:10">
      <c r="J366" s="38"/>
    </row>
    <row r="367" spans="10:10">
      <c r="J367" s="38"/>
    </row>
    <row r="368" spans="10:10">
      <c r="J368" s="38"/>
    </row>
    <row r="369" spans="10:10">
      <c r="J369" s="38"/>
    </row>
    <row r="370" spans="10:10">
      <c r="J370" s="38"/>
    </row>
    <row r="371" spans="10:10">
      <c r="J371" s="38"/>
    </row>
    <row r="372" spans="10:10">
      <c r="J372" s="38"/>
    </row>
    <row r="373" spans="10:10">
      <c r="J373" s="38"/>
    </row>
    <row r="374" spans="10:10">
      <c r="J374" s="38"/>
    </row>
    <row r="375" spans="10:10">
      <c r="J375" s="38"/>
    </row>
    <row r="376" spans="10:10">
      <c r="J376" s="38"/>
    </row>
    <row r="377" spans="10:10">
      <c r="J377" s="38"/>
    </row>
    <row r="378" spans="10:10">
      <c r="J378" s="38"/>
    </row>
    <row r="379" spans="10:10">
      <c r="J379" s="38"/>
    </row>
    <row r="380" spans="10:10">
      <c r="J380" s="38"/>
    </row>
    <row r="381" spans="10:10">
      <c r="J381" s="38"/>
    </row>
    <row r="382" spans="10:10">
      <c r="J382" s="38"/>
    </row>
    <row r="383" spans="10:10">
      <c r="J383" s="38"/>
    </row>
    <row r="384" spans="10:10">
      <c r="J384" s="38"/>
    </row>
    <row r="385" spans="10:10">
      <c r="J385" s="38"/>
    </row>
    <row r="386" spans="10:10">
      <c r="J386" s="38"/>
    </row>
    <row r="387" spans="10:10">
      <c r="J387" s="38"/>
    </row>
    <row r="388" spans="10:10">
      <c r="J388" s="38"/>
    </row>
    <row r="389" spans="10:10">
      <c r="J389" s="38"/>
    </row>
    <row r="390" spans="10:10">
      <c r="J390" s="38"/>
    </row>
    <row r="391" spans="10:10">
      <c r="J391" s="38"/>
    </row>
    <row r="392" spans="10:10">
      <c r="J392" s="38"/>
    </row>
    <row r="393" spans="10:10">
      <c r="J393" s="38"/>
    </row>
    <row r="394" spans="10:10">
      <c r="J394" s="38"/>
    </row>
    <row r="395" spans="10:10">
      <c r="J395" s="38"/>
    </row>
    <row r="396" spans="10:10">
      <c r="J396" s="38"/>
    </row>
    <row r="397" spans="10:10">
      <c r="J397" s="38"/>
    </row>
    <row r="398" spans="10:10">
      <c r="J398" s="38"/>
    </row>
    <row r="399" spans="10:10">
      <c r="J399" s="38"/>
    </row>
    <row r="400" spans="10:10">
      <c r="J400" s="38"/>
    </row>
    <row r="401" spans="10:10">
      <c r="J401" s="38"/>
    </row>
    <row r="402" spans="10:10">
      <c r="J402" s="38"/>
    </row>
    <row r="403" spans="10:10">
      <c r="J403" s="38"/>
    </row>
    <row r="404" spans="10:10">
      <c r="J404" s="38"/>
    </row>
    <row r="405" spans="10:10">
      <c r="J405" s="38"/>
    </row>
    <row r="406" spans="10:10">
      <c r="J406" s="38"/>
    </row>
    <row r="407" spans="10:10">
      <c r="J407" s="38"/>
    </row>
    <row r="408" spans="10:10">
      <c r="J408" s="38"/>
    </row>
    <row r="409" spans="10:10">
      <c r="J409" s="38"/>
    </row>
    <row r="410" spans="10:10">
      <c r="J410" s="38"/>
    </row>
    <row r="411" spans="10:10">
      <c r="J411" s="38"/>
    </row>
    <row r="412" spans="10:10">
      <c r="J412" s="38"/>
    </row>
    <row r="413" spans="10:10">
      <c r="J413" s="38"/>
    </row>
    <row r="414" spans="10:10">
      <c r="J414" s="38"/>
    </row>
    <row r="415" spans="10:10">
      <c r="J415" s="38"/>
    </row>
    <row r="416" spans="10:10">
      <c r="J416" s="38"/>
    </row>
    <row r="417" spans="10:10">
      <c r="J417" s="38"/>
    </row>
    <row r="418" spans="10:10">
      <c r="J418" s="38"/>
    </row>
    <row r="419" spans="10:10">
      <c r="J419" s="38"/>
    </row>
    <row r="420" spans="10:10">
      <c r="J420" s="38"/>
    </row>
    <row r="421" spans="10:10">
      <c r="J421" s="38"/>
    </row>
    <row r="422" spans="10:10">
      <c r="J422" s="38"/>
    </row>
    <row r="423" spans="10:10">
      <c r="J423" s="38"/>
    </row>
    <row r="424" spans="10:10">
      <c r="J424" s="38"/>
    </row>
    <row r="425" spans="10:10">
      <c r="J425" s="38"/>
    </row>
    <row r="426" spans="10:10">
      <c r="J426" s="38"/>
    </row>
    <row r="427" spans="10:10">
      <c r="J427" s="38"/>
    </row>
    <row r="428" spans="10:10">
      <c r="J428" s="38"/>
    </row>
    <row r="429" spans="10:10">
      <c r="J429" s="38"/>
    </row>
    <row r="430" spans="10:10">
      <c r="J430" s="38"/>
    </row>
    <row r="431" spans="10:10">
      <c r="J431" s="38"/>
    </row>
    <row r="432" spans="10:10">
      <c r="J432" s="38"/>
    </row>
    <row r="433" spans="10:10">
      <c r="J433" s="38"/>
    </row>
    <row r="434" spans="10:10">
      <c r="J434" s="38"/>
    </row>
    <row r="435" spans="10:10">
      <c r="J435" s="38"/>
    </row>
    <row r="436" spans="10:10">
      <c r="J436" s="38"/>
    </row>
    <row r="437" spans="10:10">
      <c r="J437" s="38"/>
    </row>
    <row r="438" spans="10:10">
      <c r="J438" s="38"/>
    </row>
    <row r="439" spans="10:10">
      <c r="J439" s="38"/>
    </row>
    <row r="440" spans="10:10">
      <c r="J440" s="38"/>
    </row>
    <row r="441" spans="10:10">
      <c r="J441" s="38"/>
    </row>
    <row r="442" spans="10:10">
      <c r="J442" s="38"/>
    </row>
    <row r="443" spans="10:10">
      <c r="J443" s="38"/>
    </row>
    <row r="444" spans="10:10">
      <c r="J444" s="38"/>
    </row>
    <row r="445" spans="10:10">
      <c r="J445" s="38"/>
    </row>
    <row r="446" spans="10:10">
      <c r="J446" s="38"/>
    </row>
    <row r="447" spans="10:10">
      <c r="J447" s="38"/>
    </row>
    <row r="448" spans="10:10">
      <c r="J448" s="38"/>
    </row>
    <row r="449" spans="10:10">
      <c r="J449" s="38"/>
    </row>
    <row r="450" spans="10:10">
      <c r="J450" s="38"/>
    </row>
    <row r="451" spans="10:10">
      <c r="J451" s="38"/>
    </row>
    <row r="452" spans="10:10">
      <c r="J452" s="38"/>
    </row>
    <row r="453" spans="10:10">
      <c r="J453" s="38"/>
    </row>
    <row r="454" spans="10:10">
      <c r="J454" s="38"/>
    </row>
    <row r="455" spans="10:10">
      <c r="J455" s="38"/>
    </row>
    <row r="456" spans="10:10">
      <c r="J456" s="38"/>
    </row>
    <row r="457" spans="10:10">
      <c r="J457" s="38"/>
    </row>
    <row r="458" spans="10:10">
      <c r="J458" s="38"/>
    </row>
    <row r="459" spans="10:10">
      <c r="J459" s="38"/>
    </row>
    <row r="460" spans="10:10">
      <c r="J460" s="38"/>
    </row>
    <row r="461" spans="10:10">
      <c r="J461" s="38"/>
    </row>
    <row r="462" spans="10:10">
      <c r="J462" s="38"/>
    </row>
    <row r="463" spans="10:10">
      <c r="J463" s="38"/>
    </row>
    <row r="464" spans="10:10">
      <c r="J464" s="38"/>
    </row>
    <row r="465" spans="10:10">
      <c r="J465" s="38"/>
    </row>
    <row r="466" spans="10:10">
      <c r="J466" s="38"/>
    </row>
    <row r="467" spans="10:10">
      <c r="J467" s="38"/>
    </row>
    <row r="468" spans="10:10">
      <c r="J468" s="38"/>
    </row>
    <row r="469" spans="10:10">
      <c r="J469" s="38"/>
    </row>
    <row r="470" spans="10:10">
      <c r="J470" s="38"/>
    </row>
    <row r="471" spans="10:10">
      <c r="J471" s="38"/>
    </row>
    <row r="472" spans="10:10">
      <c r="J472" s="38"/>
    </row>
    <row r="473" spans="10:10">
      <c r="J473" s="38"/>
    </row>
    <row r="474" spans="10:10">
      <c r="J474" s="38"/>
    </row>
    <row r="475" spans="10:10">
      <c r="J475" s="38"/>
    </row>
    <row r="476" spans="10:10">
      <c r="J476" s="38"/>
    </row>
    <row r="477" spans="10:10">
      <c r="J477" s="38"/>
    </row>
    <row r="478" spans="10:10">
      <c r="J478" s="38"/>
    </row>
    <row r="479" spans="10:10">
      <c r="J479" s="38"/>
    </row>
    <row r="480" spans="10:10">
      <c r="J480" s="38"/>
    </row>
    <row r="481" spans="10:10">
      <c r="J481" s="38"/>
    </row>
    <row r="482" spans="10:10">
      <c r="J482" s="38"/>
    </row>
    <row r="483" spans="10:10">
      <c r="J483" s="38"/>
    </row>
    <row r="484" spans="10:10">
      <c r="J484" s="38"/>
    </row>
    <row r="485" spans="10:10">
      <c r="J485" s="38"/>
    </row>
    <row r="486" spans="10:10">
      <c r="J486" s="38"/>
    </row>
    <row r="487" spans="10:10">
      <c r="J487" s="38"/>
    </row>
    <row r="488" spans="10:10">
      <c r="J488" s="38"/>
    </row>
    <row r="489" spans="10:10">
      <c r="J489" s="38"/>
    </row>
    <row r="490" spans="10:10">
      <c r="J490" s="38"/>
    </row>
    <row r="491" spans="10:10">
      <c r="J491" s="38"/>
    </row>
    <row r="492" spans="10:10">
      <c r="J492" s="38"/>
    </row>
    <row r="493" spans="10:10">
      <c r="J493" s="38"/>
    </row>
    <row r="494" spans="10:10">
      <c r="J494" s="38"/>
    </row>
    <row r="495" spans="10:10">
      <c r="J495" s="38"/>
    </row>
    <row r="496" spans="10:10">
      <c r="J496" s="38"/>
    </row>
    <row r="497" spans="10:10">
      <c r="J497" s="38"/>
    </row>
    <row r="498" spans="10:10">
      <c r="J498" s="38"/>
    </row>
    <row r="499" spans="10:10">
      <c r="J499" s="38"/>
    </row>
    <row r="500" spans="10:10">
      <c r="J500" s="38"/>
    </row>
    <row r="501" spans="10:10">
      <c r="J501" s="38"/>
    </row>
    <row r="502" spans="10:10">
      <c r="J502" s="38"/>
    </row>
    <row r="503" spans="10:10">
      <c r="J503" s="38"/>
    </row>
    <row r="504" spans="10:10">
      <c r="J504" s="38"/>
    </row>
    <row r="505" spans="10:10">
      <c r="J505" s="38"/>
    </row>
    <row r="506" spans="10:10">
      <c r="J506" s="38"/>
    </row>
    <row r="507" spans="10:10">
      <c r="J507" s="38"/>
    </row>
    <row r="508" spans="10:10">
      <c r="J508" s="38"/>
    </row>
    <row r="509" spans="10:10">
      <c r="J509" s="38"/>
    </row>
    <row r="510" spans="10:10">
      <c r="J510" s="38"/>
    </row>
    <row r="511" spans="10:10">
      <c r="J511" s="38"/>
    </row>
    <row r="512" spans="10:10">
      <c r="J512" s="38"/>
    </row>
    <row r="513" spans="10:10">
      <c r="J513" s="38"/>
    </row>
    <row r="514" spans="10:10">
      <c r="J514" s="38"/>
    </row>
    <row r="515" spans="10:10">
      <c r="J515" s="38"/>
    </row>
    <row r="516" spans="10:10">
      <c r="J516" s="38"/>
    </row>
    <row r="517" spans="10:10">
      <c r="J517" s="38"/>
    </row>
    <row r="518" spans="10:10">
      <c r="J518" s="38"/>
    </row>
    <row r="519" spans="10:10">
      <c r="J519" s="38"/>
    </row>
    <row r="520" spans="10:10">
      <c r="J520" s="38"/>
    </row>
    <row r="521" spans="10:10">
      <c r="J521" s="38"/>
    </row>
    <row r="522" spans="10:10">
      <c r="J522" s="38"/>
    </row>
    <row r="523" spans="10:10">
      <c r="J523" s="38"/>
    </row>
    <row r="524" spans="10:10">
      <c r="J524" s="38"/>
    </row>
    <row r="525" spans="10:10">
      <c r="J525" s="38"/>
    </row>
    <row r="526" spans="10:10">
      <c r="J526" s="38"/>
    </row>
    <row r="527" spans="10:10">
      <c r="J527" s="38"/>
    </row>
    <row r="528" spans="10:10">
      <c r="J528" s="38"/>
    </row>
    <row r="529" spans="10:10">
      <c r="J529" s="38"/>
    </row>
    <row r="530" spans="10:10">
      <c r="J530" s="38"/>
    </row>
    <row r="531" spans="10:10">
      <c r="J531" s="38"/>
    </row>
    <row r="532" spans="10:10">
      <c r="J532" s="38"/>
    </row>
    <row r="533" spans="10:10">
      <c r="J533" s="38"/>
    </row>
    <row r="534" spans="10:10">
      <c r="J534" s="38"/>
    </row>
    <row r="535" spans="10:10">
      <c r="J535" s="38"/>
    </row>
    <row r="536" spans="10:10">
      <c r="J536" s="38"/>
    </row>
    <row r="537" spans="10:10">
      <c r="J537" s="38"/>
    </row>
    <row r="538" spans="10:10">
      <c r="J538" s="38"/>
    </row>
    <row r="539" spans="10:10">
      <c r="J539" s="38"/>
    </row>
    <row r="540" spans="10:10">
      <c r="J540" s="38"/>
    </row>
    <row r="541" spans="10:10">
      <c r="J541" s="38"/>
    </row>
    <row r="542" spans="10:10">
      <c r="J542" s="38"/>
    </row>
    <row r="543" spans="10:10">
      <c r="J543" s="38"/>
    </row>
    <row r="544" spans="10:10">
      <c r="J544" s="38"/>
    </row>
    <row r="545" spans="10:10">
      <c r="J545" s="38"/>
    </row>
    <row r="546" spans="10:10">
      <c r="J546" s="38"/>
    </row>
    <row r="547" spans="10:10">
      <c r="J547" s="38"/>
    </row>
    <row r="548" spans="10:10">
      <c r="J548" s="38"/>
    </row>
    <row r="549" spans="10:10">
      <c r="J549" s="38"/>
    </row>
    <row r="550" spans="10:10">
      <c r="J550" s="38"/>
    </row>
    <row r="551" spans="10:10">
      <c r="J551" s="38"/>
    </row>
    <row r="552" spans="10:10">
      <c r="J552" s="38"/>
    </row>
    <row r="553" spans="10:10">
      <c r="J553" s="38"/>
    </row>
    <row r="554" spans="10:10">
      <c r="J554" s="38"/>
    </row>
    <row r="555" spans="10:10">
      <c r="J555" s="38"/>
    </row>
    <row r="556" spans="10:10">
      <c r="J556" s="38"/>
    </row>
    <row r="557" spans="10:10">
      <c r="J557" s="38"/>
    </row>
    <row r="558" spans="10:10">
      <c r="J558" s="38"/>
    </row>
    <row r="559" spans="10:10">
      <c r="J559" s="38"/>
    </row>
    <row r="560" spans="10:10">
      <c r="J560" s="38"/>
    </row>
    <row r="561" spans="10:10">
      <c r="J561" s="38"/>
    </row>
    <row r="562" spans="10:10">
      <c r="J562" s="38"/>
    </row>
    <row r="563" spans="10:10">
      <c r="J563" s="38"/>
    </row>
    <row r="564" spans="10:10">
      <c r="J564" s="38"/>
    </row>
    <row r="565" spans="10:10">
      <c r="J565" s="38"/>
    </row>
    <row r="566" spans="10:10">
      <c r="J566" s="38"/>
    </row>
    <row r="567" spans="10:10">
      <c r="J567" s="38"/>
    </row>
    <row r="568" spans="10:10">
      <c r="J568" s="38"/>
    </row>
    <row r="569" spans="10:10">
      <c r="J569" s="38"/>
    </row>
    <row r="570" spans="10:10">
      <c r="J570" s="38"/>
    </row>
    <row r="571" spans="10:10">
      <c r="J571" s="38"/>
    </row>
    <row r="572" spans="10:10">
      <c r="J572" s="38"/>
    </row>
    <row r="573" spans="10:10">
      <c r="J573" s="38"/>
    </row>
    <row r="574" spans="10:10">
      <c r="J574" s="38"/>
    </row>
    <row r="575" spans="10:10">
      <c r="J575" s="38"/>
    </row>
    <row r="576" spans="10:10">
      <c r="J576" s="38"/>
    </row>
    <row r="577" spans="10:10">
      <c r="J577" s="38"/>
    </row>
    <row r="578" spans="10:10">
      <c r="J578" s="38"/>
    </row>
    <row r="579" spans="10:10">
      <c r="J579" s="38"/>
    </row>
    <row r="580" spans="10:10">
      <c r="J580" s="38"/>
    </row>
    <row r="581" spans="10:10">
      <c r="J581" s="38"/>
    </row>
    <row r="582" spans="10:10">
      <c r="J582" s="38"/>
    </row>
    <row r="583" spans="10:10">
      <c r="J583" s="38"/>
    </row>
    <row r="584" spans="10:10">
      <c r="J584" s="38"/>
    </row>
    <row r="585" spans="10:10">
      <c r="J585" s="38"/>
    </row>
    <row r="586" spans="10:10">
      <c r="J586" s="38"/>
    </row>
    <row r="587" spans="10:10">
      <c r="J587" s="38"/>
    </row>
    <row r="588" spans="10:10">
      <c r="J588" s="38"/>
    </row>
    <row r="589" spans="10:10">
      <c r="J589" s="38"/>
    </row>
    <row r="590" spans="10:10">
      <c r="J590" s="38"/>
    </row>
    <row r="591" spans="10:10">
      <c r="J591" s="38"/>
    </row>
    <row r="592" spans="10:10">
      <c r="J592" s="38"/>
    </row>
    <row r="593" spans="10:10">
      <c r="J593" s="38"/>
    </row>
    <row r="594" spans="10:10">
      <c r="J594" s="38"/>
    </row>
    <row r="595" spans="10:10">
      <c r="J595" s="38"/>
    </row>
    <row r="596" spans="10:10">
      <c r="J596" s="38"/>
    </row>
    <row r="597" spans="10:10">
      <c r="J597" s="38"/>
    </row>
    <row r="598" spans="10:10">
      <c r="J598" s="38"/>
    </row>
    <row r="599" spans="10:10">
      <c r="J599" s="38"/>
    </row>
    <row r="600" spans="10:10">
      <c r="J600" s="38"/>
    </row>
    <row r="601" spans="10:10">
      <c r="J601" s="38"/>
    </row>
    <row r="602" spans="10:10">
      <c r="J602" s="38"/>
    </row>
    <row r="603" spans="10:10">
      <c r="J603" s="38"/>
    </row>
    <row r="604" spans="10:10">
      <c r="J604" s="38"/>
    </row>
    <row r="605" spans="10:10">
      <c r="J605" s="38"/>
    </row>
    <row r="606" spans="10:10">
      <c r="J606" s="38"/>
    </row>
    <row r="607" spans="10:10">
      <c r="J607" s="38"/>
    </row>
    <row r="608" spans="10:10">
      <c r="J608" s="38"/>
    </row>
    <row r="609" spans="10:10">
      <c r="J609" s="38"/>
    </row>
    <row r="610" spans="10:10">
      <c r="J610" s="38"/>
    </row>
    <row r="611" spans="10:10">
      <c r="J611" s="38"/>
    </row>
    <row r="612" spans="10:10">
      <c r="J612" s="38"/>
    </row>
    <row r="613" spans="10:10">
      <c r="J613" s="38"/>
    </row>
    <row r="614" spans="10:10">
      <c r="J614" s="38"/>
    </row>
    <row r="615" spans="10:10">
      <c r="J615" s="38"/>
    </row>
    <row r="616" spans="10:10">
      <c r="J616" s="38"/>
    </row>
    <row r="617" spans="10:10">
      <c r="J617" s="38"/>
    </row>
    <row r="618" spans="10:10">
      <c r="J618" s="38"/>
    </row>
    <row r="619" spans="10:10">
      <c r="J619" s="38"/>
    </row>
    <row r="620" spans="10:10">
      <c r="J620" s="38"/>
    </row>
    <row r="621" spans="10:10">
      <c r="J621" s="38"/>
    </row>
    <row r="622" spans="10:10">
      <c r="J622" s="38"/>
    </row>
    <row r="623" spans="10:10">
      <c r="J623" s="38"/>
    </row>
    <row r="624" spans="10:10">
      <c r="J624" s="38"/>
    </row>
    <row r="625" spans="10:10">
      <c r="J625" s="38"/>
    </row>
    <row r="626" spans="10:10">
      <c r="J626" s="38"/>
    </row>
    <row r="627" spans="10:10">
      <c r="J627" s="38"/>
    </row>
    <row r="628" spans="10:10">
      <c r="J628" s="38"/>
    </row>
    <row r="629" spans="10:10">
      <c r="J629" s="38"/>
    </row>
    <row r="630" spans="10:10">
      <c r="J630" s="38"/>
    </row>
    <row r="631" spans="10:10">
      <c r="J631" s="38"/>
    </row>
    <row r="632" spans="10:10">
      <c r="J632" s="38"/>
    </row>
    <row r="633" spans="10:10">
      <c r="J633" s="38"/>
    </row>
    <row r="634" spans="10:10">
      <c r="J634" s="38"/>
    </row>
    <row r="635" spans="10:10">
      <c r="J635" s="38"/>
    </row>
    <row r="636" spans="10:10">
      <c r="J636" s="38"/>
    </row>
    <row r="637" spans="10:10">
      <c r="J637" s="38"/>
    </row>
    <row r="638" spans="10:10">
      <c r="J638" s="38"/>
    </row>
    <row r="639" spans="10:10">
      <c r="J639" s="38"/>
    </row>
    <row r="640" spans="10:10">
      <c r="J640" s="38"/>
    </row>
    <row r="641" spans="10:10">
      <c r="J641" s="38"/>
    </row>
    <row r="642" spans="10:10">
      <c r="J642" s="38"/>
    </row>
    <row r="643" spans="10:10">
      <c r="J643" s="38"/>
    </row>
    <row r="644" spans="10:10">
      <c r="J644" s="38"/>
    </row>
    <row r="645" spans="10:10">
      <c r="J645" s="38"/>
    </row>
    <row r="646" spans="10:10">
      <c r="J646" s="38"/>
    </row>
    <row r="647" spans="10:10">
      <c r="J647" s="38"/>
    </row>
    <row r="648" spans="10:10">
      <c r="J648" s="38"/>
    </row>
    <row r="649" spans="10:10">
      <c r="J649" s="38"/>
    </row>
    <row r="650" spans="10:10">
      <c r="J650" s="38"/>
    </row>
    <row r="651" spans="10:10">
      <c r="J651" s="38"/>
    </row>
    <row r="652" spans="10:10">
      <c r="J652" s="38"/>
    </row>
    <row r="653" spans="10:10">
      <c r="J653" s="38"/>
    </row>
    <row r="654" spans="10:10">
      <c r="J654" s="38"/>
    </row>
    <row r="655" spans="10:10">
      <c r="J655" s="38"/>
    </row>
    <row r="656" spans="10:10">
      <c r="J656" s="38"/>
    </row>
    <row r="657" spans="10:10">
      <c r="J657" s="38"/>
    </row>
    <row r="658" spans="10:10">
      <c r="J658" s="38"/>
    </row>
    <row r="659" spans="10:10">
      <c r="J659" s="38"/>
    </row>
    <row r="660" spans="10:10">
      <c r="J660" s="38"/>
    </row>
    <row r="661" spans="10:10">
      <c r="J661" s="38"/>
    </row>
    <row r="662" spans="10:10">
      <c r="J662" s="38"/>
    </row>
    <row r="663" spans="10:10">
      <c r="J663" s="38"/>
    </row>
    <row r="664" spans="10:10">
      <c r="J664" s="38"/>
    </row>
    <row r="665" spans="10:10">
      <c r="J665" s="38"/>
    </row>
    <row r="666" spans="10:10">
      <c r="J666" s="38"/>
    </row>
    <row r="667" spans="10:10">
      <c r="J667" s="38"/>
    </row>
    <row r="668" spans="10:10">
      <c r="J668" s="38"/>
    </row>
    <row r="669" spans="10:10">
      <c r="J669" s="38"/>
    </row>
    <row r="670" spans="10:10">
      <c r="J670" s="38"/>
    </row>
    <row r="671" spans="10:10">
      <c r="J671" s="38"/>
    </row>
    <row r="672" spans="10:10">
      <c r="J672" s="38"/>
    </row>
    <row r="673" spans="10:10">
      <c r="J673" s="38"/>
    </row>
    <row r="674" spans="10:10">
      <c r="J674" s="38"/>
    </row>
    <row r="675" spans="10:10">
      <c r="J675" s="38"/>
    </row>
    <row r="676" spans="10:10">
      <c r="J676" s="38"/>
    </row>
    <row r="677" spans="10:10">
      <c r="J677" s="38"/>
    </row>
    <row r="678" spans="10:10">
      <c r="J678" s="38"/>
    </row>
    <row r="679" spans="10:10">
      <c r="J679" s="38"/>
    </row>
    <row r="680" spans="10:10">
      <c r="J680" s="38"/>
    </row>
    <row r="681" spans="10:10">
      <c r="J681" s="38"/>
    </row>
    <row r="682" spans="10:10">
      <c r="J682" s="38"/>
    </row>
    <row r="683" spans="10:10">
      <c r="J683" s="38"/>
    </row>
    <row r="684" spans="10:10">
      <c r="J684" s="38"/>
    </row>
    <row r="685" spans="10:10">
      <c r="J685" s="38"/>
    </row>
    <row r="686" spans="10:10">
      <c r="J686" s="38"/>
    </row>
    <row r="687" spans="10:10">
      <c r="J687" s="38"/>
    </row>
    <row r="688" spans="10:10">
      <c r="J688" s="38"/>
    </row>
    <row r="689" spans="10:10">
      <c r="J689" s="38"/>
    </row>
    <row r="690" spans="10:10">
      <c r="J690" s="38"/>
    </row>
    <row r="691" spans="10:10">
      <c r="J691" s="38"/>
    </row>
    <row r="692" spans="10:10">
      <c r="J692" s="38"/>
    </row>
    <row r="693" spans="10:10">
      <c r="J693" s="38"/>
    </row>
    <row r="694" spans="10:10">
      <c r="J694" s="38"/>
    </row>
    <row r="695" spans="10:10">
      <c r="J695" s="38"/>
    </row>
    <row r="696" spans="10:10">
      <c r="J696" s="38"/>
    </row>
    <row r="697" spans="10:10">
      <c r="J697" s="38"/>
    </row>
    <row r="698" spans="10:10">
      <c r="J698" s="38"/>
    </row>
    <row r="699" spans="10:10">
      <c r="J699" s="38"/>
    </row>
    <row r="700" spans="10:10">
      <c r="J700" s="38"/>
    </row>
    <row r="701" spans="10:10">
      <c r="J701" s="38"/>
    </row>
    <row r="702" spans="10:10">
      <c r="J702" s="38"/>
    </row>
    <row r="703" spans="10:10">
      <c r="J703" s="38"/>
    </row>
    <row r="704" spans="10:10">
      <c r="J704" s="38"/>
    </row>
    <row r="705" spans="10:10">
      <c r="J705" s="38"/>
    </row>
    <row r="706" spans="10:10">
      <c r="J706" s="38"/>
    </row>
    <row r="707" spans="10:10">
      <c r="J707" s="38"/>
    </row>
    <row r="708" spans="10:10">
      <c r="J708" s="38"/>
    </row>
    <row r="709" spans="10:10">
      <c r="J709" s="38"/>
    </row>
    <row r="710" spans="10:10">
      <c r="J710" s="38"/>
    </row>
    <row r="711" spans="10:10">
      <c r="J711" s="38"/>
    </row>
    <row r="712" spans="10:10">
      <c r="J712" s="38"/>
    </row>
    <row r="713" spans="10:10">
      <c r="J713" s="38"/>
    </row>
    <row r="714" spans="10:10">
      <c r="J714" s="38"/>
    </row>
    <row r="715" spans="10:10">
      <c r="J715" s="38"/>
    </row>
    <row r="716" spans="10:10">
      <c r="J716" s="38"/>
    </row>
    <row r="717" spans="10:10">
      <c r="J717" s="38"/>
    </row>
    <row r="718" spans="10:10">
      <c r="J718" s="38"/>
    </row>
    <row r="719" spans="10:10">
      <c r="J719" s="38"/>
    </row>
    <row r="720" spans="10:10">
      <c r="J720" s="38"/>
    </row>
    <row r="721" spans="10:10">
      <c r="J721" s="38"/>
    </row>
    <row r="722" spans="10:10">
      <c r="J722" s="38"/>
    </row>
    <row r="723" spans="10:10">
      <c r="J723" s="38"/>
    </row>
    <row r="724" spans="10:10">
      <c r="J724" s="38"/>
    </row>
    <row r="725" spans="10:10">
      <c r="J725" s="38"/>
    </row>
    <row r="726" spans="10:10">
      <c r="J726" s="38"/>
    </row>
    <row r="727" spans="10:10">
      <c r="J727" s="38"/>
    </row>
    <row r="728" spans="10:10">
      <c r="J728" s="38"/>
    </row>
    <row r="729" spans="10:10">
      <c r="J729" s="38"/>
    </row>
    <row r="730" spans="10:10">
      <c r="J730" s="38"/>
    </row>
    <row r="731" spans="10:10">
      <c r="J731" s="38"/>
    </row>
    <row r="732" spans="10:10">
      <c r="J732" s="38"/>
    </row>
    <row r="733" spans="10:10">
      <c r="J733" s="38"/>
    </row>
    <row r="734" spans="10:10">
      <c r="J734" s="38"/>
    </row>
    <row r="735" spans="10:10">
      <c r="J735" s="38"/>
    </row>
    <row r="736" spans="10:10">
      <c r="J736" s="38"/>
    </row>
    <row r="737" spans="10:10">
      <c r="J737" s="38"/>
    </row>
    <row r="738" spans="10:10">
      <c r="J738" s="38"/>
    </row>
    <row r="739" spans="10:10">
      <c r="J739" s="38"/>
    </row>
    <row r="740" spans="10:10">
      <c r="J740" s="38"/>
    </row>
    <row r="741" spans="10:10">
      <c r="J741" s="38"/>
    </row>
    <row r="742" spans="10:10">
      <c r="J742" s="38"/>
    </row>
    <row r="743" spans="10:10">
      <c r="J743" s="38"/>
    </row>
    <row r="744" spans="10:10">
      <c r="J744" s="38"/>
    </row>
    <row r="745" spans="10:10">
      <c r="J745" s="38"/>
    </row>
    <row r="746" spans="10:10">
      <c r="J746" s="38"/>
    </row>
    <row r="747" spans="10:10">
      <c r="J747" s="38"/>
    </row>
    <row r="748" spans="10:10">
      <c r="J748" s="38"/>
    </row>
    <row r="749" spans="10:10">
      <c r="J749" s="38"/>
    </row>
    <row r="750" spans="10:10">
      <c r="J750" s="38"/>
    </row>
    <row r="751" spans="10:10">
      <c r="J751" s="38"/>
    </row>
    <row r="752" spans="10:10">
      <c r="J752" s="38"/>
    </row>
    <row r="753" spans="10:10">
      <c r="J753" s="38"/>
    </row>
    <row r="754" spans="10:10">
      <c r="J754" s="38"/>
    </row>
    <row r="755" spans="10:10">
      <c r="J755" s="38"/>
    </row>
    <row r="756" spans="10:10">
      <c r="J756" s="38"/>
    </row>
    <row r="757" spans="10:10">
      <c r="J757" s="38"/>
    </row>
    <row r="758" spans="10:10">
      <c r="J758" s="38"/>
    </row>
    <row r="759" spans="10:10">
      <c r="J759" s="38"/>
    </row>
    <row r="760" spans="10:10">
      <c r="J760" s="38"/>
    </row>
    <row r="761" spans="10:10">
      <c r="J761" s="38"/>
    </row>
    <row r="762" spans="10:10">
      <c r="J762" s="38"/>
    </row>
    <row r="763" spans="10:10">
      <c r="J763" s="38"/>
    </row>
    <row r="764" spans="10:10">
      <c r="J764" s="38"/>
    </row>
    <row r="765" spans="10:10">
      <c r="J765" s="38"/>
    </row>
    <row r="766" spans="10:10">
      <c r="J766" s="38"/>
    </row>
    <row r="767" spans="10:10">
      <c r="J767" s="38"/>
    </row>
    <row r="768" spans="10:10">
      <c r="J768" s="38"/>
    </row>
    <row r="769" spans="10:10">
      <c r="J769" s="38"/>
    </row>
    <row r="770" spans="10:10">
      <c r="J770" s="38"/>
    </row>
    <row r="771" spans="10:10">
      <c r="J771" s="38"/>
    </row>
    <row r="772" spans="10:10">
      <c r="J772" s="38"/>
    </row>
    <row r="773" spans="10:10">
      <c r="J773" s="38"/>
    </row>
    <row r="774" spans="10:10">
      <c r="J774" s="38"/>
    </row>
    <row r="775" spans="10:10">
      <c r="J775" s="38"/>
    </row>
    <row r="776" spans="10:10">
      <c r="J776" s="38"/>
    </row>
    <row r="777" spans="10:10">
      <c r="J777" s="38"/>
    </row>
    <row r="778" spans="10:10">
      <c r="J778" s="38"/>
    </row>
    <row r="779" spans="10:10">
      <c r="J779" s="38"/>
    </row>
    <row r="780" spans="10:10">
      <c r="J780" s="38"/>
    </row>
    <row r="781" spans="10:10">
      <c r="J781" s="38"/>
    </row>
    <row r="782" spans="10:10">
      <c r="J782" s="38"/>
    </row>
    <row r="783" spans="10:10">
      <c r="J783" s="38"/>
    </row>
    <row r="784" spans="10:10">
      <c r="J784" s="38"/>
    </row>
    <row r="785" spans="10:10">
      <c r="J785" s="38"/>
    </row>
    <row r="786" spans="10:10">
      <c r="J786" s="38"/>
    </row>
    <row r="787" spans="10:10">
      <c r="J787" s="38"/>
    </row>
    <row r="788" spans="10:10">
      <c r="J788" s="38"/>
    </row>
    <row r="789" spans="10:10">
      <c r="J789" s="38"/>
    </row>
    <row r="790" spans="10:10">
      <c r="J790" s="38"/>
    </row>
    <row r="791" spans="10:10">
      <c r="J791" s="38"/>
    </row>
    <row r="792" spans="10:10">
      <c r="J792" s="38"/>
    </row>
    <row r="793" spans="10:10">
      <c r="J793" s="38"/>
    </row>
    <row r="794" spans="10:10">
      <c r="J794" s="38"/>
    </row>
    <row r="795" spans="10:10">
      <c r="J795" s="38"/>
    </row>
    <row r="796" spans="10:10">
      <c r="J796" s="38"/>
    </row>
    <row r="797" spans="10:10">
      <c r="J797" s="38"/>
    </row>
    <row r="798" spans="10:10">
      <c r="J798" s="38"/>
    </row>
    <row r="799" spans="10:10">
      <c r="J799" s="38"/>
    </row>
    <row r="800" spans="10:10">
      <c r="J800" s="38"/>
    </row>
    <row r="801" spans="10:10">
      <c r="J801" s="38"/>
    </row>
    <row r="802" spans="10:10">
      <c r="J802" s="38"/>
    </row>
    <row r="803" spans="10:10">
      <c r="J803" s="38"/>
    </row>
    <row r="804" spans="10:10">
      <c r="J804" s="38"/>
    </row>
    <row r="805" spans="10:10">
      <c r="J805" s="38"/>
    </row>
    <row r="806" spans="10:10">
      <c r="J806" s="38"/>
    </row>
    <row r="807" spans="10:10">
      <c r="J807" s="38"/>
    </row>
    <row r="808" spans="10:10">
      <c r="J808" s="38"/>
    </row>
    <row r="809" spans="10:10">
      <c r="J809" s="38"/>
    </row>
    <row r="810" spans="10:10">
      <c r="J810" s="38"/>
    </row>
    <row r="811" spans="10:10">
      <c r="J811" s="38"/>
    </row>
    <row r="812" spans="10:10">
      <c r="J812" s="38"/>
    </row>
    <row r="813" spans="10:10">
      <c r="J813" s="38"/>
    </row>
    <row r="814" spans="10:10">
      <c r="J814" s="38"/>
    </row>
    <row r="815" spans="10:10">
      <c r="J815" s="38"/>
    </row>
    <row r="816" spans="10:10">
      <c r="J816" s="38"/>
    </row>
    <row r="817" spans="10:10">
      <c r="J817" s="38"/>
    </row>
    <row r="818" spans="10:10">
      <c r="J818" s="38"/>
    </row>
    <row r="819" spans="10:10">
      <c r="J819" s="38"/>
    </row>
    <row r="820" spans="10:10">
      <c r="J820" s="38"/>
    </row>
    <row r="821" spans="10:10">
      <c r="J821" s="38"/>
    </row>
    <row r="822" spans="10:10">
      <c r="J822" s="38"/>
    </row>
    <row r="823" spans="10:10">
      <c r="J823" s="38"/>
    </row>
    <row r="824" spans="10:10">
      <c r="J824" s="38"/>
    </row>
    <row r="825" spans="10:10">
      <c r="J825" s="38"/>
    </row>
    <row r="826" spans="10:10">
      <c r="J826" s="38"/>
    </row>
    <row r="827" spans="10:10">
      <c r="J827" s="38"/>
    </row>
    <row r="828" spans="10:10">
      <c r="J828" s="38"/>
    </row>
    <row r="829" spans="10:10">
      <c r="J829" s="38"/>
    </row>
    <row r="830" spans="10:10">
      <c r="J830" s="38"/>
    </row>
    <row r="831" spans="10:10">
      <c r="J831" s="38"/>
    </row>
    <row r="832" spans="10:10">
      <c r="J832" s="38"/>
    </row>
    <row r="833" spans="10:10">
      <c r="J833" s="38"/>
    </row>
    <row r="834" spans="10:10">
      <c r="J834" s="38"/>
    </row>
    <row r="835" spans="10:10">
      <c r="J835" s="38"/>
    </row>
    <row r="836" spans="10:10">
      <c r="J836" s="38"/>
    </row>
    <row r="837" spans="10:10">
      <c r="J837" s="38"/>
    </row>
    <row r="838" spans="10:10">
      <c r="J838" s="38"/>
    </row>
    <row r="839" spans="10:10">
      <c r="J839" s="38"/>
    </row>
    <row r="840" spans="10:10">
      <c r="J840" s="38"/>
    </row>
    <row r="841" spans="10:10">
      <c r="J841" s="38"/>
    </row>
    <row r="842" spans="10:10">
      <c r="J842" s="38"/>
    </row>
    <row r="843" spans="10:10">
      <c r="J843" s="38"/>
    </row>
    <row r="844" spans="10:10">
      <c r="J844" s="38"/>
    </row>
    <row r="845" spans="10:10">
      <c r="J845" s="38"/>
    </row>
    <row r="846" spans="10:10">
      <c r="J846" s="38"/>
    </row>
    <row r="847" spans="10:10">
      <c r="J847" s="38"/>
    </row>
    <row r="848" spans="10:10">
      <c r="J848" s="38"/>
    </row>
    <row r="849" spans="10:10">
      <c r="J849" s="38"/>
    </row>
    <row r="850" spans="10:10">
      <c r="J850" s="38"/>
    </row>
    <row r="851" spans="10:10">
      <c r="J851" s="38"/>
    </row>
    <row r="852" spans="10:10">
      <c r="J852" s="38"/>
    </row>
    <row r="853" spans="10:10">
      <c r="J853" s="38"/>
    </row>
    <row r="854" spans="10:10">
      <c r="J854" s="38"/>
    </row>
    <row r="855" spans="10:10">
      <c r="J855" s="38"/>
    </row>
    <row r="856" spans="10:10">
      <c r="J856" s="38"/>
    </row>
    <row r="857" spans="10:10">
      <c r="J857" s="38"/>
    </row>
    <row r="858" spans="10:10">
      <c r="J858" s="38"/>
    </row>
    <row r="859" spans="10:10">
      <c r="J859" s="38"/>
    </row>
    <row r="860" spans="10:10">
      <c r="J860" s="38"/>
    </row>
    <row r="861" spans="10:10">
      <c r="J861" s="38"/>
    </row>
    <row r="862" spans="10:10">
      <c r="J862" s="38"/>
    </row>
    <row r="863" spans="10:10">
      <c r="J863" s="38"/>
    </row>
    <row r="864" spans="10:10">
      <c r="J864" s="38"/>
    </row>
    <row r="865" spans="10:10">
      <c r="J865" s="38"/>
    </row>
    <row r="866" spans="10:10">
      <c r="J866" s="38"/>
    </row>
    <row r="867" spans="10:10">
      <c r="J867" s="38"/>
    </row>
    <row r="868" spans="10:10">
      <c r="J868" s="38"/>
    </row>
    <row r="869" spans="10:10">
      <c r="J869" s="38"/>
    </row>
    <row r="870" spans="10:10">
      <c r="J870" s="38"/>
    </row>
    <row r="871" spans="10:10">
      <c r="J871" s="38"/>
    </row>
    <row r="872" spans="10:10">
      <c r="J872" s="38"/>
    </row>
    <row r="873" spans="10:10">
      <c r="J873" s="38"/>
    </row>
    <row r="874" spans="10:10">
      <c r="J874" s="38"/>
    </row>
    <row r="875" spans="10:10">
      <c r="J875" s="38"/>
    </row>
    <row r="876" spans="10:10">
      <c r="J876" s="38"/>
    </row>
    <row r="877" spans="10:10">
      <c r="J877" s="38"/>
    </row>
    <row r="878" spans="10:10">
      <c r="J878" s="38"/>
    </row>
    <row r="879" spans="10:10">
      <c r="J879" s="38"/>
    </row>
    <row r="880" spans="10:10">
      <c r="J880" s="38"/>
    </row>
    <row r="881" spans="10:10">
      <c r="J881" s="38"/>
    </row>
    <row r="882" spans="10:10">
      <c r="J882" s="38"/>
    </row>
    <row r="883" spans="10:10">
      <c r="J883" s="38"/>
    </row>
    <row r="884" spans="10:10">
      <c r="J884" s="38"/>
    </row>
    <row r="885" spans="10:10">
      <c r="J885" s="38"/>
    </row>
    <row r="886" spans="10:10">
      <c r="J886" s="38"/>
    </row>
    <row r="887" spans="10:10">
      <c r="J887" s="38"/>
    </row>
    <row r="888" spans="10:10">
      <c r="J888" s="38"/>
    </row>
    <row r="889" spans="10:10">
      <c r="J889" s="38"/>
    </row>
    <row r="890" spans="10:10">
      <c r="J890" s="38"/>
    </row>
    <row r="891" spans="10:10">
      <c r="J891" s="38"/>
    </row>
    <row r="892" spans="10:10">
      <c r="J892" s="38"/>
    </row>
    <row r="893" spans="10:10">
      <c r="J893" s="38"/>
    </row>
    <row r="894" spans="10:10">
      <c r="J894" s="38"/>
    </row>
    <row r="895" spans="10:10">
      <c r="J895" s="38"/>
    </row>
    <row r="896" spans="10:10">
      <c r="J896" s="38"/>
    </row>
    <row r="897" spans="10:10">
      <c r="J897" s="38"/>
    </row>
    <row r="898" spans="10:10">
      <c r="J898" s="38"/>
    </row>
    <row r="899" spans="10:10">
      <c r="J899" s="38"/>
    </row>
    <row r="900" spans="10:10">
      <c r="J900" s="38"/>
    </row>
    <row r="901" spans="10:10">
      <c r="J901" s="38"/>
    </row>
    <row r="902" spans="10:10">
      <c r="J902" s="38"/>
    </row>
    <row r="903" spans="10:10">
      <c r="J903" s="38"/>
    </row>
    <row r="904" spans="10:10">
      <c r="J904" s="38"/>
    </row>
    <row r="905" spans="10:10">
      <c r="J905" s="38"/>
    </row>
    <row r="906" spans="10:10">
      <c r="J906" s="38"/>
    </row>
    <row r="907" spans="10:10">
      <c r="J907" s="38"/>
    </row>
    <row r="908" spans="10:10">
      <c r="J908" s="38"/>
    </row>
    <row r="909" spans="10:10">
      <c r="J909" s="38"/>
    </row>
    <row r="910" spans="10:10">
      <c r="J910" s="38"/>
    </row>
    <row r="911" spans="10:10">
      <c r="J911" s="38"/>
    </row>
    <row r="912" spans="10:10">
      <c r="J912" s="38"/>
    </row>
    <row r="913" spans="10:10">
      <c r="J913" s="38"/>
    </row>
    <row r="914" spans="10:10">
      <c r="J914" s="38"/>
    </row>
    <row r="915" spans="10:10">
      <c r="J915" s="38"/>
    </row>
    <row r="916" spans="10:10">
      <c r="J916" s="38"/>
    </row>
    <row r="917" spans="10:10">
      <c r="J917" s="38"/>
    </row>
    <row r="918" spans="10:10">
      <c r="J918" s="38"/>
    </row>
    <row r="919" spans="10:10">
      <c r="J919" s="38"/>
    </row>
    <row r="920" spans="10:10">
      <c r="J920" s="38"/>
    </row>
    <row r="921" spans="10:10">
      <c r="J921" s="38"/>
    </row>
    <row r="922" spans="10:10">
      <c r="J922" s="38"/>
    </row>
    <row r="923" spans="10:10">
      <c r="J923" s="38"/>
    </row>
    <row r="924" spans="10:10">
      <c r="J924" s="38"/>
    </row>
    <row r="925" spans="10:10">
      <c r="J925" s="38"/>
    </row>
    <row r="926" spans="10:10">
      <c r="J926" s="38"/>
    </row>
    <row r="927" spans="10:10">
      <c r="J927" s="38"/>
    </row>
    <row r="928" spans="10:10">
      <c r="J928" s="38"/>
    </row>
    <row r="929" spans="10:10">
      <c r="J929" s="38"/>
    </row>
    <row r="930" spans="10:10">
      <c r="J930" s="38"/>
    </row>
    <row r="931" spans="10:10">
      <c r="J931" s="38"/>
    </row>
    <row r="932" spans="10:10">
      <c r="J932" s="38"/>
    </row>
    <row r="933" spans="10:10">
      <c r="J933" s="38"/>
    </row>
    <row r="934" spans="10:10">
      <c r="J934" s="38"/>
    </row>
    <row r="935" spans="10:10">
      <c r="J935" s="38"/>
    </row>
    <row r="936" spans="10:10">
      <c r="J936" s="38"/>
    </row>
    <row r="937" spans="10:10">
      <c r="J937" s="38"/>
    </row>
    <row r="938" spans="10:10">
      <c r="J938" s="38"/>
    </row>
    <row r="939" spans="10:10">
      <c r="J939" s="38"/>
    </row>
    <row r="940" spans="10:10">
      <c r="J940" s="38"/>
    </row>
    <row r="941" spans="10:10">
      <c r="J941" s="38"/>
    </row>
    <row r="942" spans="10:10">
      <c r="J942" s="38"/>
    </row>
    <row r="943" spans="10:10">
      <c r="J943" s="38"/>
    </row>
    <row r="944" spans="10:10">
      <c r="J944" s="38"/>
    </row>
    <row r="945" spans="10:10">
      <c r="J945" s="38"/>
    </row>
    <row r="946" spans="10:10">
      <c r="J946" s="38"/>
    </row>
    <row r="947" spans="10:10">
      <c r="J947" s="38"/>
    </row>
    <row r="948" spans="10:10">
      <c r="J948" s="38"/>
    </row>
    <row r="949" spans="10:10">
      <c r="J949" s="38"/>
    </row>
    <row r="950" spans="10:10">
      <c r="J950" s="38"/>
    </row>
    <row r="951" spans="10:10">
      <c r="J951" s="38"/>
    </row>
    <row r="952" spans="10:10">
      <c r="J952" s="38"/>
    </row>
    <row r="953" spans="10:10">
      <c r="J953" s="38"/>
    </row>
    <row r="954" spans="10:10">
      <c r="J954" s="38"/>
    </row>
    <row r="955" spans="10:10">
      <c r="J955" s="38"/>
    </row>
    <row r="956" spans="10:10">
      <c r="J956" s="38"/>
    </row>
    <row r="957" spans="10:10">
      <c r="J957" s="38"/>
    </row>
    <row r="958" spans="10:10">
      <c r="J958" s="38"/>
    </row>
    <row r="959" spans="10:10">
      <c r="J959" s="38"/>
    </row>
    <row r="960" spans="10:10">
      <c r="J960" s="38"/>
    </row>
    <row r="961" spans="10:10">
      <c r="J961" s="38"/>
    </row>
    <row r="962" spans="10:10">
      <c r="J962" s="38"/>
    </row>
    <row r="963" spans="10:10">
      <c r="J963" s="38"/>
    </row>
    <row r="964" spans="10:10">
      <c r="J964" s="38"/>
    </row>
    <row r="965" spans="10:10">
      <c r="J965" s="38"/>
    </row>
    <row r="966" spans="10:10">
      <c r="J966" s="38"/>
    </row>
    <row r="967" spans="10:10">
      <c r="J967" s="38"/>
    </row>
    <row r="968" spans="10:10">
      <c r="J968" s="38"/>
    </row>
    <row r="969" spans="10:10">
      <c r="J969" s="38"/>
    </row>
    <row r="970" spans="10:10">
      <c r="J970" s="38"/>
    </row>
    <row r="971" spans="10:10">
      <c r="J971" s="38"/>
    </row>
    <row r="972" spans="10:10">
      <c r="J972" s="38"/>
    </row>
    <row r="973" spans="10:10">
      <c r="J973" s="38"/>
    </row>
    <row r="974" spans="10:10">
      <c r="J974" s="38"/>
    </row>
    <row r="975" spans="10:10">
      <c r="J975" s="38"/>
    </row>
    <row r="976" spans="10:10">
      <c r="J976" s="38"/>
    </row>
    <row r="977" spans="10:10">
      <c r="J977" s="38"/>
    </row>
    <row r="978" spans="10:10">
      <c r="J978" s="38"/>
    </row>
    <row r="979" spans="10:10">
      <c r="J979" s="38"/>
    </row>
    <row r="980" spans="10:10">
      <c r="J980" s="38"/>
    </row>
    <row r="981" spans="10:10">
      <c r="J981" s="38"/>
    </row>
    <row r="982" spans="10:10">
      <c r="J982" s="38"/>
    </row>
    <row r="983" spans="10:10">
      <c r="J983" s="38"/>
    </row>
    <row r="984" spans="10:10">
      <c r="J984" s="38"/>
    </row>
    <row r="985" spans="10:10">
      <c r="J985" s="38"/>
    </row>
    <row r="986" spans="10:10">
      <c r="J986" s="38"/>
    </row>
    <row r="987" spans="10:10">
      <c r="J987" s="38"/>
    </row>
    <row r="988" spans="10:10">
      <c r="J988" s="38"/>
    </row>
    <row r="989" spans="10:10">
      <c r="J989" s="38"/>
    </row>
    <row r="990" spans="10:10">
      <c r="J990" s="38"/>
    </row>
    <row r="991" spans="10:10">
      <c r="J991" s="38"/>
    </row>
    <row r="992" spans="10:10">
      <c r="J992" s="38"/>
    </row>
    <row r="993" spans="10:10">
      <c r="J993" s="38"/>
    </row>
    <row r="994" spans="10:10">
      <c r="J994" s="38"/>
    </row>
    <row r="995" spans="10:10">
      <c r="J995" s="38"/>
    </row>
    <row r="996" spans="10:10">
      <c r="J996" s="38"/>
    </row>
    <row r="997" spans="10:10">
      <c r="J997" s="38"/>
    </row>
    <row r="998" spans="10:10">
      <c r="J998" s="38"/>
    </row>
    <row r="999" spans="10:10">
      <c r="J999" s="38"/>
    </row>
    <row r="1000" spans="10:10">
      <c r="J1000" s="3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1000"/>
  <sheetViews>
    <sheetView topLeftCell="A59" workbookViewId="0">
      <selection activeCell="A2" sqref="A2:J77"/>
    </sheetView>
  </sheetViews>
  <sheetFormatPr defaultColWidth="14.42578125" defaultRowHeight="15" customHeight="1"/>
  <cols>
    <col min="4" max="4" width="16.85546875" customWidth="1"/>
  </cols>
  <sheetData>
    <row r="1" spans="1:10">
      <c r="A1" s="43" t="s">
        <v>10</v>
      </c>
      <c r="B1" s="43" t="s">
        <v>712</v>
      </c>
      <c r="C1" s="43" t="s">
        <v>713</v>
      </c>
      <c r="D1" s="4" t="s">
        <v>18</v>
      </c>
      <c r="E1" s="43" t="s">
        <v>16</v>
      </c>
      <c r="F1" s="43" t="s">
        <v>714</v>
      </c>
      <c r="G1" s="43" t="s">
        <v>26</v>
      </c>
      <c r="H1" s="43" t="s">
        <v>28</v>
      </c>
      <c r="I1" s="43" t="s">
        <v>715</v>
      </c>
      <c r="J1" s="43" t="s">
        <v>32</v>
      </c>
    </row>
    <row r="2" spans="1:10">
      <c r="A2" s="41">
        <v>45627</v>
      </c>
      <c r="B2" s="38" t="s">
        <v>1538</v>
      </c>
      <c r="C2" s="38" t="s">
        <v>769</v>
      </c>
      <c r="D2" s="39" t="s">
        <v>718</v>
      </c>
      <c r="E2" s="38" t="s">
        <v>1539</v>
      </c>
      <c r="F2" s="38">
        <v>56600</v>
      </c>
      <c r="G2" s="40" t="s">
        <v>733</v>
      </c>
      <c r="H2" s="38" t="s">
        <v>721</v>
      </c>
      <c r="I2" s="38" t="s">
        <v>722</v>
      </c>
      <c r="J2" s="38" t="s">
        <v>1540</v>
      </c>
    </row>
    <row r="3" spans="1:10">
      <c r="A3" s="41">
        <v>45627</v>
      </c>
      <c r="B3" s="38" t="s">
        <v>1541</v>
      </c>
      <c r="C3" s="38" t="s">
        <v>781</v>
      </c>
      <c r="D3" s="39" t="s">
        <v>718</v>
      </c>
      <c r="E3" s="38" t="s">
        <v>1542</v>
      </c>
      <c r="F3" s="38">
        <v>75000</v>
      </c>
      <c r="G3" s="40" t="s">
        <v>733</v>
      </c>
      <c r="H3" s="38" t="s">
        <v>721</v>
      </c>
      <c r="I3" s="38" t="s">
        <v>722</v>
      </c>
      <c r="J3" s="38" t="s">
        <v>1543</v>
      </c>
    </row>
    <row r="4" spans="1:10">
      <c r="A4" s="41">
        <v>45627</v>
      </c>
      <c r="B4" s="38" t="s">
        <v>1544</v>
      </c>
      <c r="C4" s="38" t="s">
        <v>725</v>
      </c>
      <c r="D4" s="39" t="s">
        <v>718</v>
      </c>
      <c r="E4" s="38" t="s">
        <v>292</v>
      </c>
      <c r="F4" s="38">
        <v>80000</v>
      </c>
      <c r="G4" s="38" t="s">
        <v>738</v>
      </c>
      <c r="H4" s="38" t="s">
        <v>721</v>
      </c>
      <c r="I4" s="38" t="s">
        <v>722</v>
      </c>
      <c r="J4" s="38" t="s">
        <v>1545</v>
      </c>
    </row>
    <row r="5" spans="1:10">
      <c r="A5" s="41">
        <v>45627</v>
      </c>
      <c r="B5" s="38" t="s">
        <v>1546</v>
      </c>
      <c r="C5" s="38" t="s">
        <v>769</v>
      </c>
      <c r="D5" s="39" t="s">
        <v>718</v>
      </c>
      <c r="E5" s="38" t="s">
        <v>1547</v>
      </c>
      <c r="F5" s="38">
        <v>81000</v>
      </c>
      <c r="G5" s="40" t="s">
        <v>733</v>
      </c>
      <c r="H5" s="38" t="s">
        <v>721</v>
      </c>
      <c r="I5" s="38" t="s">
        <v>722</v>
      </c>
      <c r="J5" s="38" t="s">
        <v>1548</v>
      </c>
    </row>
    <row r="6" spans="1:10">
      <c r="A6" s="41">
        <v>45627</v>
      </c>
      <c r="B6" s="38" t="s">
        <v>1549</v>
      </c>
      <c r="C6" s="38" t="s">
        <v>769</v>
      </c>
      <c r="D6" s="39" t="s">
        <v>718</v>
      </c>
      <c r="E6" s="38" t="s">
        <v>816</v>
      </c>
      <c r="F6" s="38">
        <v>30000</v>
      </c>
      <c r="G6" s="40" t="s">
        <v>733</v>
      </c>
      <c r="H6" s="38" t="s">
        <v>721</v>
      </c>
      <c r="I6" s="38" t="s">
        <v>722</v>
      </c>
      <c r="J6" s="38" t="s">
        <v>1550</v>
      </c>
    </row>
    <row r="7" spans="1:10">
      <c r="A7" s="41">
        <v>45627</v>
      </c>
      <c r="B7" s="38" t="s">
        <v>1551</v>
      </c>
      <c r="C7" s="38" t="s">
        <v>781</v>
      </c>
      <c r="D7" s="39" t="s">
        <v>718</v>
      </c>
      <c r="E7" s="38" t="s">
        <v>326</v>
      </c>
      <c r="F7" s="38">
        <v>22000</v>
      </c>
      <c r="G7" s="40" t="s">
        <v>733</v>
      </c>
      <c r="H7" s="38" t="s">
        <v>721</v>
      </c>
      <c r="I7" s="38" t="s">
        <v>722</v>
      </c>
      <c r="J7" s="38" t="s">
        <v>1552</v>
      </c>
    </row>
    <row r="8" spans="1:10">
      <c r="A8" s="41">
        <v>45627</v>
      </c>
      <c r="B8" s="38" t="s">
        <v>1553</v>
      </c>
      <c r="C8" s="38" t="s">
        <v>736</v>
      </c>
      <c r="D8" s="39" t="s">
        <v>718</v>
      </c>
      <c r="E8" s="38" t="s">
        <v>1554</v>
      </c>
      <c r="F8" s="38">
        <v>25000</v>
      </c>
      <c r="G8" s="40" t="s">
        <v>733</v>
      </c>
      <c r="H8" s="38" t="s">
        <v>721</v>
      </c>
      <c r="I8" s="38" t="s">
        <v>722</v>
      </c>
      <c r="J8" s="38" t="s">
        <v>1555</v>
      </c>
    </row>
    <row r="9" spans="1:10">
      <c r="A9" s="41">
        <v>45627</v>
      </c>
      <c r="B9" s="38" t="s">
        <v>1556</v>
      </c>
      <c r="C9" s="38" t="s">
        <v>773</v>
      </c>
      <c r="D9" s="39" t="s">
        <v>718</v>
      </c>
      <c r="E9" s="38" t="s">
        <v>974</v>
      </c>
      <c r="F9" s="38">
        <v>5000</v>
      </c>
      <c r="G9" s="40" t="s">
        <v>733</v>
      </c>
      <c r="H9" s="38" t="s">
        <v>721</v>
      </c>
      <c r="I9" s="38" t="s">
        <v>722</v>
      </c>
      <c r="J9" s="38" t="s">
        <v>1557</v>
      </c>
    </row>
    <row r="10" spans="1:10">
      <c r="A10" s="41">
        <v>45627</v>
      </c>
      <c r="B10" s="38" t="s">
        <v>1558</v>
      </c>
      <c r="C10" s="38" t="s">
        <v>755</v>
      </c>
      <c r="D10" s="39" t="s">
        <v>718</v>
      </c>
      <c r="E10" s="38" t="s">
        <v>943</v>
      </c>
      <c r="F10" s="38">
        <v>145000</v>
      </c>
      <c r="G10" s="40" t="s">
        <v>733</v>
      </c>
      <c r="H10" s="38" t="s">
        <v>721</v>
      </c>
      <c r="I10" s="38" t="s">
        <v>722</v>
      </c>
      <c r="J10" s="38" t="s">
        <v>1559</v>
      </c>
    </row>
    <row r="11" spans="1:10">
      <c r="A11" s="41">
        <v>45627</v>
      </c>
      <c r="B11" s="38" t="s">
        <v>1560</v>
      </c>
      <c r="C11" s="38" t="s">
        <v>725</v>
      </c>
      <c r="D11" s="39" t="s">
        <v>718</v>
      </c>
      <c r="E11" s="38" t="s">
        <v>515</v>
      </c>
      <c r="F11" s="38">
        <v>100000</v>
      </c>
      <c r="G11" s="38" t="s">
        <v>738</v>
      </c>
      <c r="H11" s="38" t="s">
        <v>721</v>
      </c>
      <c r="I11" s="38" t="s">
        <v>722</v>
      </c>
      <c r="J11" s="38" t="s">
        <v>1561</v>
      </c>
    </row>
    <row r="12" spans="1:10">
      <c r="A12" s="41">
        <v>45627</v>
      </c>
      <c r="B12" s="38" t="s">
        <v>1562</v>
      </c>
      <c r="C12" s="38" t="s">
        <v>773</v>
      </c>
      <c r="D12" s="39" t="s">
        <v>718</v>
      </c>
      <c r="E12" s="38" t="s">
        <v>1411</v>
      </c>
      <c r="F12" s="38">
        <v>20000</v>
      </c>
      <c r="G12" s="40" t="s">
        <v>733</v>
      </c>
      <c r="H12" s="38" t="s">
        <v>721</v>
      </c>
      <c r="I12" s="38" t="s">
        <v>722</v>
      </c>
      <c r="J12" s="38" t="s">
        <v>1563</v>
      </c>
    </row>
    <row r="13" spans="1:10">
      <c r="A13" s="41">
        <v>45627</v>
      </c>
      <c r="B13" s="38" t="s">
        <v>1564</v>
      </c>
      <c r="C13" s="38" t="s">
        <v>725</v>
      </c>
      <c r="D13" s="39" t="s">
        <v>718</v>
      </c>
      <c r="E13" s="38" t="s">
        <v>441</v>
      </c>
      <c r="F13" s="38">
        <v>41000</v>
      </c>
      <c r="G13" s="40" t="s">
        <v>733</v>
      </c>
      <c r="H13" s="38" t="s">
        <v>721</v>
      </c>
      <c r="I13" s="38" t="s">
        <v>722</v>
      </c>
      <c r="J13" s="38" t="s">
        <v>1565</v>
      </c>
    </row>
    <row r="14" spans="1:10">
      <c r="A14" s="41">
        <v>45628</v>
      </c>
      <c r="B14" s="38" t="s">
        <v>1566</v>
      </c>
      <c r="C14" s="38" t="s">
        <v>732</v>
      </c>
      <c r="D14" s="39" t="s">
        <v>718</v>
      </c>
      <c r="E14" s="38" t="s">
        <v>707</v>
      </c>
      <c r="F14" s="38">
        <v>129500</v>
      </c>
      <c r="G14" s="40" t="s">
        <v>733</v>
      </c>
      <c r="H14" s="38" t="s">
        <v>721</v>
      </c>
      <c r="I14" s="38" t="s">
        <v>722</v>
      </c>
      <c r="J14" s="38" t="s">
        <v>1567</v>
      </c>
    </row>
    <row r="15" spans="1:10">
      <c r="A15" s="41">
        <v>45629</v>
      </c>
      <c r="B15" s="38" t="s">
        <v>1568</v>
      </c>
      <c r="C15" s="38" t="s">
        <v>736</v>
      </c>
      <c r="D15" s="39" t="s">
        <v>718</v>
      </c>
      <c r="E15" s="38" t="s">
        <v>1322</v>
      </c>
      <c r="F15" s="38">
        <v>34500</v>
      </c>
      <c r="G15" s="40" t="s">
        <v>733</v>
      </c>
      <c r="H15" s="38" t="s">
        <v>721</v>
      </c>
      <c r="I15" s="38" t="s">
        <v>722</v>
      </c>
      <c r="J15" s="38" t="s">
        <v>1569</v>
      </c>
    </row>
    <row r="16" spans="1:10">
      <c r="A16" s="41">
        <v>45629</v>
      </c>
      <c r="B16" s="38" t="s">
        <v>1570</v>
      </c>
      <c r="C16" s="38" t="s">
        <v>769</v>
      </c>
      <c r="D16" s="39" t="s">
        <v>718</v>
      </c>
      <c r="E16" s="38" t="s">
        <v>1571</v>
      </c>
      <c r="F16" s="38">
        <v>50000</v>
      </c>
      <c r="G16" s="38" t="s">
        <v>720</v>
      </c>
      <c r="H16" s="38" t="s">
        <v>721</v>
      </c>
      <c r="I16" s="38" t="s">
        <v>722</v>
      </c>
      <c r="J16" s="38" t="s">
        <v>1572</v>
      </c>
    </row>
    <row r="17" spans="1:10">
      <c r="A17" s="41">
        <v>45631</v>
      </c>
      <c r="B17" s="38" t="s">
        <v>1573</v>
      </c>
      <c r="C17" s="38" t="s">
        <v>725</v>
      </c>
      <c r="D17" s="39" t="s">
        <v>718</v>
      </c>
      <c r="E17" s="38" t="s">
        <v>292</v>
      </c>
      <c r="F17" s="38">
        <v>23000</v>
      </c>
      <c r="G17" s="38" t="s">
        <v>770</v>
      </c>
      <c r="H17" s="38" t="s">
        <v>721</v>
      </c>
      <c r="I17" s="38" t="s">
        <v>722</v>
      </c>
      <c r="J17" s="38" t="s">
        <v>1574</v>
      </c>
    </row>
    <row r="18" spans="1:10">
      <c r="A18" s="41">
        <v>45631</v>
      </c>
      <c r="B18" s="38" t="s">
        <v>1575</v>
      </c>
      <c r="C18" s="38" t="s">
        <v>725</v>
      </c>
      <c r="D18" s="39" t="s">
        <v>718</v>
      </c>
      <c r="E18" s="38" t="s">
        <v>501</v>
      </c>
      <c r="F18" s="38">
        <v>39500</v>
      </c>
      <c r="G18" s="38" t="s">
        <v>1011</v>
      </c>
      <c r="H18" s="38" t="s">
        <v>721</v>
      </c>
      <c r="I18" s="38" t="s">
        <v>722</v>
      </c>
      <c r="J18" s="38" t="s">
        <v>1576</v>
      </c>
    </row>
    <row r="19" spans="1:10">
      <c r="A19" s="41">
        <v>45631</v>
      </c>
      <c r="B19" s="38" t="s">
        <v>1577</v>
      </c>
      <c r="C19" s="38" t="s">
        <v>769</v>
      </c>
      <c r="D19" s="39" t="s">
        <v>718</v>
      </c>
      <c r="E19" s="38" t="s">
        <v>1578</v>
      </c>
      <c r="F19" s="38">
        <v>120000</v>
      </c>
      <c r="G19" s="40" t="s">
        <v>733</v>
      </c>
      <c r="H19" s="38" t="s">
        <v>721</v>
      </c>
      <c r="I19" s="38" t="s">
        <v>722</v>
      </c>
      <c r="J19" s="38" t="s">
        <v>1579</v>
      </c>
    </row>
    <row r="20" spans="1:10">
      <c r="A20" s="41">
        <v>45631</v>
      </c>
      <c r="B20" s="38" t="s">
        <v>1580</v>
      </c>
      <c r="C20" s="38" t="s">
        <v>725</v>
      </c>
      <c r="D20" s="39" t="s">
        <v>718</v>
      </c>
      <c r="E20" s="38" t="s">
        <v>990</v>
      </c>
      <c r="F20" s="38">
        <v>14100</v>
      </c>
      <c r="G20" s="38" t="s">
        <v>720</v>
      </c>
      <c r="H20" s="38" t="s">
        <v>721</v>
      </c>
      <c r="I20" s="38" t="s">
        <v>722</v>
      </c>
      <c r="J20" s="38" t="s">
        <v>1581</v>
      </c>
    </row>
    <row r="21" spans="1:10">
      <c r="A21" s="41">
        <v>45633</v>
      </c>
      <c r="B21" s="38" t="s">
        <v>1582</v>
      </c>
      <c r="C21" s="38" t="s">
        <v>736</v>
      </c>
      <c r="D21" s="39" t="s">
        <v>718</v>
      </c>
      <c r="E21" s="38" t="s">
        <v>750</v>
      </c>
      <c r="F21" s="38">
        <v>17500</v>
      </c>
      <c r="G21" s="38" t="s">
        <v>738</v>
      </c>
      <c r="H21" s="38" t="s">
        <v>721</v>
      </c>
      <c r="I21" s="38" t="s">
        <v>722</v>
      </c>
      <c r="J21" s="38" t="s">
        <v>1583</v>
      </c>
    </row>
    <row r="22" spans="1:10">
      <c r="A22" s="41">
        <v>45633</v>
      </c>
      <c r="B22" s="38" t="s">
        <v>1584</v>
      </c>
      <c r="C22" s="38" t="s">
        <v>725</v>
      </c>
      <c r="D22" s="39" t="s">
        <v>718</v>
      </c>
      <c r="E22" s="38" t="s">
        <v>515</v>
      </c>
      <c r="F22" s="38">
        <v>28000</v>
      </c>
      <c r="G22" s="38" t="s">
        <v>738</v>
      </c>
      <c r="H22" s="38" t="s">
        <v>721</v>
      </c>
      <c r="I22" s="38" t="s">
        <v>722</v>
      </c>
      <c r="J22" s="38" t="s">
        <v>1585</v>
      </c>
    </row>
    <row r="23" spans="1:10">
      <c r="A23" s="41">
        <v>45633</v>
      </c>
      <c r="B23" s="38" t="s">
        <v>1586</v>
      </c>
      <c r="C23" s="38" t="s">
        <v>736</v>
      </c>
      <c r="D23" s="39" t="s">
        <v>718</v>
      </c>
      <c r="E23" s="38" t="s">
        <v>853</v>
      </c>
      <c r="F23" s="38">
        <v>80000</v>
      </c>
      <c r="G23" s="40" t="s">
        <v>733</v>
      </c>
      <c r="H23" s="38" t="s">
        <v>721</v>
      </c>
      <c r="I23" s="38" t="s">
        <v>722</v>
      </c>
      <c r="J23" s="38" t="s">
        <v>1587</v>
      </c>
    </row>
    <row r="24" spans="1:10">
      <c r="A24" s="41">
        <v>45633</v>
      </c>
      <c r="B24" s="38" t="s">
        <v>1588</v>
      </c>
      <c r="C24" s="38" t="s">
        <v>781</v>
      </c>
      <c r="D24" s="39" t="s">
        <v>718</v>
      </c>
      <c r="E24" s="38" t="s">
        <v>1488</v>
      </c>
      <c r="F24" s="38">
        <v>35000</v>
      </c>
      <c r="G24" s="40" t="s">
        <v>733</v>
      </c>
      <c r="H24" s="38" t="s">
        <v>721</v>
      </c>
      <c r="I24" s="38" t="s">
        <v>722</v>
      </c>
      <c r="J24" s="38" t="s">
        <v>1589</v>
      </c>
    </row>
    <row r="25" spans="1:10">
      <c r="A25" s="41">
        <v>45633</v>
      </c>
      <c r="B25" s="38" t="s">
        <v>1590</v>
      </c>
      <c r="C25" s="38" t="s">
        <v>755</v>
      </c>
      <c r="D25" s="39" t="s">
        <v>718</v>
      </c>
      <c r="E25" s="38" t="s">
        <v>943</v>
      </c>
      <c r="F25" s="38">
        <v>20000</v>
      </c>
      <c r="G25" s="40" t="s">
        <v>733</v>
      </c>
      <c r="H25" s="38" t="s">
        <v>721</v>
      </c>
      <c r="I25" s="38" t="s">
        <v>722</v>
      </c>
      <c r="J25" s="38" t="s">
        <v>1591</v>
      </c>
    </row>
    <row r="26" spans="1:10">
      <c r="A26" s="41">
        <v>45633</v>
      </c>
      <c r="B26" s="38" t="s">
        <v>1592</v>
      </c>
      <c r="C26" s="38" t="s">
        <v>755</v>
      </c>
      <c r="D26" s="39" t="s">
        <v>718</v>
      </c>
      <c r="E26" s="38" t="s">
        <v>1593</v>
      </c>
      <c r="F26" s="38">
        <v>18000</v>
      </c>
      <c r="G26" s="38" t="s">
        <v>720</v>
      </c>
      <c r="H26" s="38" t="s">
        <v>721</v>
      </c>
      <c r="I26" s="38" t="s">
        <v>722</v>
      </c>
      <c r="J26" s="38" t="s">
        <v>1594</v>
      </c>
    </row>
    <row r="27" spans="1:10">
      <c r="A27" s="41">
        <v>45633</v>
      </c>
      <c r="B27" s="38" t="s">
        <v>1595</v>
      </c>
      <c r="C27" s="38" t="s">
        <v>725</v>
      </c>
      <c r="D27" s="39" t="s">
        <v>718</v>
      </c>
      <c r="E27" s="38" t="s">
        <v>1032</v>
      </c>
      <c r="F27" s="38">
        <v>20500</v>
      </c>
      <c r="G27" s="38" t="s">
        <v>738</v>
      </c>
      <c r="H27" s="38" t="s">
        <v>721</v>
      </c>
      <c r="I27" s="38" t="s">
        <v>722</v>
      </c>
      <c r="J27" s="38" t="s">
        <v>1596</v>
      </c>
    </row>
    <row r="28" spans="1:10">
      <c r="A28" s="41">
        <v>45633</v>
      </c>
      <c r="B28" s="38" t="s">
        <v>1597</v>
      </c>
      <c r="C28" s="38" t="s">
        <v>736</v>
      </c>
      <c r="D28" s="39" t="s">
        <v>718</v>
      </c>
      <c r="E28" s="38" t="s">
        <v>224</v>
      </c>
      <c r="F28" s="38">
        <v>39100</v>
      </c>
      <c r="G28" s="40" t="s">
        <v>733</v>
      </c>
      <c r="H28" s="38" t="s">
        <v>721</v>
      </c>
      <c r="I28" s="38" t="s">
        <v>722</v>
      </c>
      <c r="J28" s="38" t="s">
        <v>1598</v>
      </c>
    </row>
    <row r="29" spans="1:10">
      <c r="A29" s="41">
        <v>45634</v>
      </c>
      <c r="B29" s="38" t="s">
        <v>1599</v>
      </c>
      <c r="C29" s="38" t="s">
        <v>725</v>
      </c>
      <c r="D29" s="39" t="s">
        <v>718</v>
      </c>
      <c r="E29" s="38" t="s">
        <v>609</v>
      </c>
      <c r="F29" s="38">
        <v>52000</v>
      </c>
      <c r="G29" s="40" t="s">
        <v>733</v>
      </c>
      <c r="H29" s="38" t="s">
        <v>721</v>
      </c>
      <c r="I29" s="38" t="s">
        <v>722</v>
      </c>
      <c r="J29" s="38" t="s">
        <v>1600</v>
      </c>
    </row>
    <row r="30" spans="1:10">
      <c r="A30" s="41">
        <v>45635</v>
      </c>
      <c r="B30" s="38" t="s">
        <v>1601</v>
      </c>
      <c r="C30" s="38" t="s">
        <v>725</v>
      </c>
      <c r="D30" s="39" t="s">
        <v>718</v>
      </c>
      <c r="E30" s="38" t="s">
        <v>515</v>
      </c>
      <c r="F30" s="38">
        <v>23000</v>
      </c>
      <c r="G30" s="38" t="s">
        <v>770</v>
      </c>
      <c r="H30" s="38" t="s">
        <v>721</v>
      </c>
      <c r="I30" s="38" t="s">
        <v>722</v>
      </c>
      <c r="J30" s="38" t="s">
        <v>1602</v>
      </c>
    </row>
    <row r="31" spans="1:10">
      <c r="A31" s="41">
        <v>45635</v>
      </c>
      <c r="B31" s="38" t="s">
        <v>1603</v>
      </c>
      <c r="C31" s="38" t="s">
        <v>743</v>
      </c>
      <c r="D31" s="39" t="s">
        <v>718</v>
      </c>
      <c r="E31" s="38" t="s">
        <v>684</v>
      </c>
      <c r="F31" s="38">
        <v>10000</v>
      </c>
      <c r="G31" s="38" t="s">
        <v>770</v>
      </c>
      <c r="H31" s="38" t="s">
        <v>721</v>
      </c>
      <c r="I31" s="38" t="s">
        <v>722</v>
      </c>
      <c r="J31" s="38" t="s">
        <v>1604</v>
      </c>
    </row>
    <row r="32" spans="1:10">
      <c r="A32" s="42">
        <v>45637</v>
      </c>
      <c r="B32" s="38" t="s">
        <v>1605</v>
      </c>
      <c r="C32" s="38" t="s">
        <v>725</v>
      </c>
      <c r="D32" s="39" t="s">
        <v>718</v>
      </c>
      <c r="E32" s="38" t="s">
        <v>1027</v>
      </c>
      <c r="F32" s="38">
        <v>75000</v>
      </c>
      <c r="G32" s="38" t="s">
        <v>760</v>
      </c>
      <c r="H32" s="38" t="s">
        <v>721</v>
      </c>
      <c r="I32" s="38" t="s">
        <v>722</v>
      </c>
      <c r="J32" s="38" t="s">
        <v>1606</v>
      </c>
    </row>
    <row r="33" spans="1:10">
      <c r="A33" s="42">
        <v>45637</v>
      </c>
      <c r="B33" s="38" t="s">
        <v>1607</v>
      </c>
      <c r="C33" s="38" t="s">
        <v>755</v>
      </c>
      <c r="D33" s="39" t="s">
        <v>718</v>
      </c>
      <c r="E33" s="38" t="s">
        <v>1608</v>
      </c>
      <c r="F33" s="38">
        <v>23000</v>
      </c>
      <c r="G33" s="38" t="s">
        <v>738</v>
      </c>
      <c r="H33" s="38" t="s">
        <v>721</v>
      </c>
      <c r="I33" s="38" t="s">
        <v>722</v>
      </c>
      <c r="J33" s="38" t="s">
        <v>1609</v>
      </c>
    </row>
    <row r="34" spans="1:10">
      <c r="A34" s="42">
        <v>45639</v>
      </c>
      <c r="B34" s="38" t="s">
        <v>1610</v>
      </c>
      <c r="C34" s="38" t="s">
        <v>725</v>
      </c>
      <c r="D34" s="39" t="s">
        <v>718</v>
      </c>
      <c r="E34" s="38" t="s">
        <v>356</v>
      </c>
      <c r="F34" s="38">
        <v>34500</v>
      </c>
      <c r="G34" s="38" t="s">
        <v>770</v>
      </c>
      <c r="H34" s="38" t="s">
        <v>721</v>
      </c>
      <c r="I34" s="38" t="s">
        <v>722</v>
      </c>
      <c r="J34" s="38" t="s">
        <v>1611</v>
      </c>
    </row>
    <row r="35" spans="1:10">
      <c r="A35" s="42">
        <v>45639</v>
      </c>
      <c r="B35" s="38" t="s">
        <v>1612</v>
      </c>
      <c r="C35" s="38" t="s">
        <v>736</v>
      </c>
      <c r="D35" s="39" t="s">
        <v>718</v>
      </c>
      <c r="E35" s="38" t="s">
        <v>1177</v>
      </c>
      <c r="F35" s="38">
        <v>32500</v>
      </c>
      <c r="G35" s="38" t="s">
        <v>720</v>
      </c>
      <c r="H35" s="38" t="s">
        <v>721</v>
      </c>
      <c r="I35" s="38" t="s">
        <v>722</v>
      </c>
      <c r="J35" s="38" t="s">
        <v>1613</v>
      </c>
    </row>
    <row r="36" spans="1:10">
      <c r="A36" s="42">
        <v>45640</v>
      </c>
      <c r="B36" s="38" t="s">
        <v>1614</v>
      </c>
      <c r="C36" s="38" t="s">
        <v>725</v>
      </c>
      <c r="D36" s="39" t="s">
        <v>718</v>
      </c>
      <c r="E36" s="38" t="s">
        <v>1032</v>
      </c>
      <c r="F36" s="38">
        <v>20000</v>
      </c>
      <c r="G36" s="38" t="s">
        <v>738</v>
      </c>
      <c r="H36" s="38" t="s">
        <v>721</v>
      </c>
      <c r="I36" s="38" t="s">
        <v>722</v>
      </c>
      <c r="J36" s="38" t="s">
        <v>1615</v>
      </c>
    </row>
    <row r="37" spans="1:10">
      <c r="A37" s="42">
        <v>45640</v>
      </c>
      <c r="B37" s="38" t="s">
        <v>1616</v>
      </c>
      <c r="C37" s="38" t="s">
        <v>773</v>
      </c>
      <c r="D37" s="39" t="s">
        <v>718</v>
      </c>
      <c r="E37" s="38" t="s">
        <v>1617</v>
      </c>
      <c r="F37" s="38">
        <v>34000</v>
      </c>
      <c r="G37" s="40" t="s">
        <v>733</v>
      </c>
      <c r="H37" s="38" t="s">
        <v>721</v>
      </c>
      <c r="I37" s="38" t="s">
        <v>722</v>
      </c>
      <c r="J37" s="38" t="s">
        <v>1618</v>
      </c>
    </row>
    <row r="38" spans="1:10">
      <c r="A38" s="42">
        <v>45640</v>
      </c>
      <c r="B38" s="38" t="s">
        <v>1619</v>
      </c>
      <c r="C38" s="38" t="s">
        <v>736</v>
      </c>
      <c r="D38" s="39" t="s">
        <v>718</v>
      </c>
      <c r="E38" s="38" t="s">
        <v>750</v>
      </c>
      <c r="F38" s="38">
        <v>22000</v>
      </c>
      <c r="G38" s="40" t="s">
        <v>733</v>
      </c>
      <c r="H38" s="38" t="s">
        <v>721</v>
      </c>
      <c r="I38" s="38" t="s">
        <v>722</v>
      </c>
      <c r="J38" s="38" t="s">
        <v>1620</v>
      </c>
    </row>
    <row r="39" spans="1:10">
      <c r="A39" s="42">
        <v>45641</v>
      </c>
      <c r="B39" s="38" t="s">
        <v>1621</v>
      </c>
      <c r="C39" s="38" t="s">
        <v>781</v>
      </c>
      <c r="D39" s="39" t="s">
        <v>718</v>
      </c>
      <c r="E39" s="38" t="s">
        <v>1622</v>
      </c>
      <c r="F39" s="38">
        <v>55000</v>
      </c>
      <c r="G39" s="40" t="s">
        <v>733</v>
      </c>
      <c r="H39" s="38" t="s">
        <v>721</v>
      </c>
      <c r="I39" s="38" t="s">
        <v>722</v>
      </c>
      <c r="J39" s="38" t="s">
        <v>1623</v>
      </c>
    </row>
    <row r="40" spans="1:10">
      <c r="A40" s="42">
        <v>45642</v>
      </c>
      <c r="B40" s="38" t="s">
        <v>1624</v>
      </c>
      <c r="C40" s="38" t="s">
        <v>736</v>
      </c>
      <c r="D40" s="39" t="s">
        <v>718</v>
      </c>
      <c r="E40" s="38" t="s">
        <v>224</v>
      </c>
      <c r="F40" s="38">
        <v>14560</v>
      </c>
      <c r="G40" s="38" t="s">
        <v>738</v>
      </c>
      <c r="H40" s="38" t="s">
        <v>721</v>
      </c>
      <c r="I40" s="38" t="s">
        <v>722</v>
      </c>
      <c r="J40" s="38" t="s">
        <v>1625</v>
      </c>
    </row>
    <row r="41" spans="1:10">
      <c r="A41" s="42">
        <v>45642</v>
      </c>
      <c r="B41" s="38" t="s">
        <v>1626</v>
      </c>
      <c r="C41" s="38" t="s">
        <v>725</v>
      </c>
      <c r="D41" s="39" t="s">
        <v>718</v>
      </c>
      <c r="E41" s="38" t="s">
        <v>867</v>
      </c>
      <c r="F41" s="38">
        <v>16500</v>
      </c>
      <c r="G41" s="40" t="s">
        <v>733</v>
      </c>
      <c r="H41" s="38" t="s">
        <v>721</v>
      </c>
      <c r="I41" s="38" t="s">
        <v>722</v>
      </c>
      <c r="J41" s="38" t="s">
        <v>1627</v>
      </c>
    </row>
    <row r="42" spans="1:10">
      <c r="A42" s="42">
        <v>45642</v>
      </c>
      <c r="B42" s="38" t="s">
        <v>1628</v>
      </c>
      <c r="C42" s="38" t="s">
        <v>278</v>
      </c>
      <c r="D42" s="39" t="s">
        <v>718</v>
      </c>
      <c r="E42" s="38" t="s">
        <v>1113</v>
      </c>
      <c r="F42" s="38">
        <v>36000</v>
      </c>
      <c r="G42" s="38" t="s">
        <v>770</v>
      </c>
      <c r="H42" s="38" t="s">
        <v>721</v>
      </c>
      <c r="I42" s="38" t="s">
        <v>722</v>
      </c>
      <c r="J42" s="38" t="s">
        <v>1629</v>
      </c>
    </row>
    <row r="43" spans="1:10">
      <c r="A43" s="42">
        <v>45642</v>
      </c>
      <c r="B43" s="38" t="s">
        <v>1630</v>
      </c>
      <c r="C43" s="38" t="s">
        <v>725</v>
      </c>
      <c r="D43" s="39" t="s">
        <v>718</v>
      </c>
      <c r="E43" s="38" t="s">
        <v>292</v>
      </c>
      <c r="F43" s="38">
        <v>26000</v>
      </c>
      <c r="G43" s="40" t="s">
        <v>733</v>
      </c>
      <c r="H43" s="38" t="s">
        <v>721</v>
      </c>
      <c r="I43" s="38" t="s">
        <v>722</v>
      </c>
      <c r="J43" s="38" t="s">
        <v>1631</v>
      </c>
    </row>
    <row r="44" spans="1:10">
      <c r="A44" s="42">
        <v>45642</v>
      </c>
      <c r="B44" s="38" t="s">
        <v>1632</v>
      </c>
      <c r="C44" s="38" t="s">
        <v>732</v>
      </c>
      <c r="D44" s="39" t="s">
        <v>718</v>
      </c>
      <c r="E44" s="38" t="s">
        <v>707</v>
      </c>
      <c r="F44" s="38">
        <v>22100</v>
      </c>
      <c r="G44" s="40" t="s">
        <v>733</v>
      </c>
      <c r="H44" s="38" t="s">
        <v>721</v>
      </c>
      <c r="I44" s="38" t="s">
        <v>722</v>
      </c>
      <c r="J44" s="38" t="s">
        <v>1633</v>
      </c>
    </row>
    <row r="45" spans="1:10">
      <c r="A45" s="42">
        <v>45643</v>
      </c>
      <c r="B45" s="38" t="s">
        <v>1634</v>
      </c>
      <c r="C45" s="38" t="s">
        <v>743</v>
      </c>
      <c r="D45" s="39" t="s">
        <v>718</v>
      </c>
      <c r="E45" s="38" t="s">
        <v>1039</v>
      </c>
      <c r="F45" s="38">
        <v>30000</v>
      </c>
      <c r="G45" s="38" t="s">
        <v>738</v>
      </c>
      <c r="H45" s="38" t="s">
        <v>721</v>
      </c>
      <c r="I45" s="38" t="s">
        <v>722</v>
      </c>
      <c r="J45" s="38" t="s">
        <v>1635</v>
      </c>
    </row>
    <row r="46" spans="1:10">
      <c r="A46" s="42">
        <v>45643</v>
      </c>
      <c r="B46" s="38" t="s">
        <v>1636</v>
      </c>
      <c r="C46" s="38" t="s">
        <v>725</v>
      </c>
      <c r="D46" s="39" t="s">
        <v>718</v>
      </c>
      <c r="E46" s="38" t="s">
        <v>867</v>
      </c>
      <c r="F46" s="38">
        <v>13500</v>
      </c>
      <c r="G46" s="38" t="s">
        <v>738</v>
      </c>
      <c r="H46" s="38" t="s">
        <v>721</v>
      </c>
      <c r="I46" s="38" t="s">
        <v>722</v>
      </c>
      <c r="J46" s="38" t="s">
        <v>1637</v>
      </c>
    </row>
    <row r="47" spans="1:10">
      <c r="A47" s="42">
        <v>45643</v>
      </c>
      <c r="B47" s="38" t="s">
        <v>1638</v>
      </c>
      <c r="C47" s="38" t="s">
        <v>769</v>
      </c>
      <c r="D47" s="39" t="s">
        <v>718</v>
      </c>
      <c r="E47" s="38" t="s">
        <v>433</v>
      </c>
      <c r="F47" s="38">
        <v>30000</v>
      </c>
      <c r="G47" s="38" t="s">
        <v>738</v>
      </c>
      <c r="H47" s="38" t="s">
        <v>721</v>
      </c>
      <c r="I47" s="38" t="s">
        <v>722</v>
      </c>
      <c r="J47" s="38" t="s">
        <v>1639</v>
      </c>
    </row>
    <row r="48" spans="1:10">
      <c r="A48" s="42">
        <v>45643</v>
      </c>
      <c r="B48" s="38" t="s">
        <v>1640</v>
      </c>
      <c r="C48" s="38" t="s">
        <v>725</v>
      </c>
      <c r="D48" s="39" t="s">
        <v>718</v>
      </c>
      <c r="E48" s="38" t="s">
        <v>1641</v>
      </c>
      <c r="F48" s="38">
        <v>90000</v>
      </c>
      <c r="G48" s="38" t="s">
        <v>738</v>
      </c>
      <c r="H48" s="38" t="s">
        <v>721</v>
      </c>
      <c r="I48" s="38" t="s">
        <v>722</v>
      </c>
      <c r="J48" s="38" t="s">
        <v>1642</v>
      </c>
    </row>
    <row r="49" spans="1:10">
      <c r="A49" s="42">
        <v>45643</v>
      </c>
      <c r="B49" s="38" t="s">
        <v>1643</v>
      </c>
      <c r="C49" s="38" t="s">
        <v>725</v>
      </c>
      <c r="D49" s="39" t="s">
        <v>718</v>
      </c>
      <c r="E49" s="38" t="s">
        <v>501</v>
      </c>
      <c r="F49" s="38">
        <v>28000</v>
      </c>
      <c r="G49" s="38" t="s">
        <v>738</v>
      </c>
      <c r="H49" s="38" t="s">
        <v>721</v>
      </c>
      <c r="I49" s="38" t="s">
        <v>722</v>
      </c>
      <c r="J49" s="38" t="s">
        <v>1644</v>
      </c>
    </row>
    <row r="50" spans="1:10">
      <c r="A50" s="42">
        <v>45643</v>
      </c>
      <c r="B50" s="38" t="s">
        <v>1645</v>
      </c>
      <c r="C50" s="38" t="s">
        <v>781</v>
      </c>
      <c r="D50" s="39" t="s">
        <v>718</v>
      </c>
      <c r="E50" s="38" t="s">
        <v>894</v>
      </c>
      <c r="F50" s="38">
        <v>42000</v>
      </c>
      <c r="G50" s="38" t="s">
        <v>738</v>
      </c>
      <c r="H50" s="38" t="s">
        <v>721</v>
      </c>
      <c r="I50" s="38" t="s">
        <v>722</v>
      </c>
      <c r="J50" s="38" t="s">
        <v>1646</v>
      </c>
    </row>
    <row r="51" spans="1:10">
      <c r="A51" s="42">
        <v>45643</v>
      </c>
      <c r="B51" s="38" t="s">
        <v>1647</v>
      </c>
      <c r="C51" s="38" t="s">
        <v>755</v>
      </c>
      <c r="D51" s="39" t="s">
        <v>718</v>
      </c>
      <c r="E51" s="38" t="s">
        <v>1506</v>
      </c>
      <c r="F51" s="38">
        <v>29000</v>
      </c>
      <c r="G51" s="38" t="s">
        <v>738</v>
      </c>
      <c r="H51" s="38" t="s">
        <v>721</v>
      </c>
      <c r="I51" s="38" t="s">
        <v>722</v>
      </c>
      <c r="J51" s="38" t="s">
        <v>1648</v>
      </c>
    </row>
    <row r="52" spans="1:10">
      <c r="A52" s="42">
        <v>45643</v>
      </c>
      <c r="B52" s="38" t="s">
        <v>1649</v>
      </c>
      <c r="C52" s="38" t="s">
        <v>781</v>
      </c>
      <c r="D52" s="39" t="s">
        <v>718</v>
      </c>
      <c r="E52" s="38" t="s">
        <v>894</v>
      </c>
      <c r="F52" s="38">
        <v>23000</v>
      </c>
      <c r="G52" s="38" t="s">
        <v>738</v>
      </c>
      <c r="H52" s="38" t="s">
        <v>721</v>
      </c>
      <c r="I52" s="38" t="s">
        <v>722</v>
      </c>
      <c r="J52" s="38" t="s">
        <v>1650</v>
      </c>
    </row>
    <row r="53" spans="1:10">
      <c r="A53" s="42">
        <v>45644</v>
      </c>
      <c r="B53" s="38" t="s">
        <v>1651</v>
      </c>
      <c r="C53" s="38" t="s">
        <v>736</v>
      </c>
      <c r="D53" s="39" t="s">
        <v>718</v>
      </c>
      <c r="E53" s="38" t="s">
        <v>205</v>
      </c>
      <c r="F53" s="38">
        <v>18000</v>
      </c>
      <c r="G53" s="38" t="s">
        <v>720</v>
      </c>
      <c r="H53" s="38" t="s">
        <v>721</v>
      </c>
      <c r="I53" s="38" t="s">
        <v>722</v>
      </c>
      <c r="J53" s="38" t="s">
        <v>1652</v>
      </c>
    </row>
    <row r="54" spans="1:10">
      <c r="A54" s="42">
        <v>45645</v>
      </c>
      <c r="B54" s="38" t="s">
        <v>1653</v>
      </c>
      <c r="C54" s="38" t="s">
        <v>725</v>
      </c>
      <c r="D54" s="39" t="s">
        <v>718</v>
      </c>
      <c r="E54" s="38" t="s">
        <v>515</v>
      </c>
      <c r="F54" s="38">
        <v>30500</v>
      </c>
      <c r="G54" s="40" t="s">
        <v>733</v>
      </c>
      <c r="H54" s="38" t="s">
        <v>721</v>
      </c>
      <c r="I54" s="38" t="s">
        <v>722</v>
      </c>
      <c r="J54" s="38" t="s">
        <v>1654</v>
      </c>
    </row>
    <row r="55" spans="1:10">
      <c r="A55" s="42">
        <v>45645</v>
      </c>
      <c r="B55" s="38" t="s">
        <v>1655</v>
      </c>
      <c r="C55" s="38" t="s">
        <v>725</v>
      </c>
      <c r="D55" s="39" t="s">
        <v>718</v>
      </c>
      <c r="E55" s="38" t="s">
        <v>292</v>
      </c>
      <c r="F55" s="38">
        <v>23000</v>
      </c>
      <c r="G55" s="38" t="s">
        <v>738</v>
      </c>
      <c r="H55" s="38" t="s">
        <v>721</v>
      </c>
      <c r="I55" s="38" t="s">
        <v>722</v>
      </c>
      <c r="J55" s="38" t="s">
        <v>1656</v>
      </c>
    </row>
    <row r="56" spans="1:10">
      <c r="A56" s="42">
        <v>45645</v>
      </c>
      <c r="B56" s="38" t="s">
        <v>1657</v>
      </c>
      <c r="C56" s="38" t="s">
        <v>725</v>
      </c>
      <c r="D56" s="39" t="s">
        <v>718</v>
      </c>
      <c r="E56" s="38" t="s">
        <v>800</v>
      </c>
      <c r="F56" s="38">
        <v>63000</v>
      </c>
      <c r="G56" s="40" t="s">
        <v>733</v>
      </c>
      <c r="H56" s="38" t="s">
        <v>721</v>
      </c>
      <c r="I56" s="38" t="s">
        <v>722</v>
      </c>
      <c r="J56" s="38" t="s">
        <v>1658</v>
      </c>
    </row>
    <row r="57" spans="1:10">
      <c r="A57" s="42">
        <v>45646</v>
      </c>
      <c r="B57" s="38" t="s">
        <v>1659</v>
      </c>
      <c r="C57" s="38" t="s">
        <v>769</v>
      </c>
      <c r="D57" s="39" t="s">
        <v>718</v>
      </c>
      <c r="E57" s="38" t="s">
        <v>1406</v>
      </c>
      <c r="F57" s="38">
        <v>29200</v>
      </c>
      <c r="G57" s="38" t="s">
        <v>738</v>
      </c>
      <c r="H57" s="38" t="s">
        <v>721</v>
      </c>
      <c r="I57" s="38" t="s">
        <v>722</v>
      </c>
      <c r="J57" s="38" t="s">
        <v>1660</v>
      </c>
    </row>
    <row r="58" spans="1:10">
      <c r="A58" s="42">
        <v>45648</v>
      </c>
      <c r="B58" s="38" t="s">
        <v>1661</v>
      </c>
      <c r="C58" s="38" t="s">
        <v>725</v>
      </c>
      <c r="D58" s="39" t="s">
        <v>718</v>
      </c>
      <c r="E58" s="38" t="s">
        <v>867</v>
      </c>
      <c r="F58" s="38">
        <v>77000</v>
      </c>
      <c r="G58" s="38" t="s">
        <v>720</v>
      </c>
      <c r="H58" s="38" t="s">
        <v>721</v>
      </c>
      <c r="I58" s="38" t="s">
        <v>722</v>
      </c>
      <c r="J58" s="38" t="s">
        <v>1662</v>
      </c>
    </row>
    <row r="59" spans="1:10">
      <c r="A59" s="42">
        <v>45648</v>
      </c>
      <c r="B59" s="38" t="s">
        <v>1663</v>
      </c>
      <c r="C59" s="38" t="s">
        <v>725</v>
      </c>
      <c r="D59" s="39" t="s">
        <v>718</v>
      </c>
      <c r="E59" s="38" t="s">
        <v>292</v>
      </c>
      <c r="F59" s="38">
        <v>28000</v>
      </c>
      <c r="G59" s="40" t="s">
        <v>733</v>
      </c>
      <c r="H59" s="38" t="s">
        <v>721</v>
      </c>
      <c r="I59" s="38" t="s">
        <v>722</v>
      </c>
      <c r="J59" s="38" t="s">
        <v>1664</v>
      </c>
    </row>
    <row r="60" spans="1:10">
      <c r="A60" s="42">
        <v>45649</v>
      </c>
      <c r="B60" s="38" t="s">
        <v>1665</v>
      </c>
      <c r="C60" s="38" t="s">
        <v>725</v>
      </c>
      <c r="D60" s="39" t="s">
        <v>718</v>
      </c>
      <c r="E60" s="38" t="s">
        <v>292</v>
      </c>
      <c r="F60" s="38">
        <v>75000</v>
      </c>
      <c r="G60" s="40" t="s">
        <v>733</v>
      </c>
      <c r="H60" s="38" t="s">
        <v>721</v>
      </c>
      <c r="I60" s="38" t="s">
        <v>722</v>
      </c>
      <c r="J60" s="38" t="s">
        <v>1666</v>
      </c>
    </row>
    <row r="61" spans="1:10">
      <c r="A61" s="42">
        <v>45649</v>
      </c>
      <c r="B61" s="38" t="s">
        <v>1667</v>
      </c>
      <c r="C61" s="38" t="s">
        <v>725</v>
      </c>
      <c r="D61" s="39" t="s">
        <v>718</v>
      </c>
      <c r="E61" s="38" t="s">
        <v>1668</v>
      </c>
      <c r="F61" s="38">
        <v>41000</v>
      </c>
      <c r="G61" s="40" t="s">
        <v>733</v>
      </c>
      <c r="H61" s="38" t="s">
        <v>721</v>
      </c>
      <c r="I61" s="38" t="s">
        <v>722</v>
      </c>
      <c r="J61" s="38" t="s">
        <v>1669</v>
      </c>
    </row>
    <row r="62" spans="1:10">
      <c r="A62" s="42">
        <v>45652</v>
      </c>
      <c r="B62" s="38" t="s">
        <v>1670</v>
      </c>
      <c r="C62" s="38" t="s">
        <v>725</v>
      </c>
      <c r="D62" s="39" t="s">
        <v>718</v>
      </c>
      <c r="E62" s="38" t="s">
        <v>1124</v>
      </c>
      <c r="F62" s="38">
        <v>18000</v>
      </c>
      <c r="G62" s="40" t="s">
        <v>733</v>
      </c>
      <c r="H62" s="38" t="s">
        <v>721</v>
      </c>
      <c r="I62" s="38" t="s">
        <v>722</v>
      </c>
      <c r="J62" s="38" t="s">
        <v>1671</v>
      </c>
    </row>
    <row r="63" spans="1:10">
      <c r="A63" s="42">
        <v>45653</v>
      </c>
      <c r="B63" s="38" t="s">
        <v>1672</v>
      </c>
      <c r="C63" s="38" t="s">
        <v>736</v>
      </c>
      <c r="D63" s="39" t="s">
        <v>718</v>
      </c>
      <c r="E63" s="38" t="s">
        <v>1673</v>
      </c>
      <c r="F63" s="38">
        <v>125000</v>
      </c>
      <c r="G63" s="38" t="s">
        <v>720</v>
      </c>
      <c r="H63" s="38" t="s">
        <v>721</v>
      </c>
      <c r="I63" s="38" t="s">
        <v>722</v>
      </c>
      <c r="J63" s="38" t="s">
        <v>1674</v>
      </c>
    </row>
    <row r="64" spans="1:10">
      <c r="A64" s="42">
        <v>45653</v>
      </c>
      <c r="B64" s="38" t="s">
        <v>1675</v>
      </c>
      <c r="C64" s="38" t="s">
        <v>736</v>
      </c>
      <c r="D64" s="39" t="s">
        <v>718</v>
      </c>
      <c r="E64" s="38" t="s">
        <v>224</v>
      </c>
      <c r="F64" s="38">
        <v>4000</v>
      </c>
      <c r="G64" s="40" t="s">
        <v>733</v>
      </c>
      <c r="H64" s="38" t="s">
        <v>721</v>
      </c>
      <c r="I64" s="38" t="s">
        <v>722</v>
      </c>
      <c r="J64" s="38" t="s">
        <v>1676</v>
      </c>
    </row>
    <row r="65" spans="1:10">
      <c r="A65" s="42">
        <v>45654</v>
      </c>
      <c r="B65" s="38" t="s">
        <v>1677</v>
      </c>
      <c r="C65" s="38" t="s">
        <v>725</v>
      </c>
      <c r="D65" s="39" t="s">
        <v>718</v>
      </c>
      <c r="E65" s="38" t="s">
        <v>800</v>
      </c>
      <c r="F65" s="38">
        <v>36100</v>
      </c>
      <c r="G65" s="38" t="s">
        <v>738</v>
      </c>
      <c r="H65" s="38" t="s">
        <v>721</v>
      </c>
      <c r="I65" s="38" t="s">
        <v>722</v>
      </c>
      <c r="J65" s="38" t="s">
        <v>1678</v>
      </c>
    </row>
    <row r="66" spans="1:10">
      <c r="A66" s="42">
        <v>45654</v>
      </c>
      <c r="B66" s="38" t="s">
        <v>1679</v>
      </c>
      <c r="C66" s="38" t="s">
        <v>732</v>
      </c>
      <c r="D66" s="39" t="s">
        <v>718</v>
      </c>
      <c r="E66" s="38" t="s">
        <v>1680</v>
      </c>
      <c r="F66" s="38">
        <v>40500</v>
      </c>
      <c r="G66" s="40" t="s">
        <v>733</v>
      </c>
      <c r="H66" s="38" t="s">
        <v>721</v>
      </c>
      <c r="I66" s="38" t="s">
        <v>722</v>
      </c>
      <c r="J66" s="38" t="s">
        <v>1681</v>
      </c>
    </row>
    <row r="67" spans="1:10">
      <c r="A67" s="42">
        <v>45655</v>
      </c>
      <c r="B67" s="38" t="s">
        <v>1682</v>
      </c>
      <c r="C67" s="38" t="s">
        <v>725</v>
      </c>
      <c r="D67" s="39" t="s">
        <v>718</v>
      </c>
      <c r="E67" s="38" t="s">
        <v>1206</v>
      </c>
      <c r="F67" s="38">
        <v>52000</v>
      </c>
      <c r="G67" s="38" t="s">
        <v>720</v>
      </c>
      <c r="H67" s="38" t="s">
        <v>721</v>
      </c>
      <c r="I67" s="38" t="s">
        <v>722</v>
      </c>
      <c r="J67" s="38" t="s">
        <v>1683</v>
      </c>
    </row>
    <row r="68" spans="1:10">
      <c r="A68" s="42">
        <v>45655</v>
      </c>
      <c r="B68" s="38" t="s">
        <v>1684</v>
      </c>
      <c r="C68" s="38" t="s">
        <v>743</v>
      </c>
      <c r="D68" s="39" t="s">
        <v>718</v>
      </c>
      <c r="E68" s="38" t="s">
        <v>1685</v>
      </c>
      <c r="F68" s="38">
        <v>38500</v>
      </c>
      <c r="G68" s="40" t="s">
        <v>733</v>
      </c>
      <c r="H68" s="38" t="s">
        <v>721</v>
      </c>
      <c r="I68" s="38" t="s">
        <v>722</v>
      </c>
      <c r="J68" s="38" t="s">
        <v>1686</v>
      </c>
    </row>
    <row r="69" spans="1:10">
      <c r="A69" s="42">
        <v>45656</v>
      </c>
      <c r="B69" s="38" t="s">
        <v>1687</v>
      </c>
      <c r="C69" s="38" t="s">
        <v>725</v>
      </c>
      <c r="D69" s="39" t="s">
        <v>718</v>
      </c>
      <c r="E69" s="38" t="s">
        <v>524</v>
      </c>
      <c r="F69" s="38">
        <v>50000</v>
      </c>
      <c r="G69" s="38" t="s">
        <v>738</v>
      </c>
      <c r="H69" s="38" t="s">
        <v>721</v>
      </c>
      <c r="I69" s="38" t="s">
        <v>722</v>
      </c>
      <c r="J69" s="38" t="s">
        <v>1688</v>
      </c>
    </row>
    <row r="70" spans="1:10">
      <c r="A70" s="42">
        <v>45656</v>
      </c>
      <c r="B70" s="38" t="s">
        <v>1689</v>
      </c>
      <c r="C70" s="38" t="s">
        <v>725</v>
      </c>
      <c r="D70" s="39" t="s">
        <v>718</v>
      </c>
      <c r="E70" s="38" t="s">
        <v>515</v>
      </c>
      <c r="F70" s="38">
        <v>28500</v>
      </c>
      <c r="G70" s="38" t="s">
        <v>738</v>
      </c>
      <c r="H70" s="38" t="s">
        <v>721</v>
      </c>
      <c r="I70" s="38" t="s">
        <v>722</v>
      </c>
      <c r="J70" s="38" t="s">
        <v>1690</v>
      </c>
    </row>
    <row r="71" spans="1:10">
      <c r="A71" s="42">
        <v>45656</v>
      </c>
      <c r="B71" s="38" t="s">
        <v>1691</v>
      </c>
      <c r="C71" s="38" t="s">
        <v>725</v>
      </c>
      <c r="D71" s="39" t="s">
        <v>718</v>
      </c>
      <c r="E71" s="38" t="s">
        <v>292</v>
      </c>
      <c r="F71" s="38">
        <v>22000</v>
      </c>
      <c r="G71" s="38" t="s">
        <v>738</v>
      </c>
      <c r="H71" s="38" t="s">
        <v>721</v>
      </c>
      <c r="I71" s="38" t="s">
        <v>722</v>
      </c>
      <c r="J71" s="38" t="s">
        <v>1692</v>
      </c>
    </row>
    <row r="72" spans="1:10">
      <c r="A72" s="42">
        <v>45656</v>
      </c>
      <c r="B72" s="38" t="s">
        <v>1693</v>
      </c>
      <c r="C72" s="38" t="s">
        <v>755</v>
      </c>
      <c r="D72" s="39" t="s">
        <v>718</v>
      </c>
      <c r="E72" s="38" t="s">
        <v>1694</v>
      </c>
      <c r="F72" s="38">
        <v>80000</v>
      </c>
      <c r="G72" s="38" t="s">
        <v>720</v>
      </c>
      <c r="H72" s="38" t="s">
        <v>721</v>
      </c>
      <c r="I72" s="38" t="s">
        <v>722</v>
      </c>
      <c r="J72" s="38" t="s">
        <v>1695</v>
      </c>
    </row>
    <row r="73" spans="1:10">
      <c r="A73" s="42">
        <v>45656</v>
      </c>
      <c r="B73" s="38" t="s">
        <v>1696</v>
      </c>
      <c r="C73" s="38" t="s">
        <v>725</v>
      </c>
      <c r="D73" s="39" t="s">
        <v>718</v>
      </c>
      <c r="E73" s="38" t="s">
        <v>825</v>
      </c>
      <c r="F73" s="38">
        <v>37500</v>
      </c>
      <c r="G73" s="40" t="s">
        <v>733</v>
      </c>
      <c r="H73" s="38" t="s">
        <v>721</v>
      </c>
      <c r="I73" s="38" t="s">
        <v>722</v>
      </c>
      <c r="J73" s="38" t="s">
        <v>1697</v>
      </c>
    </row>
    <row r="74" spans="1:10">
      <c r="A74" s="42">
        <v>45656</v>
      </c>
      <c r="B74" s="38" t="s">
        <v>1698</v>
      </c>
      <c r="C74" s="38" t="s">
        <v>725</v>
      </c>
      <c r="D74" s="39" t="s">
        <v>718</v>
      </c>
      <c r="E74" s="38" t="s">
        <v>292</v>
      </c>
      <c r="F74" s="38">
        <v>18000</v>
      </c>
      <c r="G74" s="38" t="s">
        <v>738</v>
      </c>
      <c r="H74" s="38" t="s">
        <v>721</v>
      </c>
      <c r="I74" s="38" t="s">
        <v>722</v>
      </c>
      <c r="J74" s="38" t="s">
        <v>1699</v>
      </c>
    </row>
    <row r="75" spans="1:10">
      <c r="A75" s="42">
        <v>45656</v>
      </c>
      <c r="B75" s="38" t="s">
        <v>1700</v>
      </c>
      <c r="C75" s="38" t="s">
        <v>781</v>
      </c>
      <c r="D75" s="39" t="s">
        <v>718</v>
      </c>
      <c r="E75" s="38" t="s">
        <v>275</v>
      </c>
      <c r="F75" s="38">
        <v>22000</v>
      </c>
      <c r="G75" s="38" t="s">
        <v>720</v>
      </c>
      <c r="H75" s="38" t="s">
        <v>721</v>
      </c>
      <c r="I75" s="38" t="s">
        <v>722</v>
      </c>
      <c r="J75" s="38" t="s">
        <v>1701</v>
      </c>
    </row>
    <row r="76" spans="1:10">
      <c r="A76" s="42">
        <v>45657</v>
      </c>
      <c r="B76" s="3" t="s">
        <v>1702</v>
      </c>
      <c r="C76" s="3" t="s">
        <v>725</v>
      </c>
      <c r="D76" s="39" t="s">
        <v>718</v>
      </c>
      <c r="E76" s="3" t="s">
        <v>501</v>
      </c>
      <c r="F76" s="3">
        <v>36000</v>
      </c>
      <c r="G76" s="3" t="s">
        <v>738</v>
      </c>
      <c r="H76" s="3" t="s">
        <v>721</v>
      </c>
      <c r="I76" s="3" t="s">
        <v>722</v>
      </c>
      <c r="J76" s="38" t="s">
        <v>1703</v>
      </c>
    </row>
    <row r="77" spans="1:10">
      <c r="A77" s="42">
        <v>45657</v>
      </c>
      <c r="B77" s="38" t="s">
        <v>1704</v>
      </c>
      <c r="C77" s="38" t="s">
        <v>732</v>
      </c>
      <c r="D77" s="39" t="s">
        <v>718</v>
      </c>
      <c r="E77" s="38" t="s">
        <v>1705</v>
      </c>
      <c r="F77" s="38">
        <v>135000</v>
      </c>
      <c r="G77" s="38" t="s">
        <v>720</v>
      </c>
      <c r="H77" s="38" t="s">
        <v>721</v>
      </c>
      <c r="I77" s="38" t="s">
        <v>722</v>
      </c>
      <c r="J77" s="38" t="s">
        <v>1706</v>
      </c>
    </row>
    <row r="78" spans="1:10">
      <c r="J78" s="38"/>
    </row>
    <row r="79" spans="1:10">
      <c r="J79" s="38"/>
    </row>
    <row r="80" spans="1:10">
      <c r="J80" s="38"/>
    </row>
    <row r="81" spans="10:10">
      <c r="J81" s="38"/>
    </row>
    <row r="82" spans="10:10">
      <c r="J82" s="38"/>
    </row>
    <row r="83" spans="10:10">
      <c r="J83" s="38"/>
    </row>
    <row r="84" spans="10:10">
      <c r="J84" s="38"/>
    </row>
    <row r="85" spans="10:10">
      <c r="J85" s="38"/>
    </row>
    <row r="86" spans="10:10">
      <c r="J86" s="38"/>
    </row>
    <row r="87" spans="10:10">
      <c r="J87" s="38"/>
    </row>
    <row r="88" spans="10:10">
      <c r="J88" s="38"/>
    </row>
    <row r="89" spans="10:10">
      <c r="J89" s="38"/>
    </row>
    <row r="90" spans="10:10">
      <c r="J90" s="38"/>
    </row>
    <row r="91" spans="10:10">
      <c r="J91" s="38"/>
    </row>
    <row r="92" spans="10:10">
      <c r="J92" s="38"/>
    </row>
    <row r="93" spans="10:10">
      <c r="J93" s="38"/>
    </row>
    <row r="94" spans="10:10">
      <c r="J94" s="38"/>
    </row>
    <row r="95" spans="10:10">
      <c r="J95" s="38"/>
    </row>
    <row r="96" spans="10:10">
      <c r="J96" s="38"/>
    </row>
    <row r="97" spans="10:10">
      <c r="J97" s="38"/>
    </row>
    <row r="98" spans="10:10">
      <c r="J98" s="38"/>
    </row>
    <row r="99" spans="10:10">
      <c r="J99" s="38"/>
    </row>
    <row r="100" spans="10:10">
      <c r="J100" s="38"/>
    </row>
    <row r="101" spans="10:10">
      <c r="J101" s="38"/>
    </row>
    <row r="102" spans="10:10">
      <c r="J102" s="38"/>
    </row>
    <row r="103" spans="10:10">
      <c r="J103" s="38"/>
    </row>
    <row r="104" spans="10:10">
      <c r="J104" s="38"/>
    </row>
    <row r="105" spans="10:10">
      <c r="J105" s="38"/>
    </row>
    <row r="106" spans="10:10">
      <c r="J106" s="38"/>
    </row>
    <row r="107" spans="10:10">
      <c r="J107" s="38"/>
    </row>
    <row r="108" spans="10:10">
      <c r="J108" s="38"/>
    </row>
    <row r="109" spans="10:10">
      <c r="J109" s="38"/>
    </row>
    <row r="110" spans="10:10">
      <c r="J110" s="38"/>
    </row>
    <row r="111" spans="10:10">
      <c r="J111" s="38"/>
    </row>
    <row r="112" spans="10:10">
      <c r="J112" s="38"/>
    </row>
    <row r="113" spans="10:10">
      <c r="J113" s="38"/>
    </row>
    <row r="114" spans="10:10">
      <c r="J114" s="38"/>
    </row>
    <row r="115" spans="10:10">
      <c r="J115" s="38"/>
    </row>
    <row r="116" spans="10:10">
      <c r="J116" s="38"/>
    </row>
    <row r="117" spans="10:10">
      <c r="J117" s="38"/>
    </row>
    <row r="118" spans="10:10">
      <c r="J118" s="38"/>
    </row>
    <row r="119" spans="10:10">
      <c r="J119" s="38"/>
    </row>
    <row r="120" spans="10:10">
      <c r="J120" s="38"/>
    </row>
    <row r="121" spans="10:10">
      <c r="J121" s="38"/>
    </row>
    <row r="122" spans="10:10">
      <c r="J122" s="38"/>
    </row>
    <row r="123" spans="10:10">
      <c r="J123" s="38"/>
    </row>
    <row r="124" spans="10:10">
      <c r="J124" s="38"/>
    </row>
    <row r="125" spans="10:10">
      <c r="J125" s="38"/>
    </row>
    <row r="126" spans="10:10">
      <c r="J126" s="38"/>
    </row>
    <row r="127" spans="10:10">
      <c r="J127" s="38"/>
    </row>
    <row r="128" spans="10:10">
      <c r="J128" s="38"/>
    </row>
    <row r="129" spans="10:10">
      <c r="J129" s="38"/>
    </row>
    <row r="130" spans="10:10">
      <c r="J130" s="38"/>
    </row>
    <row r="131" spans="10:10">
      <c r="J131" s="38"/>
    </row>
    <row r="132" spans="10:10">
      <c r="J132" s="38"/>
    </row>
    <row r="133" spans="10:10">
      <c r="J133" s="38"/>
    </row>
    <row r="134" spans="10:10">
      <c r="J134" s="38"/>
    </row>
    <row r="135" spans="10:10">
      <c r="J135" s="38"/>
    </row>
    <row r="136" spans="10:10">
      <c r="J136" s="38"/>
    </row>
    <row r="137" spans="10:10">
      <c r="J137" s="38"/>
    </row>
    <row r="138" spans="10:10">
      <c r="J138" s="38"/>
    </row>
    <row r="139" spans="10:10">
      <c r="J139" s="38"/>
    </row>
    <row r="140" spans="10:10">
      <c r="J140" s="38"/>
    </row>
    <row r="141" spans="10:10">
      <c r="J141" s="38"/>
    </row>
    <row r="142" spans="10:10">
      <c r="J142" s="38"/>
    </row>
    <row r="143" spans="10:10">
      <c r="J143" s="38"/>
    </row>
    <row r="144" spans="10:10">
      <c r="J144" s="38"/>
    </row>
    <row r="145" spans="10:10">
      <c r="J145" s="38"/>
    </row>
    <row r="146" spans="10:10">
      <c r="J146" s="38"/>
    </row>
    <row r="147" spans="10:10">
      <c r="J147" s="38"/>
    </row>
    <row r="148" spans="10:10">
      <c r="J148" s="38"/>
    </row>
    <row r="149" spans="10:10">
      <c r="J149" s="38"/>
    </row>
    <row r="150" spans="10:10">
      <c r="J150" s="38"/>
    </row>
    <row r="151" spans="10:10">
      <c r="J151" s="38"/>
    </row>
    <row r="152" spans="10:10">
      <c r="J152" s="38"/>
    </row>
    <row r="153" spans="10:10">
      <c r="J153" s="38"/>
    </row>
    <row r="154" spans="10:10">
      <c r="J154" s="38"/>
    </row>
    <row r="155" spans="10:10">
      <c r="J155" s="38"/>
    </row>
    <row r="156" spans="10:10">
      <c r="J156" s="38"/>
    </row>
    <row r="157" spans="10:10">
      <c r="J157" s="38"/>
    </row>
    <row r="158" spans="10:10">
      <c r="J158" s="38"/>
    </row>
    <row r="159" spans="10:10">
      <c r="J159" s="38"/>
    </row>
    <row r="160" spans="10:10">
      <c r="J160" s="38"/>
    </row>
    <row r="161" spans="10:10">
      <c r="J161" s="38"/>
    </row>
    <row r="162" spans="10:10">
      <c r="J162" s="38"/>
    </row>
    <row r="163" spans="10:10">
      <c r="J163" s="38"/>
    </row>
    <row r="164" spans="10:10">
      <c r="J164" s="38"/>
    </row>
    <row r="165" spans="10:10">
      <c r="J165" s="38"/>
    </row>
    <row r="166" spans="10:10">
      <c r="J166" s="38"/>
    </row>
    <row r="167" spans="10:10">
      <c r="J167" s="38"/>
    </row>
    <row r="168" spans="10:10">
      <c r="J168" s="38"/>
    </row>
    <row r="169" spans="10:10">
      <c r="J169" s="38"/>
    </row>
    <row r="170" spans="10:10">
      <c r="J170" s="38"/>
    </row>
    <row r="171" spans="10:10">
      <c r="J171" s="38"/>
    </row>
    <row r="172" spans="10:10">
      <c r="J172" s="38"/>
    </row>
    <row r="173" spans="10:10">
      <c r="J173" s="38"/>
    </row>
    <row r="174" spans="10:10">
      <c r="J174" s="38"/>
    </row>
    <row r="175" spans="10:10">
      <c r="J175" s="38"/>
    </row>
    <row r="176" spans="10:10">
      <c r="J176" s="38"/>
    </row>
    <row r="177" spans="10:10">
      <c r="J177" s="38"/>
    </row>
    <row r="178" spans="10:10">
      <c r="J178" s="38"/>
    </row>
    <row r="179" spans="10:10">
      <c r="J179" s="38"/>
    </row>
    <row r="180" spans="10:10">
      <c r="J180" s="38"/>
    </row>
    <row r="181" spans="10:10">
      <c r="J181" s="38"/>
    </row>
    <row r="182" spans="10:10">
      <c r="J182" s="38"/>
    </row>
    <row r="183" spans="10:10">
      <c r="J183" s="38"/>
    </row>
    <row r="184" spans="10:10">
      <c r="J184" s="38"/>
    </row>
    <row r="185" spans="10:10">
      <c r="J185" s="38"/>
    </row>
    <row r="186" spans="10:10">
      <c r="J186" s="38"/>
    </row>
    <row r="187" spans="10:10">
      <c r="J187" s="38"/>
    </row>
    <row r="188" spans="10:10">
      <c r="J188" s="38"/>
    </row>
    <row r="189" spans="10:10">
      <c r="J189" s="38"/>
    </row>
    <row r="190" spans="10:10">
      <c r="J190" s="38"/>
    </row>
    <row r="191" spans="10:10">
      <c r="J191" s="38"/>
    </row>
    <row r="192" spans="10:10">
      <c r="J192" s="38"/>
    </row>
    <row r="193" spans="10:10">
      <c r="J193" s="38"/>
    </row>
    <row r="194" spans="10:10">
      <c r="J194" s="38"/>
    </row>
    <row r="195" spans="10:10">
      <c r="J195" s="38"/>
    </row>
    <row r="196" spans="10:10">
      <c r="J196" s="38"/>
    </row>
    <row r="197" spans="10:10">
      <c r="J197" s="38"/>
    </row>
    <row r="198" spans="10:10">
      <c r="J198" s="38"/>
    </row>
    <row r="199" spans="10:10">
      <c r="J199" s="38"/>
    </row>
    <row r="200" spans="10:10">
      <c r="J200" s="38"/>
    </row>
    <row r="201" spans="10:10">
      <c r="J201" s="38"/>
    </row>
    <row r="202" spans="10:10">
      <c r="J202" s="38"/>
    </row>
    <row r="203" spans="10:10">
      <c r="J203" s="38"/>
    </row>
    <row r="204" spans="10:10">
      <c r="J204" s="38"/>
    </row>
    <row r="205" spans="10:10">
      <c r="J205" s="38"/>
    </row>
    <row r="206" spans="10:10">
      <c r="J206" s="38"/>
    </row>
    <row r="207" spans="10:10">
      <c r="J207" s="38"/>
    </row>
    <row r="208" spans="10:10">
      <c r="J208" s="38"/>
    </row>
    <row r="209" spans="10:10">
      <c r="J209" s="38"/>
    </row>
    <row r="210" spans="10:10">
      <c r="J210" s="38"/>
    </row>
    <row r="211" spans="10:10">
      <c r="J211" s="38"/>
    </row>
    <row r="212" spans="10:10">
      <c r="J212" s="38"/>
    </row>
    <row r="213" spans="10:10">
      <c r="J213" s="38"/>
    </row>
    <row r="214" spans="10:10">
      <c r="J214" s="38"/>
    </row>
    <row r="215" spans="10:10">
      <c r="J215" s="38"/>
    </row>
    <row r="216" spans="10:10">
      <c r="J216" s="38"/>
    </row>
    <row r="217" spans="10:10">
      <c r="J217" s="38"/>
    </row>
    <row r="218" spans="10:10">
      <c r="J218" s="38"/>
    </row>
    <row r="219" spans="10:10">
      <c r="J219" s="38"/>
    </row>
    <row r="220" spans="10:10">
      <c r="J220" s="38"/>
    </row>
    <row r="221" spans="10:10">
      <c r="J221" s="38"/>
    </row>
    <row r="222" spans="10:10">
      <c r="J222" s="38"/>
    </row>
    <row r="223" spans="10:10">
      <c r="J223" s="38"/>
    </row>
    <row r="224" spans="10:10">
      <c r="J224" s="38"/>
    </row>
    <row r="225" spans="10:10">
      <c r="J225" s="38"/>
    </row>
    <row r="226" spans="10:10">
      <c r="J226" s="38"/>
    </row>
    <row r="227" spans="10:10">
      <c r="J227" s="38"/>
    </row>
    <row r="228" spans="10:10">
      <c r="J228" s="38"/>
    </row>
    <row r="229" spans="10:10">
      <c r="J229" s="38"/>
    </row>
    <row r="230" spans="10:10">
      <c r="J230" s="38"/>
    </row>
    <row r="231" spans="10:10">
      <c r="J231" s="38"/>
    </row>
    <row r="232" spans="10:10">
      <c r="J232" s="38"/>
    </row>
    <row r="233" spans="10:10">
      <c r="J233" s="38"/>
    </row>
    <row r="234" spans="10:10">
      <c r="J234" s="38"/>
    </row>
    <row r="235" spans="10:10">
      <c r="J235" s="38"/>
    </row>
    <row r="236" spans="10:10">
      <c r="J236" s="38"/>
    </row>
    <row r="237" spans="10:10">
      <c r="J237" s="38"/>
    </row>
    <row r="238" spans="10:10">
      <c r="J238" s="38"/>
    </row>
    <row r="239" spans="10:10">
      <c r="J239" s="38"/>
    </row>
    <row r="240" spans="10:10">
      <c r="J240" s="38"/>
    </row>
    <row r="241" spans="10:10">
      <c r="J241" s="38"/>
    </row>
    <row r="242" spans="10:10">
      <c r="J242" s="38"/>
    </row>
    <row r="243" spans="10:10">
      <c r="J243" s="38"/>
    </row>
    <row r="244" spans="10:10">
      <c r="J244" s="38"/>
    </row>
    <row r="245" spans="10:10">
      <c r="J245" s="38"/>
    </row>
    <row r="246" spans="10:10">
      <c r="J246" s="38"/>
    </row>
    <row r="247" spans="10:10">
      <c r="J247" s="38"/>
    </row>
    <row r="248" spans="10:10">
      <c r="J248" s="38"/>
    </row>
    <row r="249" spans="10:10">
      <c r="J249" s="38"/>
    </row>
    <row r="250" spans="10:10">
      <c r="J250" s="38"/>
    </row>
    <row r="251" spans="10:10">
      <c r="J251" s="38"/>
    </row>
    <row r="252" spans="10:10">
      <c r="J252" s="38"/>
    </row>
    <row r="253" spans="10:10">
      <c r="J253" s="38"/>
    </row>
    <row r="254" spans="10:10">
      <c r="J254" s="38"/>
    </row>
    <row r="255" spans="10:10">
      <c r="J255" s="38"/>
    </row>
    <row r="256" spans="10:10">
      <c r="J256" s="38"/>
    </row>
    <row r="257" spans="10:10">
      <c r="J257" s="38"/>
    </row>
    <row r="258" spans="10:10">
      <c r="J258" s="38"/>
    </row>
    <row r="259" spans="10:10">
      <c r="J259" s="38"/>
    </row>
    <row r="260" spans="10:10">
      <c r="J260" s="38"/>
    </row>
    <row r="261" spans="10:10">
      <c r="J261" s="38"/>
    </row>
    <row r="262" spans="10:10">
      <c r="J262" s="38"/>
    </row>
    <row r="263" spans="10:10">
      <c r="J263" s="38"/>
    </row>
    <row r="264" spans="10:10">
      <c r="J264" s="38"/>
    </row>
    <row r="265" spans="10:10">
      <c r="J265" s="38"/>
    </row>
    <row r="266" spans="10:10">
      <c r="J266" s="38"/>
    </row>
    <row r="267" spans="10:10">
      <c r="J267" s="38"/>
    </row>
    <row r="268" spans="10:10">
      <c r="J268" s="38"/>
    </row>
    <row r="269" spans="10:10">
      <c r="J269" s="38"/>
    </row>
    <row r="270" spans="10:10">
      <c r="J270" s="38"/>
    </row>
    <row r="271" spans="10:10">
      <c r="J271" s="38"/>
    </row>
    <row r="272" spans="10:10">
      <c r="J272" s="38"/>
    </row>
    <row r="273" spans="10:10">
      <c r="J273" s="38"/>
    </row>
    <row r="274" spans="10:10">
      <c r="J274" s="38"/>
    </row>
    <row r="275" spans="10:10">
      <c r="J275" s="38"/>
    </row>
    <row r="276" spans="10:10">
      <c r="J276" s="38"/>
    </row>
    <row r="277" spans="10:10">
      <c r="J277" s="38"/>
    </row>
    <row r="278" spans="10:10">
      <c r="J278" s="38"/>
    </row>
    <row r="279" spans="10:10">
      <c r="J279" s="38"/>
    </row>
    <row r="280" spans="10:10">
      <c r="J280" s="38"/>
    </row>
    <row r="281" spans="10:10">
      <c r="J281" s="38"/>
    </row>
    <row r="282" spans="10:10">
      <c r="J282" s="38"/>
    </row>
    <row r="283" spans="10:10">
      <c r="J283" s="38"/>
    </row>
    <row r="284" spans="10:10">
      <c r="J284" s="38"/>
    </row>
    <row r="285" spans="10:10">
      <c r="J285" s="38"/>
    </row>
    <row r="286" spans="10:10">
      <c r="J286" s="38"/>
    </row>
    <row r="287" spans="10:10">
      <c r="J287" s="38"/>
    </row>
    <row r="288" spans="10:10">
      <c r="J288" s="38"/>
    </row>
    <row r="289" spans="10:10">
      <c r="J289" s="38"/>
    </row>
    <row r="290" spans="10:10">
      <c r="J290" s="38"/>
    </row>
    <row r="291" spans="10:10">
      <c r="J291" s="38"/>
    </row>
    <row r="292" spans="10:10">
      <c r="J292" s="38"/>
    </row>
    <row r="293" spans="10:10">
      <c r="J293" s="38"/>
    </row>
    <row r="294" spans="10:10">
      <c r="J294" s="38"/>
    </row>
    <row r="295" spans="10:10">
      <c r="J295" s="38"/>
    </row>
    <row r="296" spans="10:10">
      <c r="J296" s="38"/>
    </row>
    <row r="297" spans="10:10">
      <c r="J297" s="38"/>
    </row>
    <row r="298" spans="10:10">
      <c r="J298" s="38"/>
    </row>
    <row r="299" spans="10:10">
      <c r="J299" s="38"/>
    </row>
    <row r="300" spans="10:10">
      <c r="J300" s="38"/>
    </row>
    <row r="301" spans="10:10">
      <c r="J301" s="38"/>
    </row>
    <row r="302" spans="10:10">
      <c r="J302" s="38"/>
    </row>
    <row r="303" spans="10:10">
      <c r="J303" s="38"/>
    </row>
    <row r="304" spans="10:10">
      <c r="J304" s="38"/>
    </row>
    <row r="305" spans="10:10">
      <c r="J305" s="38"/>
    </row>
    <row r="306" spans="10:10">
      <c r="J306" s="38"/>
    </row>
    <row r="307" spans="10:10">
      <c r="J307" s="38"/>
    </row>
    <row r="308" spans="10:10">
      <c r="J308" s="38"/>
    </row>
    <row r="309" spans="10:10">
      <c r="J309" s="38"/>
    </row>
    <row r="310" spans="10:10">
      <c r="J310" s="38"/>
    </row>
    <row r="311" spans="10:10">
      <c r="J311" s="38"/>
    </row>
    <row r="312" spans="10:10">
      <c r="J312" s="38"/>
    </row>
    <row r="313" spans="10:10">
      <c r="J313" s="38"/>
    </row>
    <row r="314" spans="10:10">
      <c r="J314" s="38"/>
    </row>
    <row r="315" spans="10:10">
      <c r="J315" s="38"/>
    </row>
    <row r="316" spans="10:10">
      <c r="J316" s="38"/>
    </row>
    <row r="317" spans="10:10">
      <c r="J317" s="38"/>
    </row>
    <row r="318" spans="10:10">
      <c r="J318" s="38"/>
    </row>
    <row r="319" spans="10:10">
      <c r="J319" s="38"/>
    </row>
    <row r="320" spans="10:10">
      <c r="J320" s="38"/>
    </row>
    <row r="321" spans="10:10">
      <c r="J321" s="38"/>
    </row>
    <row r="322" spans="10:10">
      <c r="J322" s="38"/>
    </row>
    <row r="323" spans="10:10">
      <c r="J323" s="38"/>
    </row>
    <row r="324" spans="10:10">
      <c r="J324" s="38"/>
    </row>
    <row r="325" spans="10:10">
      <c r="J325" s="38"/>
    </row>
    <row r="326" spans="10:10">
      <c r="J326" s="38"/>
    </row>
    <row r="327" spans="10:10">
      <c r="J327" s="38"/>
    </row>
    <row r="328" spans="10:10">
      <c r="J328" s="38"/>
    </row>
    <row r="329" spans="10:10">
      <c r="J329" s="38"/>
    </row>
    <row r="330" spans="10:10">
      <c r="J330" s="38"/>
    </row>
    <row r="331" spans="10:10">
      <c r="J331" s="38"/>
    </row>
    <row r="332" spans="10:10">
      <c r="J332" s="38"/>
    </row>
    <row r="333" spans="10:10">
      <c r="J333" s="38"/>
    </row>
    <row r="334" spans="10:10">
      <c r="J334" s="38"/>
    </row>
    <row r="335" spans="10:10">
      <c r="J335" s="38"/>
    </row>
    <row r="336" spans="10:10">
      <c r="J336" s="38"/>
    </row>
    <row r="337" spans="10:10">
      <c r="J337" s="38"/>
    </row>
    <row r="338" spans="10:10">
      <c r="J338" s="38"/>
    </row>
    <row r="339" spans="10:10">
      <c r="J339" s="38"/>
    </row>
    <row r="340" spans="10:10">
      <c r="J340" s="38"/>
    </row>
    <row r="341" spans="10:10">
      <c r="J341" s="38"/>
    </row>
    <row r="342" spans="10:10">
      <c r="J342" s="38"/>
    </row>
    <row r="343" spans="10:10">
      <c r="J343" s="38"/>
    </row>
    <row r="344" spans="10:10">
      <c r="J344" s="38"/>
    </row>
    <row r="345" spans="10:10">
      <c r="J345" s="38"/>
    </row>
    <row r="346" spans="10:10">
      <c r="J346" s="38"/>
    </row>
    <row r="347" spans="10:10">
      <c r="J347" s="38"/>
    </row>
    <row r="348" spans="10:10">
      <c r="J348" s="38"/>
    </row>
    <row r="349" spans="10:10">
      <c r="J349" s="38"/>
    </row>
    <row r="350" spans="10:10">
      <c r="J350" s="38"/>
    </row>
    <row r="351" spans="10:10">
      <c r="J351" s="38"/>
    </row>
    <row r="352" spans="10:10">
      <c r="J352" s="38"/>
    </row>
    <row r="353" spans="10:10">
      <c r="J353" s="38"/>
    </row>
    <row r="354" spans="10:10">
      <c r="J354" s="38"/>
    </row>
    <row r="355" spans="10:10">
      <c r="J355" s="38"/>
    </row>
    <row r="356" spans="10:10">
      <c r="J356" s="38"/>
    </row>
    <row r="357" spans="10:10">
      <c r="J357" s="38"/>
    </row>
    <row r="358" spans="10:10">
      <c r="J358" s="38"/>
    </row>
    <row r="359" spans="10:10">
      <c r="J359" s="38"/>
    </row>
    <row r="360" spans="10:10">
      <c r="J360" s="38"/>
    </row>
    <row r="361" spans="10:10">
      <c r="J361" s="38"/>
    </row>
    <row r="362" spans="10:10">
      <c r="J362" s="38"/>
    </row>
    <row r="363" spans="10:10">
      <c r="J363" s="38"/>
    </row>
    <row r="364" spans="10:10">
      <c r="J364" s="38"/>
    </row>
    <row r="365" spans="10:10">
      <c r="J365" s="38"/>
    </row>
    <row r="366" spans="10:10">
      <c r="J366" s="38"/>
    </row>
    <row r="367" spans="10:10">
      <c r="J367" s="38"/>
    </row>
    <row r="368" spans="10:10">
      <c r="J368" s="38"/>
    </row>
    <row r="369" spans="10:10">
      <c r="J369" s="38"/>
    </row>
    <row r="370" spans="10:10">
      <c r="J370" s="38"/>
    </row>
    <row r="371" spans="10:10">
      <c r="J371" s="38"/>
    </row>
    <row r="372" spans="10:10">
      <c r="J372" s="38"/>
    </row>
    <row r="373" spans="10:10">
      <c r="J373" s="38"/>
    </row>
    <row r="374" spans="10:10">
      <c r="J374" s="38"/>
    </row>
    <row r="375" spans="10:10">
      <c r="J375" s="38"/>
    </row>
    <row r="376" spans="10:10">
      <c r="J376" s="38"/>
    </row>
    <row r="377" spans="10:10">
      <c r="J377" s="38"/>
    </row>
    <row r="378" spans="10:10">
      <c r="J378" s="38"/>
    </row>
    <row r="379" spans="10:10">
      <c r="J379" s="38"/>
    </row>
    <row r="380" spans="10:10">
      <c r="J380" s="38"/>
    </row>
    <row r="381" spans="10:10">
      <c r="J381" s="38"/>
    </row>
    <row r="382" spans="10:10">
      <c r="J382" s="38"/>
    </row>
    <row r="383" spans="10:10">
      <c r="J383" s="38"/>
    </row>
    <row r="384" spans="10:10">
      <c r="J384" s="38"/>
    </row>
    <row r="385" spans="10:10">
      <c r="J385" s="38"/>
    </row>
    <row r="386" spans="10:10">
      <c r="J386" s="38"/>
    </row>
    <row r="387" spans="10:10">
      <c r="J387" s="38"/>
    </row>
    <row r="388" spans="10:10">
      <c r="J388" s="38"/>
    </row>
    <row r="389" spans="10:10">
      <c r="J389" s="38"/>
    </row>
    <row r="390" spans="10:10">
      <c r="J390" s="38"/>
    </row>
    <row r="391" spans="10:10">
      <c r="J391" s="38"/>
    </row>
    <row r="392" spans="10:10">
      <c r="J392" s="38"/>
    </row>
    <row r="393" spans="10:10">
      <c r="J393" s="38"/>
    </row>
    <row r="394" spans="10:10">
      <c r="J394" s="38"/>
    </row>
    <row r="395" spans="10:10">
      <c r="J395" s="38"/>
    </row>
    <row r="396" spans="10:10">
      <c r="J396" s="38"/>
    </row>
    <row r="397" spans="10:10">
      <c r="J397" s="38"/>
    </row>
    <row r="398" spans="10:10">
      <c r="J398" s="38"/>
    </row>
    <row r="399" spans="10:10">
      <c r="J399" s="38"/>
    </row>
    <row r="400" spans="10:10">
      <c r="J400" s="38"/>
    </row>
    <row r="401" spans="10:10">
      <c r="J401" s="38"/>
    </row>
    <row r="402" spans="10:10">
      <c r="J402" s="38"/>
    </row>
    <row r="403" spans="10:10">
      <c r="J403" s="38"/>
    </row>
    <row r="404" spans="10:10">
      <c r="J404" s="38"/>
    </row>
    <row r="405" spans="10:10">
      <c r="J405" s="38"/>
    </row>
    <row r="406" spans="10:10">
      <c r="J406" s="38"/>
    </row>
    <row r="407" spans="10:10">
      <c r="J407" s="38"/>
    </row>
    <row r="408" spans="10:10">
      <c r="J408" s="38"/>
    </row>
    <row r="409" spans="10:10">
      <c r="J409" s="38"/>
    </row>
    <row r="410" spans="10:10">
      <c r="J410" s="38"/>
    </row>
    <row r="411" spans="10:10">
      <c r="J411" s="38"/>
    </row>
    <row r="412" spans="10:10">
      <c r="J412" s="38"/>
    </row>
    <row r="413" spans="10:10">
      <c r="J413" s="38"/>
    </row>
    <row r="414" spans="10:10">
      <c r="J414" s="38"/>
    </row>
    <row r="415" spans="10:10">
      <c r="J415" s="38"/>
    </row>
    <row r="416" spans="10:10">
      <c r="J416" s="38"/>
    </row>
    <row r="417" spans="10:10">
      <c r="J417" s="38"/>
    </row>
    <row r="418" spans="10:10">
      <c r="J418" s="38"/>
    </row>
    <row r="419" spans="10:10">
      <c r="J419" s="38"/>
    </row>
    <row r="420" spans="10:10">
      <c r="J420" s="38"/>
    </row>
    <row r="421" spans="10:10">
      <c r="J421" s="38"/>
    </row>
    <row r="422" spans="10:10">
      <c r="J422" s="38"/>
    </row>
    <row r="423" spans="10:10">
      <c r="J423" s="38"/>
    </row>
    <row r="424" spans="10:10">
      <c r="J424" s="38"/>
    </row>
    <row r="425" spans="10:10">
      <c r="J425" s="38"/>
    </row>
    <row r="426" spans="10:10">
      <c r="J426" s="38"/>
    </row>
    <row r="427" spans="10:10">
      <c r="J427" s="38"/>
    </row>
    <row r="428" spans="10:10">
      <c r="J428" s="38"/>
    </row>
    <row r="429" spans="10:10">
      <c r="J429" s="38"/>
    </row>
    <row r="430" spans="10:10">
      <c r="J430" s="38"/>
    </row>
    <row r="431" spans="10:10">
      <c r="J431" s="38"/>
    </row>
    <row r="432" spans="10:10">
      <c r="J432" s="38"/>
    </row>
    <row r="433" spans="10:10">
      <c r="J433" s="38"/>
    </row>
    <row r="434" spans="10:10">
      <c r="J434" s="38"/>
    </row>
    <row r="435" spans="10:10">
      <c r="J435" s="38"/>
    </row>
    <row r="436" spans="10:10">
      <c r="J436" s="38"/>
    </row>
    <row r="437" spans="10:10">
      <c r="J437" s="38"/>
    </row>
    <row r="438" spans="10:10">
      <c r="J438" s="38"/>
    </row>
    <row r="439" spans="10:10">
      <c r="J439" s="38"/>
    </row>
    <row r="440" spans="10:10">
      <c r="J440" s="38"/>
    </row>
    <row r="441" spans="10:10">
      <c r="J441" s="38"/>
    </row>
    <row r="442" spans="10:10">
      <c r="J442" s="38"/>
    </row>
    <row r="443" spans="10:10">
      <c r="J443" s="38"/>
    </row>
    <row r="444" spans="10:10">
      <c r="J444" s="38"/>
    </row>
    <row r="445" spans="10:10">
      <c r="J445" s="38"/>
    </row>
    <row r="446" spans="10:10">
      <c r="J446" s="38"/>
    </row>
    <row r="447" spans="10:10">
      <c r="J447" s="38"/>
    </row>
    <row r="448" spans="10:10">
      <c r="J448" s="38"/>
    </row>
    <row r="449" spans="10:10">
      <c r="J449" s="38"/>
    </row>
    <row r="450" spans="10:10">
      <c r="J450" s="38"/>
    </row>
    <row r="451" spans="10:10">
      <c r="J451" s="38"/>
    </row>
    <row r="452" spans="10:10">
      <c r="J452" s="38"/>
    </row>
    <row r="453" spans="10:10">
      <c r="J453" s="38"/>
    </row>
    <row r="454" spans="10:10">
      <c r="J454" s="38"/>
    </row>
    <row r="455" spans="10:10">
      <c r="J455" s="38"/>
    </row>
    <row r="456" spans="10:10">
      <c r="J456" s="38"/>
    </row>
    <row r="457" spans="10:10">
      <c r="J457" s="38"/>
    </row>
    <row r="458" spans="10:10">
      <c r="J458" s="38"/>
    </row>
    <row r="459" spans="10:10">
      <c r="J459" s="38"/>
    </row>
    <row r="460" spans="10:10">
      <c r="J460" s="38"/>
    </row>
    <row r="461" spans="10:10">
      <c r="J461" s="38"/>
    </row>
    <row r="462" spans="10:10">
      <c r="J462" s="38"/>
    </row>
    <row r="463" spans="10:10">
      <c r="J463" s="38"/>
    </row>
    <row r="464" spans="10:10">
      <c r="J464" s="38"/>
    </row>
    <row r="465" spans="10:10">
      <c r="J465" s="38"/>
    </row>
    <row r="466" spans="10:10">
      <c r="J466" s="38"/>
    </row>
    <row r="467" spans="10:10">
      <c r="J467" s="38"/>
    </row>
    <row r="468" spans="10:10">
      <c r="J468" s="38"/>
    </row>
    <row r="469" spans="10:10">
      <c r="J469" s="38"/>
    </row>
    <row r="470" spans="10:10">
      <c r="J470" s="38"/>
    </row>
    <row r="471" spans="10:10">
      <c r="J471" s="38"/>
    </row>
    <row r="472" spans="10:10">
      <c r="J472" s="38"/>
    </row>
    <row r="473" spans="10:10">
      <c r="J473" s="38"/>
    </row>
    <row r="474" spans="10:10">
      <c r="J474" s="38"/>
    </row>
    <row r="475" spans="10:10">
      <c r="J475" s="38"/>
    </row>
    <row r="476" spans="10:10">
      <c r="J476" s="38"/>
    </row>
    <row r="477" spans="10:10">
      <c r="J477" s="38"/>
    </row>
    <row r="478" spans="10:10">
      <c r="J478" s="38"/>
    </row>
    <row r="479" spans="10:10">
      <c r="J479" s="38"/>
    </row>
    <row r="480" spans="10:10">
      <c r="J480" s="38"/>
    </row>
    <row r="481" spans="10:10">
      <c r="J481" s="38"/>
    </row>
    <row r="482" spans="10:10">
      <c r="J482" s="38"/>
    </row>
    <row r="483" spans="10:10">
      <c r="J483" s="38"/>
    </row>
    <row r="484" spans="10:10">
      <c r="J484" s="38"/>
    </row>
    <row r="485" spans="10:10">
      <c r="J485" s="38"/>
    </row>
    <row r="486" spans="10:10">
      <c r="J486" s="38"/>
    </row>
    <row r="487" spans="10:10">
      <c r="J487" s="38"/>
    </row>
    <row r="488" spans="10:10">
      <c r="J488" s="38"/>
    </row>
    <row r="489" spans="10:10">
      <c r="J489" s="38"/>
    </row>
    <row r="490" spans="10:10">
      <c r="J490" s="38"/>
    </row>
    <row r="491" spans="10:10">
      <c r="J491" s="38"/>
    </row>
    <row r="492" spans="10:10">
      <c r="J492" s="38"/>
    </row>
    <row r="493" spans="10:10">
      <c r="J493" s="38"/>
    </row>
    <row r="494" spans="10:10">
      <c r="J494" s="38"/>
    </row>
    <row r="495" spans="10:10">
      <c r="J495" s="38"/>
    </row>
    <row r="496" spans="10:10">
      <c r="J496" s="38"/>
    </row>
    <row r="497" spans="10:10">
      <c r="J497" s="38"/>
    </row>
    <row r="498" spans="10:10">
      <c r="J498" s="38"/>
    </row>
    <row r="499" spans="10:10">
      <c r="J499" s="38"/>
    </row>
    <row r="500" spans="10:10">
      <c r="J500" s="38"/>
    </row>
    <row r="501" spans="10:10">
      <c r="J501" s="38"/>
    </row>
    <row r="502" spans="10:10">
      <c r="J502" s="38"/>
    </row>
    <row r="503" spans="10:10">
      <c r="J503" s="38"/>
    </row>
    <row r="504" spans="10:10">
      <c r="J504" s="38"/>
    </row>
    <row r="505" spans="10:10">
      <c r="J505" s="38"/>
    </row>
    <row r="506" spans="10:10">
      <c r="J506" s="38"/>
    </row>
    <row r="507" spans="10:10">
      <c r="J507" s="38"/>
    </row>
    <row r="508" spans="10:10">
      <c r="J508" s="38"/>
    </row>
    <row r="509" spans="10:10">
      <c r="J509" s="38"/>
    </row>
    <row r="510" spans="10:10">
      <c r="J510" s="38"/>
    </row>
    <row r="511" spans="10:10">
      <c r="J511" s="38"/>
    </row>
    <row r="512" spans="10:10">
      <c r="J512" s="38"/>
    </row>
    <row r="513" spans="10:10">
      <c r="J513" s="38"/>
    </row>
    <row r="514" spans="10:10">
      <c r="J514" s="38"/>
    </row>
    <row r="515" spans="10:10">
      <c r="J515" s="38"/>
    </row>
    <row r="516" spans="10:10">
      <c r="J516" s="38"/>
    </row>
    <row r="517" spans="10:10">
      <c r="J517" s="38"/>
    </row>
    <row r="518" spans="10:10">
      <c r="J518" s="38"/>
    </row>
    <row r="519" spans="10:10">
      <c r="J519" s="38"/>
    </row>
    <row r="520" spans="10:10">
      <c r="J520" s="38"/>
    </row>
    <row r="521" spans="10:10">
      <c r="J521" s="38"/>
    </row>
    <row r="522" spans="10:10">
      <c r="J522" s="38"/>
    </row>
    <row r="523" spans="10:10">
      <c r="J523" s="38"/>
    </row>
    <row r="524" spans="10:10">
      <c r="J524" s="38"/>
    </row>
    <row r="525" spans="10:10">
      <c r="J525" s="38"/>
    </row>
    <row r="526" spans="10:10">
      <c r="J526" s="38"/>
    </row>
    <row r="527" spans="10:10">
      <c r="J527" s="38"/>
    </row>
    <row r="528" spans="10:10">
      <c r="J528" s="38"/>
    </row>
    <row r="529" spans="10:10">
      <c r="J529" s="38"/>
    </row>
    <row r="530" spans="10:10">
      <c r="J530" s="38"/>
    </row>
    <row r="531" spans="10:10">
      <c r="J531" s="38"/>
    </row>
    <row r="532" spans="10:10">
      <c r="J532" s="38"/>
    </row>
    <row r="533" spans="10:10">
      <c r="J533" s="38"/>
    </row>
    <row r="534" spans="10:10">
      <c r="J534" s="38"/>
    </row>
    <row r="535" spans="10:10">
      <c r="J535" s="38"/>
    </row>
    <row r="536" spans="10:10">
      <c r="J536" s="38"/>
    </row>
    <row r="537" spans="10:10">
      <c r="J537" s="38"/>
    </row>
    <row r="538" spans="10:10">
      <c r="J538" s="38"/>
    </row>
    <row r="539" spans="10:10">
      <c r="J539" s="38"/>
    </row>
    <row r="540" spans="10:10">
      <c r="J540" s="38"/>
    </row>
    <row r="541" spans="10:10">
      <c r="J541" s="38"/>
    </row>
    <row r="542" spans="10:10">
      <c r="J542" s="38"/>
    </row>
    <row r="543" spans="10:10">
      <c r="J543" s="38"/>
    </row>
    <row r="544" spans="10:10">
      <c r="J544" s="38"/>
    </row>
    <row r="545" spans="10:10">
      <c r="J545" s="38"/>
    </row>
    <row r="546" spans="10:10">
      <c r="J546" s="38"/>
    </row>
    <row r="547" spans="10:10">
      <c r="J547" s="38"/>
    </row>
    <row r="548" spans="10:10">
      <c r="J548" s="38"/>
    </row>
    <row r="549" spans="10:10">
      <c r="J549" s="38"/>
    </row>
    <row r="550" spans="10:10">
      <c r="J550" s="38"/>
    </row>
    <row r="551" spans="10:10">
      <c r="J551" s="38"/>
    </row>
    <row r="552" spans="10:10">
      <c r="J552" s="38"/>
    </row>
    <row r="553" spans="10:10">
      <c r="J553" s="38"/>
    </row>
    <row r="554" spans="10:10">
      <c r="J554" s="38"/>
    </row>
    <row r="555" spans="10:10">
      <c r="J555" s="38"/>
    </row>
    <row r="556" spans="10:10">
      <c r="J556" s="38"/>
    </row>
    <row r="557" spans="10:10">
      <c r="J557" s="38"/>
    </row>
    <row r="558" spans="10:10">
      <c r="J558" s="38"/>
    </row>
    <row r="559" spans="10:10">
      <c r="J559" s="38"/>
    </row>
    <row r="560" spans="10:10">
      <c r="J560" s="38"/>
    </row>
    <row r="561" spans="10:10">
      <c r="J561" s="38"/>
    </row>
    <row r="562" spans="10:10">
      <c r="J562" s="38"/>
    </row>
    <row r="563" spans="10:10">
      <c r="J563" s="38"/>
    </row>
    <row r="564" spans="10:10">
      <c r="J564" s="38"/>
    </row>
    <row r="565" spans="10:10">
      <c r="J565" s="38"/>
    </row>
    <row r="566" spans="10:10">
      <c r="J566" s="38"/>
    </row>
    <row r="567" spans="10:10">
      <c r="J567" s="38"/>
    </row>
    <row r="568" spans="10:10">
      <c r="J568" s="38"/>
    </row>
    <row r="569" spans="10:10">
      <c r="J569" s="38"/>
    </row>
    <row r="570" spans="10:10">
      <c r="J570" s="38"/>
    </row>
    <row r="571" spans="10:10">
      <c r="J571" s="38"/>
    </row>
    <row r="572" spans="10:10">
      <c r="J572" s="38"/>
    </row>
    <row r="573" spans="10:10">
      <c r="J573" s="38"/>
    </row>
    <row r="574" spans="10:10">
      <c r="J574" s="38"/>
    </row>
    <row r="575" spans="10:10">
      <c r="J575" s="38"/>
    </row>
    <row r="576" spans="10:10">
      <c r="J576" s="38"/>
    </row>
    <row r="577" spans="10:10">
      <c r="J577" s="38"/>
    </row>
    <row r="578" spans="10:10">
      <c r="J578" s="38"/>
    </row>
    <row r="579" spans="10:10">
      <c r="J579" s="38"/>
    </row>
    <row r="580" spans="10:10">
      <c r="J580" s="38"/>
    </row>
    <row r="581" spans="10:10">
      <c r="J581" s="38"/>
    </row>
    <row r="582" spans="10:10">
      <c r="J582" s="38"/>
    </row>
    <row r="583" spans="10:10">
      <c r="J583" s="38"/>
    </row>
    <row r="584" spans="10:10">
      <c r="J584" s="38"/>
    </row>
    <row r="585" spans="10:10">
      <c r="J585" s="38"/>
    </row>
    <row r="586" spans="10:10">
      <c r="J586" s="38"/>
    </row>
    <row r="587" spans="10:10">
      <c r="J587" s="38"/>
    </row>
    <row r="588" spans="10:10">
      <c r="J588" s="38"/>
    </row>
    <row r="589" spans="10:10">
      <c r="J589" s="38"/>
    </row>
    <row r="590" spans="10:10">
      <c r="J590" s="38"/>
    </row>
    <row r="591" spans="10:10">
      <c r="J591" s="38"/>
    </row>
    <row r="592" spans="10:10">
      <c r="J592" s="38"/>
    </row>
    <row r="593" spans="10:10">
      <c r="J593" s="38"/>
    </row>
    <row r="594" spans="10:10">
      <c r="J594" s="38"/>
    </row>
    <row r="595" spans="10:10">
      <c r="J595" s="38"/>
    </row>
    <row r="596" spans="10:10">
      <c r="J596" s="38"/>
    </row>
    <row r="597" spans="10:10">
      <c r="J597" s="38"/>
    </row>
    <row r="598" spans="10:10">
      <c r="J598" s="38"/>
    </row>
    <row r="599" spans="10:10">
      <c r="J599" s="38"/>
    </row>
    <row r="600" spans="10:10">
      <c r="J600" s="38"/>
    </row>
    <row r="601" spans="10:10">
      <c r="J601" s="38"/>
    </row>
    <row r="602" spans="10:10">
      <c r="J602" s="38"/>
    </row>
    <row r="603" spans="10:10">
      <c r="J603" s="38"/>
    </row>
    <row r="604" spans="10:10">
      <c r="J604" s="38"/>
    </row>
    <row r="605" spans="10:10">
      <c r="J605" s="38"/>
    </row>
    <row r="606" spans="10:10">
      <c r="J606" s="38"/>
    </row>
    <row r="607" spans="10:10">
      <c r="J607" s="38"/>
    </row>
    <row r="608" spans="10:10">
      <c r="J608" s="38"/>
    </row>
    <row r="609" spans="10:10">
      <c r="J609" s="38"/>
    </row>
    <row r="610" spans="10:10">
      <c r="J610" s="38"/>
    </row>
    <row r="611" spans="10:10">
      <c r="J611" s="38"/>
    </row>
    <row r="612" spans="10:10">
      <c r="J612" s="38"/>
    </row>
    <row r="613" spans="10:10">
      <c r="J613" s="38"/>
    </row>
    <row r="614" spans="10:10">
      <c r="J614" s="38"/>
    </row>
    <row r="615" spans="10:10">
      <c r="J615" s="38"/>
    </row>
    <row r="616" spans="10:10">
      <c r="J616" s="38"/>
    </row>
    <row r="617" spans="10:10">
      <c r="J617" s="38"/>
    </row>
    <row r="618" spans="10:10">
      <c r="J618" s="38"/>
    </row>
    <row r="619" spans="10:10">
      <c r="J619" s="38"/>
    </row>
    <row r="620" spans="10:10">
      <c r="J620" s="38"/>
    </row>
    <row r="621" spans="10:10">
      <c r="J621" s="38"/>
    </row>
    <row r="622" spans="10:10">
      <c r="J622" s="38"/>
    </row>
    <row r="623" spans="10:10">
      <c r="J623" s="38"/>
    </row>
    <row r="624" spans="10:10">
      <c r="J624" s="38"/>
    </row>
    <row r="625" spans="10:10">
      <c r="J625" s="38"/>
    </row>
    <row r="626" spans="10:10">
      <c r="J626" s="38"/>
    </row>
    <row r="627" spans="10:10">
      <c r="J627" s="38"/>
    </row>
    <row r="628" spans="10:10">
      <c r="J628" s="38"/>
    </row>
    <row r="629" spans="10:10">
      <c r="J629" s="38"/>
    </row>
    <row r="630" spans="10:10">
      <c r="J630" s="38"/>
    </row>
    <row r="631" spans="10:10">
      <c r="J631" s="38"/>
    </row>
    <row r="632" spans="10:10">
      <c r="J632" s="38"/>
    </row>
    <row r="633" spans="10:10">
      <c r="J633" s="38"/>
    </row>
    <row r="634" spans="10:10">
      <c r="J634" s="38"/>
    </row>
    <row r="635" spans="10:10">
      <c r="J635" s="38"/>
    </row>
    <row r="636" spans="10:10">
      <c r="J636" s="38"/>
    </row>
    <row r="637" spans="10:10">
      <c r="J637" s="38"/>
    </row>
    <row r="638" spans="10:10">
      <c r="J638" s="38"/>
    </row>
    <row r="639" spans="10:10">
      <c r="J639" s="38"/>
    </row>
    <row r="640" spans="10:10">
      <c r="J640" s="38"/>
    </row>
    <row r="641" spans="10:10">
      <c r="J641" s="38"/>
    </row>
    <row r="642" spans="10:10">
      <c r="J642" s="38"/>
    </row>
    <row r="643" spans="10:10">
      <c r="J643" s="38"/>
    </row>
    <row r="644" spans="10:10">
      <c r="J644" s="38"/>
    </row>
    <row r="645" spans="10:10">
      <c r="J645" s="38"/>
    </row>
    <row r="646" spans="10:10">
      <c r="J646" s="38"/>
    </row>
    <row r="647" spans="10:10">
      <c r="J647" s="38"/>
    </row>
    <row r="648" spans="10:10">
      <c r="J648" s="38"/>
    </row>
    <row r="649" spans="10:10">
      <c r="J649" s="38"/>
    </row>
    <row r="650" spans="10:10">
      <c r="J650" s="38"/>
    </row>
    <row r="651" spans="10:10">
      <c r="J651" s="38"/>
    </row>
    <row r="652" spans="10:10">
      <c r="J652" s="38"/>
    </row>
    <row r="653" spans="10:10">
      <c r="J653" s="38"/>
    </row>
    <row r="654" spans="10:10">
      <c r="J654" s="38"/>
    </row>
    <row r="655" spans="10:10">
      <c r="J655" s="38"/>
    </row>
    <row r="656" spans="10:10">
      <c r="J656" s="38"/>
    </row>
    <row r="657" spans="10:10">
      <c r="J657" s="38"/>
    </row>
    <row r="658" spans="10:10">
      <c r="J658" s="38"/>
    </row>
    <row r="659" spans="10:10">
      <c r="J659" s="38"/>
    </row>
    <row r="660" spans="10:10">
      <c r="J660" s="38"/>
    </row>
    <row r="661" spans="10:10">
      <c r="J661" s="38"/>
    </row>
    <row r="662" spans="10:10">
      <c r="J662" s="38"/>
    </row>
    <row r="663" spans="10:10">
      <c r="J663" s="38"/>
    </row>
    <row r="664" spans="10:10">
      <c r="J664" s="38"/>
    </row>
    <row r="665" spans="10:10">
      <c r="J665" s="38"/>
    </row>
    <row r="666" spans="10:10">
      <c r="J666" s="38"/>
    </row>
    <row r="667" spans="10:10">
      <c r="J667" s="38"/>
    </row>
    <row r="668" spans="10:10">
      <c r="J668" s="38"/>
    </row>
    <row r="669" spans="10:10">
      <c r="J669" s="38"/>
    </row>
    <row r="670" spans="10:10">
      <c r="J670" s="38"/>
    </row>
    <row r="671" spans="10:10">
      <c r="J671" s="38"/>
    </row>
    <row r="672" spans="10:10">
      <c r="J672" s="38"/>
    </row>
    <row r="673" spans="10:10">
      <c r="J673" s="38"/>
    </row>
    <row r="674" spans="10:10">
      <c r="J674" s="38"/>
    </row>
    <row r="675" spans="10:10">
      <c r="J675" s="38"/>
    </row>
    <row r="676" spans="10:10">
      <c r="J676" s="38"/>
    </row>
    <row r="677" spans="10:10">
      <c r="J677" s="38"/>
    </row>
    <row r="678" spans="10:10">
      <c r="J678" s="38"/>
    </row>
    <row r="679" spans="10:10">
      <c r="J679" s="38"/>
    </row>
    <row r="680" spans="10:10">
      <c r="J680" s="38"/>
    </row>
    <row r="681" spans="10:10">
      <c r="J681" s="38"/>
    </row>
    <row r="682" spans="10:10">
      <c r="J682" s="38"/>
    </row>
    <row r="683" spans="10:10">
      <c r="J683" s="38"/>
    </row>
    <row r="684" spans="10:10">
      <c r="J684" s="38"/>
    </row>
    <row r="685" spans="10:10">
      <c r="J685" s="38"/>
    </row>
    <row r="686" spans="10:10">
      <c r="J686" s="38"/>
    </row>
    <row r="687" spans="10:10">
      <c r="J687" s="38"/>
    </row>
    <row r="688" spans="10:10">
      <c r="J688" s="38"/>
    </row>
    <row r="689" spans="10:10">
      <c r="J689" s="38"/>
    </row>
    <row r="690" spans="10:10">
      <c r="J690" s="38"/>
    </row>
    <row r="691" spans="10:10">
      <c r="J691" s="38"/>
    </row>
    <row r="692" spans="10:10">
      <c r="J692" s="38"/>
    </row>
    <row r="693" spans="10:10">
      <c r="J693" s="38"/>
    </row>
    <row r="694" spans="10:10">
      <c r="J694" s="38"/>
    </row>
    <row r="695" spans="10:10">
      <c r="J695" s="38"/>
    </row>
    <row r="696" spans="10:10">
      <c r="J696" s="38"/>
    </row>
    <row r="697" spans="10:10">
      <c r="J697" s="38"/>
    </row>
    <row r="698" spans="10:10">
      <c r="J698" s="38"/>
    </row>
    <row r="699" spans="10:10">
      <c r="J699" s="38"/>
    </row>
    <row r="700" spans="10:10">
      <c r="J700" s="38"/>
    </row>
    <row r="701" spans="10:10">
      <c r="J701" s="38"/>
    </row>
    <row r="702" spans="10:10">
      <c r="J702" s="38"/>
    </row>
    <row r="703" spans="10:10">
      <c r="J703" s="38"/>
    </row>
    <row r="704" spans="10:10">
      <c r="J704" s="38"/>
    </row>
    <row r="705" spans="10:10">
      <c r="J705" s="38"/>
    </row>
    <row r="706" spans="10:10">
      <c r="J706" s="38"/>
    </row>
    <row r="707" spans="10:10">
      <c r="J707" s="38"/>
    </row>
    <row r="708" spans="10:10">
      <c r="J708" s="38"/>
    </row>
    <row r="709" spans="10:10">
      <c r="J709" s="38"/>
    </row>
    <row r="710" spans="10:10">
      <c r="J710" s="38"/>
    </row>
    <row r="711" spans="10:10">
      <c r="J711" s="38"/>
    </row>
    <row r="712" spans="10:10">
      <c r="J712" s="38"/>
    </row>
    <row r="713" spans="10:10">
      <c r="J713" s="38"/>
    </row>
    <row r="714" spans="10:10">
      <c r="J714" s="38"/>
    </row>
    <row r="715" spans="10:10">
      <c r="J715" s="38"/>
    </row>
    <row r="716" spans="10:10">
      <c r="J716" s="38"/>
    </row>
    <row r="717" spans="10:10">
      <c r="J717" s="38"/>
    </row>
    <row r="718" spans="10:10">
      <c r="J718" s="38"/>
    </row>
    <row r="719" spans="10:10">
      <c r="J719" s="38"/>
    </row>
    <row r="720" spans="10:10">
      <c r="J720" s="38"/>
    </row>
    <row r="721" spans="10:10">
      <c r="J721" s="38"/>
    </row>
    <row r="722" spans="10:10">
      <c r="J722" s="38"/>
    </row>
    <row r="723" spans="10:10">
      <c r="J723" s="38"/>
    </row>
    <row r="724" spans="10:10">
      <c r="J724" s="38"/>
    </row>
    <row r="725" spans="10:10">
      <c r="J725" s="38"/>
    </row>
    <row r="726" spans="10:10">
      <c r="J726" s="38"/>
    </row>
    <row r="727" spans="10:10">
      <c r="J727" s="38"/>
    </row>
    <row r="728" spans="10:10">
      <c r="J728" s="38"/>
    </row>
    <row r="729" spans="10:10">
      <c r="J729" s="38"/>
    </row>
    <row r="730" spans="10:10">
      <c r="J730" s="38"/>
    </row>
    <row r="731" spans="10:10">
      <c r="J731" s="38"/>
    </row>
    <row r="732" spans="10:10">
      <c r="J732" s="38"/>
    </row>
    <row r="733" spans="10:10">
      <c r="J733" s="38"/>
    </row>
    <row r="734" spans="10:10">
      <c r="J734" s="38"/>
    </row>
    <row r="735" spans="10:10">
      <c r="J735" s="38"/>
    </row>
    <row r="736" spans="10:10">
      <c r="J736" s="38"/>
    </row>
    <row r="737" spans="10:10">
      <c r="J737" s="38"/>
    </row>
    <row r="738" spans="10:10">
      <c r="J738" s="38"/>
    </row>
    <row r="739" spans="10:10">
      <c r="J739" s="38"/>
    </row>
    <row r="740" spans="10:10">
      <c r="J740" s="38"/>
    </row>
    <row r="741" spans="10:10">
      <c r="J741" s="38"/>
    </row>
    <row r="742" spans="10:10">
      <c r="J742" s="38"/>
    </row>
    <row r="743" spans="10:10">
      <c r="J743" s="38"/>
    </row>
    <row r="744" spans="10:10">
      <c r="J744" s="38"/>
    </row>
    <row r="745" spans="10:10">
      <c r="J745" s="38"/>
    </row>
    <row r="746" spans="10:10">
      <c r="J746" s="38"/>
    </row>
    <row r="747" spans="10:10">
      <c r="J747" s="38"/>
    </row>
    <row r="748" spans="10:10">
      <c r="J748" s="38"/>
    </row>
    <row r="749" spans="10:10">
      <c r="J749" s="38"/>
    </row>
    <row r="750" spans="10:10">
      <c r="J750" s="38"/>
    </row>
    <row r="751" spans="10:10">
      <c r="J751" s="38"/>
    </row>
    <row r="752" spans="10:10">
      <c r="J752" s="38"/>
    </row>
    <row r="753" spans="10:10">
      <c r="J753" s="38"/>
    </row>
    <row r="754" spans="10:10">
      <c r="J754" s="38"/>
    </row>
    <row r="755" spans="10:10">
      <c r="J755" s="38"/>
    </row>
    <row r="756" spans="10:10">
      <c r="J756" s="38"/>
    </row>
    <row r="757" spans="10:10">
      <c r="J757" s="38"/>
    </row>
    <row r="758" spans="10:10">
      <c r="J758" s="38"/>
    </row>
    <row r="759" spans="10:10">
      <c r="J759" s="38"/>
    </row>
    <row r="760" spans="10:10">
      <c r="J760" s="38"/>
    </row>
    <row r="761" spans="10:10">
      <c r="J761" s="38"/>
    </row>
    <row r="762" spans="10:10">
      <c r="J762" s="38"/>
    </row>
    <row r="763" spans="10:10">
      <c r="J763" s="38"/>
    </row>
    <row r="764" spans="10:10">
      <c r="J764" s="38"/>
    </row>
    <row r="765" spans="10:10">
      <c r="J765" s="38"/>
    </row>
    <row r="766" spans="10:10">
      <c r="J766" s="38"/>
    </row>
    <row r="767" spans="10:10">
      <c r="J767" s="38"/>
    </row>
    <row r="768" spans="10:10">
      <c r="J768" s="38"/>
    </row>
    <row r="769" spans="10:10">
      <c r="J769" s="38"/>
    </row>
    <row r="770" spans="10:10">
      <c r="J770" s="38"/>
    </row>
    <row r="771" spans="10:10">
      <c r="J771" s="38"/>
    </row>
    <row r="772" spans="10:10">
      <c r="J772" s="38"/>
    </row>
    <row r="773" spans="10:10">
      <c r="J773" s="38"/>
    </row>
    <row r="774" spans="10:10">
      <c r="J774" s="38"/>
    </row>
    <row r="775" spans="10:10">
      <c r="J775" s="38"/>
    </row>
    <row r="776" spans="10:10">
      <c r="J776" s="38"/>
    </row>
    <row r="777" spans="10:10">
      <c r="J777" s="38"/>
    </row>
    <row r="778" spans="10:10">
      <c r="J778" s="38"/>
    </row>
    <row r="779" spans="10:10">
      <c r="J779" s="38"/>
    </row>
    <row r="780" spans="10:10">
      <c r="J780" s="38"/>
    </row>
    <row r="781" spans="10:10">
      <c r="J781" s="38"/>
    </row>
    <row r="782" spans="10:10">
      <c r="J782" s="38"/>
    </row>
    <row r="783" spans="10:10">
      <c r="J783" s="38"/>
    </row>
    <row r="784" spans="10:10">
      <c r="J784" s="38"/>
    </row>
    <row r="785" spans="10:10">
      <c r="J785" s="38"/>
    </row>
    <row r="786" spans="10:10">
      <c r="J786" s="38"/>
    </row>
    <row r="787" spans="10:10">
      <c r="J787" s="38"/>
    </row>
    <row r="788" spans="10:10">
      <c r="J788" s="38"/>
    </row>
    <row r="789" spans="10:10">
      <c r="J789" s="38"/>
    </row>
    <row r="790" spans="10:10">
      <c r="J790" s="38"/>
    </row>
    <row r="791" spans="10:10">
      <c r="J791" s="38"/>
    </row>
    <row r="792" spans="10:10">
      <c r="J792" s="38"/>
    </row>
    <row r="793" spans="10:10">
      <c r="J793" s="38"/>
    </row>
    <row r="794" spans="10:10">
      <c r="J794" s="38"/>
    </row>
    <row r="795" spans="10:10">
      <c r="J795" s="38"/>
    </row>
    <row r="796" spans="10:10">
      <c r="J796" s="38"/>
    </row>
    <row r="797" spans="10:10">
      <c r="J797" s="38"/>
    </row>
    <row r="798" spans="10:10">
      <c r="J798" s="38"/>
    </row>
    <row r="799" spans="10:10">
      <c r="J799" s="38"/>
    </row>
    <row r="800" spans="10:10">
      <c r="J800" s="38"/>
    </row>
    <row r="801" spans="10:10">
      <c r="J801" s="38"/>
    </row>
    <row r="802" spans="10:10">
      <c r="J802" s="38"/>
    </row>
    <row r="803" spans="10:10">
      <c r="J803" s="38"/>
    </row>
    <row r="804" spans="10:10">
      <c r="J804" s="38"/>
    </row>
    <row r="805" spans="10:10">
      <c r="J805" s="38"/>
    </row>
    <row r="806" spans="10:10">
      <c r="J806" s="38"/>
    </row>
    <row r="807" spans="10:10">
      <c r="J807" s="38"/>
    </row>
    <row r="808" spans="10:10">
      <c r="J808" s="38"/>
    </row>
    <row r="809" spans="10:10">
      <c r="J809" s="38"/>
    </row>
    <row r="810" spans="10:10">
      <c r="J810" s="38"/>
    </row>
    <row r="811" spans="10:10">
      <c r="J811" s="38"/>
    </row>
    <row r="812" spans="10:10">
      <c r="J812" s="38"/>
    </row>
    <row r="813" spans="10:10">
      <c r="J813" s="38"/>
    </row>
    <row r="814" spans="10:10">
      <c r="J814" s="38"/>
    </row>
    <row r="815" spans="10:10">
      <c r="J815" s="38"/>
    </row>
    <row r="816" spans="10:10">
      <c r="J816" s="38"/>
    </row>
    <row r="817" spans="10:10">
      <c r="J817" s="38"/>
    </row>
    <row r="818" spans="10:10">
      <c r="J818" s="38"/>
    </row>
    <row r="819" spans="10:10">
      <c r="J819" s="38"/>
    </row>
    <row r="820" spans="10:10">
      <c r="J820" s="38"/>
    </row>
    <row r="821" spans="10:10">
      <c r="J821" s="38"/>
    </row>
    <row r="822" spans="10:10">
      <c r="J822" s="38"/>
    </row>
    <row r="823" spans="10:10">
      <c r="J823" s="38"/>
    </row>
    <row r="824" spans="10:10">
      <c r="J824" s="38"/>
    </row>
    <row r="825" spans="10:10">
      <c r="J825" s="38"/>
    </row>
    <row r="826" spans="10:10">
      <c r="J826" s="38"/>
    </row>
    <row r="827" spans="10:10">
      <c r="J827" s="38"/>
    </row>
    <row r="828" spans="10:10">
      <c r="J828" s="38"/>
    </row>
    <row r="829" spans="10:10">
      <c r="J829" s="38"/>
    </row>
    <row r="830" spans="10:10">
      <c r="J830" s="38"/>
    </row>
    <row r="831" spans="10:10">
      <c r="J831" s="38"/>
    </row>
    <row r="832" spans="10:10">
      <c r="J832" s="38"/>
    </row>
    <row r="833" spans="10:10">
      <c r="J833" s="38"/>
    </row>
    <row r="834" spans="10:10">
      <c r="J834" s="38"/>
    </row>
    <row r="835" spans="10:10">
      <c r="J835" s="38"/>
    </row>
    <row r="836" spans="10:10">
      <c r="J836" s="38"/>
    </row>
    <row r="837" spans="10:10">
      <c r="J837" s="38"/>
    </row>
    <row r="838" spans="10:10">
      <c r="J838" s="38"/>
    </row>
    <row r="839" spans="10:10">
      <c r="J839" s="38"/>
    </row>
    <row r="840" spans="10:10">
      <c r="J840" s="38"/>
    </row>
    <row r="841" spans="10:10">
      <c r="J841" s="38"/>
    </row>
    <row r="842" spans="10:10">
      <c r="J842" s="38"/>
    </row>
    <row r="843" spans="10:10">
      <c r="J843" s="38"/>
    </row>
    <row r="844" spans="10:10">
      <c r="J844" s="38"/>
    </row>
    <row r="845" spans="10:10">
      <c r="J845" s="38"/>
    </row>
    <row r="846" spans="10:10">
      <c r="J846" s="38"/>
    </row>
    <row r="847" spans="10:10">
      <c r="J847" s="38"/>
    </row>
    <row r="848" spans="10:10">
      <c r="J848" s="38"/>
    </row>
    <row r="849" spans="10:10">
      <c r="J849" s="38"/>
    </row>
    <row r="850" spans="10:10">
      <c r="J850" s="38"/>
    </row>
    <row r="851" spans="10:10">
      <c r="J851" s="38"/>
    </row>
    <row r="852" spans="10:10">
      <c r="J852" s="38"/>
    </row>
    <row r="853" spans="10:10">
      <c r="J853" s="38"/>
    </row>
    <row r="854" spans="10:10">
      <c r="J854" s="38"/>
    </row>
    <row r="855" spans="10:10">
      <c r="J855" s="38"/>
    </row>
    <row r="856" spans="10:10">
      <c r="J856" s="38"/>
    </row>
    <row r="857" spans="10:10">
      <c r="J857" s="38"/>
    </row>
    <row r="858" spans="10:10">
      <c r="J858" s="38"/>
    </row>
    <row r="859" spans="10:10">
      <c r="J859" s="38"/>
    </row>
    <row r="860" spans="10:10">
      <c r="J860" s="38"/>
    </row>
    <row r="861" spans="10:10">
      <c r="J861" s="38"/>
    </row>
    <row r="862" spans="10:10">
      <c r="J862" s="38"/>
    </row>
    <row r="863" spans="10:10">
      <c r="J863" s="38"/>
    </row>
    <row r="864" spans="10:10">
      <c r="J864" s="38"/>
    </row>
    <row r="865" spans="10:10">
      <c r="J865" s="38"/>
    </row>
    <row r="866" spans="10:10">
      <c r="J866" s="38"/>
    </row>
    <row r="867" spans="10:10">
      <c r="J867" s="38"/>
    </row>
    <row r="868" spans="10:10">
      <c r="J868" s="38"/>
    </row>
    <row r="869" spans="10:10">
      <c r="J869" s="38"/>
    </row>
    <row r="870" spans="10:10">
      <c r="J870" s="38"/>
    </row>
    <row r="871" spans="10:10">
      <c r="J871" s="38"/>
    </row>
    <row r="872" spans="10:10">
      <c r="J872" s="38"/>
    </row>
    <row r="873" spans="10:10">
      <c r="J873" s="38"/>
    </row>
    <row r="874" spans="10:10">
      <c r="J874" s="38"/>
    </row>
    <row r="875" spans="10:10">
      <c r="J875" s="38"/>
    </row>
    <row r="876" spans="10:10">
      <c r="J876" s="38"/>
    </row>
    <row r="877" spans="10:10">
      <c r="J877" s="38"/>
    </row>
    <row r="878" spans="10:10">
      <c r="J878" s="38"/>
    </row>
    <row r="879" spans="10:10">
      <c r="J879" s="38"/>
    </row>
    <row r="880" spans="10:10">
      <c r="J880" s="38"/>
    </row>
    <row r="881" spans="10:10">
      <c r="J881" s="38"/>
    </row>
    <row r="882" spans="10:10">
      <c r="J882" s="38"/>
    </row>
    <row r="883" spans="10:10">
      <c r="J883" s="38"/>
    </row>
    <row r="884" spans="10:10">
      <c r="J884" s="38"/>
    </row>
    <row r="885" spans="10:10">
      <c r="J885" s="38"/>
    </row>
    <row r="886" spans="10:10">
      <c r="J886" s="38"/>
    </row>
    <row r="887" spans="10:10">
      <c r="J887" s="38"/>
    </row>
    <row r="888" spans="10:10">
      <c r="J888" s="38"/>
    </row>
    <row r="889" spans="10:10">
      <c r="J889" s="38"/>
    </row>
    <row r="890" spans="10:10">
      <c r="J890" s="38"/>
    </row>
    <row r="891" spans="10:10">
      <c r="J891" s="38"/>
    </row>
    <row r="892" spans="10:10">
      <c r="J892" s="38"/>
    </row>
    <row r="893" spans="10:10">
      <c r="J893" s="38"/>
    </row>
    <row r="894" spans="10:10">
      <c r="J894" s="38"/>
    </row>
    <row r="895" spans="10:10">
      <c r="J895" s="38"/>
    </row>
    <row r="896" spans="10:10">
      <c r="J896" s="38"/>
    </row>
    <row r="897" spans="10:10">
      <c r="J897" s="38"/>
    </row>
    <row r="898" spans="10:10">
      <c r="J898" s="38"/>
    </row>
    <row r="899" spans="10:10">
      <c r="J899" s="38"/>
    </row>
    <row r="900" spans="10:10">
      <c r="J900" s="38"/>
    </row>
    <row r="901" spans="10:10">
      <c r="J901" s="38"/>
    </row>
    <row r="902" spans="10:10">
      <c r="J902" s="38"/>
    </row>
    <row r="903" spans="10:10">
      <c r="J903" s="38"/>
    </row>
    <row r="904" spans="10:10">
      <c r="J904" s="38"/>
    </row>
    <row r="905" spans="10:10">
      <c r="J905" s="38"/>
    </row>
    <row r="906" spans="10:10">
      <c r="J906" s="38"/>
    </row>
    <row r="907" spans="10:10">
      <c r="J907" s="38"/>
    </row>
    <row r="908" spans="10:10">
      <c r="J908" s="38"/>
    </row>
    <row r="909" spans="10:10">
      <c r="J909" s="38"/>
    </row>
    <row r="910" spans="10:10">
      <c r="J910" s="38"/>
    </row>
    <row r="911" spans="10:10">
      <c r="J911" s="38"/>
    </row>
    <row r="912" spans="10:10">
      <c r="J912" s="38"/>
    </row>
    <row r="913" spans="10:10">
      <c r="J913" s="38"/>
    </row>
    <row r="914" spans="10:10">
      <c r="J914" s="38"/>
    </row>
    <row r="915" spans="10:10">
      <c r="J915" s="38"/>
    </row>
    <row r="916" spans="10:10">
      <c r="J916" s="38"/>
    </row>
    <row r="917" spans="10:10">
      <c r="J917" s="38"/>
    </row>
    <row r="918" spans="10:10">
      <c r="J918" s="38"/>
    </row>
    <row r="919" spans="10:10">
      <c r="J919" s="38"/>
    </row>
    <row r="920" spans="10:10">
      <c r="J920" s="38"/>
    </row>
    <row r="921" spans="10:10">
      <c r="J921" s="38"/>
    </row>
    <row r="922" spans="10:10">
      <c r="J922" s="38"/>
    </row>
    <row r="923" spans="10:10">
      <c r="J923" s="38"/>
    </row>
    <row r="924" spans="10:10">
      <c r="J924" s="38"/>
    </row>
    <row r="925" spans="10:10">
      <c r="J925" s="38"/>
    </row>
    <row r="926" spans="10:10">
      <c r="J926" s="38"/>
    </row>
    <row r="927" spans="10:10">
      <c r="J927" s="38"/>
    </row>
    <row r="928" spans="10:10">
      <c r="J928" s="38"/>
    </row>
    <row r="929" spans="10:10">
      <c r="J929" s="38"/>
    </row>
    <row r="930" spans="10:10">
      <c r="J930" s="38"/>
    </row>
    <row r="931" spans="10:10">
      <c r="J931" s="38"/>
    </row>
    <row r="932" spans="10:10">
      <c r="J932" s="38"/>
    </row>
    <row r="933" spans="10:10">
      <c r="J933" s="38"/>
    </row>
    <row r="934" spans="10:10">
      <c r="J934" s="38"/>
    </row>
    <row r="935" spans="10:10">
      <c r="J935" s="38"/>
    </row>
    <row r="936" spans="10:10">
      <c r="J936" s="38"/>
    </row>
    <row r="937" spans="10:10">
      <c r="J937" s="38"/>
    </row>
    <row r="938" spans="10:10">
      <c r="J938" s="38"/>
    </row>
    <row r="939" spans="10:10">
      <c r="J939" s="38"/>
    </row>
    <row r="940" spans="10:10">
      <c r="J940" s="38"/>
    </row>
    <row r="941" spans="10:10">
      <c r="J941" s="38"/>
    </row>
    <row r="942" spans="10:10">
      <c r="J942" s="38"/>
    </row>
    <row r="943" spans="10:10">
      <c r="J943" s="38"/>
    </row>
    <row r="944" spans="10:10">
      <c r="J944" s="38"/>
    </row>
    <row r="945" spans="10:10">
      <c r="J945" s="38"/>
    </row>
    <row r="946" spans="10:10">
      <c r="J946" s="38"/>
    </row>
    <row r="947" spans="10:10">
      <c r="J947" s="38"/>
    </row>
    <row r="948" spans="10:10">
      <c r="J948" s="38"/>
    </row>
    <row r="949" spans="10:10">
      <c r="J949" s="38"/>
    </row>
    <row r="950" spans="10:10">
      <c r="J950" s="38"/>
    </row>
    <row r="951" spans="10:10">
      <c r="J951" s="38"/>
    </row>
    <row r="952" spans="10:10">
      <c r="J952" s="38"/>
    </row>
    <row r="953" spans="10:10">
      <c r="J953" s="38"/>
    </row>
    <row r="954" spans="10:10">
      <c r="J954" s="38"/>
    </row>
    <row r="955" spans="10:10">
      <c r="J955" s="38"/>
    </row>
    <row r="956" spans="10:10">
      <c r="J956" s="38"/>
    </row>
    <row r="957" spans="10:10">
      <c r="J957" s="38"/>
    </row>
    <row r="958" spans="10:10">
      <c r="J958" s="38"/>
    </row>
    <row r="959" spans="10:10">
      <c r="J959" s="38"/>
    </row>
    <row r="960" spans="10:10">
      <c r="J960" s="38"/>
    </row>
    <row r="961" spans="10:10">
      <c r="J961" s="38"/>
    </row>
    <row r="962" spans="10:10">
      <c r="J962" s="38"/>
    </row>
    <row r="963" spans="10:10">
      <c r="J963" s="38"/>
    </row>
    <row r="964" spans="10:10">
      <c r="J964" s="38"/>
    </row>
    <row r="965" spans="10:10">
      <c r="J965" s="38"/>
    </row>
    <row r="966" spans="10:10">
      <c r="J966" s="38"/>
    </row>
    <row r="967" spans="10:10">
      <c r="J967" s="38"/>
    </row>
    <row r="968" spans="10:10">
      <c r="J968" s="38"/>
    </row>
    <row r="969" spans="10:10">
      <c r="J969" s="38"/>
    </row>
    <row r="970" spans="10:10">
      <c r="J970" s="38"/>
    </row>
    <row r="971" spans="10:10">
      <c r="J971" s="38"/>
    </row>
    <row r="972" spans="10:10">
      <c r="J972" s="38"/>
    </row>
    <row r="973" spans="10:10">
      <c r="J973" s="38"/>
    </row>
    <row r="974" spans="10:10">
      <c r="J974" s="38"/>
    </row>
    <row r="975" spans="10:10">
      <c r="J975" s="38"/>
    </row>
    <row r="976" spans="10:10">
      <c r="J976" s="38"/>
    </row>
    <row r="977" spans="10:10">
      <c r="J977" s="38"/>
    </row>
    <row r="978" spans="10:10">
      <c r="J978" s="38"/>
    </row>
    <row r="979" spans="10:10">
      <c r="J979" s="38"/>
    </row>
    <row r="980" spans="10:10">
      <c r="J980" s="38"/>
    </row>
    <row r="981" spans="10:10">
      <c r="J981" s="38"/>
    </row>
    <row r="982" spans="10:10">
      <c r="J982" s="38"/>
    </row>
    <row r="983" spans="10:10">
      <c r="J983" s="38"/>
    </row>
    <row r="984" spans="10:10">
      <c r="J984" s="38"/>
    </row>
    <row r="985" spans="10:10">
      <c r="J985" s="38"/>
    </row>
    <row r="986" spans="10:10">
      <c r="J986" s="38"/>
    </row>
    <row r="987" spans="10:10">
      <c r="J987" s="38"/>
    </row>
    <row r="988" spans="10:10">
      <c r="J988" s="38"/>
    </row>
    <row r="989" spans="10:10">
      <c r="J989" s="38"/>
    </row>
    <row r="990" spans="10:10">
      <c r="J990" s="38"/>
    </row>
    <row r="991" spans="10:10">
      <c r="J991" s="38"/>
    </row>
    <row r="992" spans="10:10">
      <c r="J992" s="38"/>
    </row>
    <row r="993" spans="10:10">
      <c r="J993" s="38"/>
    </row>
    <row r="994" spans="10:10">
      <c r="J994" s="38"/>
    </row>
    <row r="995" spans="10:10">
      <c r="J995" s="38"/>
    </row>
    <row r="996" spans="10:10">
      <c r="J996" s="38"/>
    </row>
    <row r="997" spans="10:10">
      <c r="J997" s="38"/>
    </row>
    <row r="998" spans="10:10">
      <c r="J998" s="38"/>
    </row>
    <row r="999" spans="10:10">
      <c r="J999" s="38"/>
    </row>
    <row r="1000" spans="10:10">
      <c r="J1000" s="38"/>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
  <sheetViews>
    <sheetView workbookViewId="0"/>
  </sheetViews>
  <sheetFormatPr defaultColWidth="14.42578125" defaultRowHeight="15" customHeight="1"/>
  <cols>
    <col min="1" max="2" width="17.7109375" customWidth="1"/>
  </cols>
  <sheetData>
    <row r="1" spans="1:26">
      <c r="A1" s="44" t="s">
        <v>1707</v>
      </c>
      <c r="B1" s="44" t="s">
        <v>1708</v>
      </c>
      <c r="D1" s="45"/>
      <c r="E1" s="45"/>
      <c r="F1" s="45"/>
      <c r="H1" s="45"/>
      <c r="I1" s="45"/>
      <c r="J1" s="45"/>
      <c r="K1" s="45"/>
      <c r="L1" s="45"/>
      <c r="M1" s="45"/>
      <c r="N1" s="45"/>
      <c r="O1" s="45"/>
      <c r="P1" s="45"/>
      <c r="Q1" s="45"/>
      <c r="R1" s="45"/>
      <c r="S1" s="45"/>
      <c r="T1" s="45"/>
      <c r="U1" s="45"/>
      <c r="V1" s="45"/>
      <c r="W1" s="45"/>
      <c r="X1" s="45"/>
      <c r="Y1" s="45"/>
      <c r="Z1" s="45"/>
    </row>
    <row r="2" spans="1:26">
      <c r="A2" s="38" t="s">
        <v>342</v>
      </c>
      <c r="B2" s="38" t="s">
        <v>1709</v>
      </c>
      <c r="D2" s="38"/>
      <c r="E2" s="38"/>
      <c r="F2" s="38"/>
      <c r="H2" s="38"/>
      <c r="I2" s="38"/>
      <c r="J2" s="38"/>
      <c r="K2" s="38"/>
      <c r="L2" s="38"/>
      <c r="M2" s="38"/>
      <c r="N2" s="38"/>
      <c r="O2" s="38"/>
      <c r="P2" s="38"/>
      <c r="Q2" s="38"/>
      <c r="R2" s="38"/>
      <c r="S2" s="38"/>
      <c r="T2" s="38"/>
      <c r="U2" s="38"/>
      <c r="V2" s="38"/>
      <c r="W2" s="38"/>
      <c r="X2" s="38"/>
      <c r="Y2" s="38"/>
      <c r="Z2" s="38"/>
    </row>
    <row r="3" spans="1:26">
      <c r="A3" s="38" t="s">
        <v>485</v>
      </c>
      <c r="B3" s="38" t="s">
        <v>1710</v>
      </c>
      <c r="D3" s="38"/>
      <c r="E3" s="38"/>
      <c r="F3" s="38"/>
      <c r="H3" s="38"/>
      <c r="I3" s="38"/>
    </row>
    <row r="4" spans="1:26">
      <c r="A4" s="38" t="s">
        <v>276</v>
      </c>
      <c r="B4" s="38" t="s">
        <v>1711</v>
      </c>
      <c r="D4" s="38"/>
      <c r="E4" s="38"/>
      <c r="F4" s="38"/>
      <c r="H4" s="38"/>
      <c r="I4" s="38"/>
    </row>
    <row r="5" spans="1:26">
      <c r="A5" s="38" t="s">
        <v>1712</v>
      </c>
      <c r="B5" s="38" t="s">
        <v>1713</v>
      </c>
      <c r="D5" s="38"/>
      <c r="E5" s="38"/>
      <c r="F5" s="38"/>
      <c r="H5" s="38"/>
      <c r="I5" s="38"/>
    </row>
    <row r="6" spans="1:26">
      <c r="A6" s="38" t="s">
        <v>1714</v>
      </c>
      <c r="B6" s="38" t="s">
        <v>1715</v>
      </c>
      <c r="D6" s="38"/>
      <c r="E6" s="38"/>
      <c r="F6" s="38"/>
      <c r="H6" s="38"/>
      <c r="I6" s="38"/>
    </row>
    <row r="7" spans="1:26">
      <c r="A7" s="38" t="s">
        <v>63</v>
      </c>
      <c r="B7" s="38" t="s">
        <v>1716</v>
      </c>
      <c r="D7" s="38"/>
      <c r="E7" s="38"/>
      <c r="F7" s="38"/>
      <c r="H7" s="38"/>
      <c r="I7" s="38"/>
    </row>
    <row r="8" spans="1:26">
      <c r="A8" s="38" t="s">
        <v>66</v>
      </c>
      <c r="B8" s="38" t="s">
        <v>1717</v>
      </c>
      <c r="D8" s="38"/>
      <c r="E8" s="38"/>
      <c r="F8" s="38"/>
      <c r="H8" s="38"/>
      <c r="I8" s="38"/>
    </row>
    <row r="9" spans="1:26">
      <c r="A9" s="38" t="s">
        <v>58</v>
      </c>
      <c r="B9" s="38" t="s">
        <v>1718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INSTRUCTIONS</vt:lpstr>
      <vt:lpstr>Task1 Soln - Aug-Dec 2024</vt:lpstr>
      <vt:lpstr>Task 2 Soln - APR-24</vt:lpstr>
      <vt:lpstr>MoM-Purchase Count (All Stores)</vt:lpstr>
      <vt:lpstr>MoM-Purchase Count (Ind Stores)</vt:lpstr>
      <vt:lpstr>MoM-Total Purchase Price</vt:lpstr>
      <vt:lpstr>MoM-Average Purchase Price</vt:lpstr>
      <vt:lpstr>MoM-Top 5 Brands</vt:lpstr>
      <vt:lpstr>MoM-Top 5 Models</vt:lpstr>
      <vt:lpstr>QoQ-Purchase Count (All Store_</vt:lpstr>
      <vt:lpstr>QoQ-Purchase Count (Ind Store)</vt:lpstr>
      <vt:lpstr>QoQ-Total Purchase Price </vt:lpstr>
      <vt:lpstr>QoQ-Average Purchase Price</vt:lpstr>
      <vt:lpstr>QoQ-Top 5 Brands</vt:lpstr>
      <vt:lpstr>QoQ-Top 5 Models</vt:lpstr>
      <vt:lpstr>Apr-Dec Consolidated</vt:lpstr>
      <vt:lpstr>MAY-24</vt:lpstr>
      <vt:lpstr>JUN-24</vt:lpstr>
      <vt:lpstr>JUL-24</vt:lpstr>
      <vt:lpstr>AUG-24</vt:lpstr>
      <vt:lpstr>SEP-24</vt:lpstr>
      <vt:lpstr>OCT-24</vt:lpstr>
      <vt:lpstr>NOV-24</vt:lpstr>
      <vt:lpstr>DEC-24</vt:lpstr>
      <vt:lpstr>Store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Javed Momin</dc:creator>
  <cp:lastModifiedBy>MD JAVED MOMIN</cp:lastModifiedBy>
  <dcterms:created xsi:type="dcterms:W3CDTF">2025-10-28T04:08:34Z</dcterms:created>
  <dcterms:modified xsi:type="dcterms:W3CDTF">2026-02-28T05:36:25Z</dcterms:modified>
</cp:coreProperties>
</file>